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 activeTab="3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I54" i="1" l="1"/>
  <c r="AB4" i="2"/>
  <c r="AB21" i="2"/>
  <c r="AB18" i="2"/>
  <c r="AB10" i="2"/>
  <c r="L58" i="1"/>
  <c r="L57" i="1"/>
  <c r="K57" i="1"/>
  <c r="L54" i="1"/>
  <c r="K58" i="1" l="1"/>
  <c r="P2" i="2"/>
  <c r="AB12" i="2" s="1"/>
  <c r="AB16" i="2"/>
  <c r="AB8" i="2"/>
  <c r="AB6" i="2"/>
  <c r="K61" i="1"/>
  <c r="K62" i="1" s="1"/>
  <c r="L55" i="1"/>
  <c r="K54" i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Z2" i="2"/>
  <c r="T2" i="2"/>
  <c r="S3" i="2" s="1"/>
  <c r="N2" i="2"/>
  <c r="M3" i="2" s="1"/>
  <c r="O3" i="2"/>
  <c r="P3" i="2" s="1"/>
  <c r="R2" i="2"/>
  <c r="Q3" i="2" s="1"/>
  <c r="K3" i="2" l="1"/>
  <c r="Y3" i="2"/>
  <c r="AA3" i="2" s="1"/>
  <c r="AB2" i="2"/>
  <c r="O4" i="2"/>
  <c r="P4" i="2" s="1"/>
  <c r="N3" i="2"/>
  <c r="M4" i="2" s="1"/>
  <c r="R3" i="2"/>
  <c r="Q4" i="2" s="1"/>
  <c r="U3" i="2"/>
  <c r="I4" i="2"/>
  <c r="J4" i="2" s="1"/>
  <c r="T3" i="2"/>
  <c r="S4" i="2" s="1"/>
  <c r="Z3" i="2"/>
  <c r="Y4" i="2" s="1"/>
  <c r="L3" i="2" l="1"/>
  <c r="K4" i="2" s="1"/>
  <c r="X3" i="2"/>
  <c r="W4" i="2" s="1"/>
  <c r="X4" i="2" s="1"/>
  <c r="W5" i="2" s="1"/>
  <c r="O5" i="2"/>
  <c r="P5" i="2" s="1"/>
  <c r="T4" i="2"/>
  <c r="S5" i="2" s="1"/>
  <c r="R4" i="2"/>
  <c r="Q5" i="2" s="1"/>
  <c r="N4" i="2"/>
  <c r="M5" i="2" s="1"/>
  <c r="I5" i="2"/>
  <c r="J5" i="2" s="1"/>
  <c r="L4" i="2"/>
  <c r="K5" i="2" s="1"/>
  <c r="Z4" i="2"/>
  <c r="Y5" i="2" s="1"/>
  <c r="U4" i="2"/>
  <c r="AA4" i="2" l="1"/>
  <c r="O6" i="2"/>
  <c r="P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O7" i="2" l="1"/>
  <c r="P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O8" i="2" l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P8" i="2" l="1"/>
  <c r="O9" i="2" s="1"/>
  <c r="P9" i="2" s="1"/>
  <c r="T8" i="2"/>
  <c r="S9" i="2" s="1"/>
  <c r="R8" i="2"/>
  <c r="Q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O10" i="2"/>
  <c r="I11" i="2"/>
  <c r="J11" i="2" s="1"/>
  <c r="U9" i="2"/>
  <c r="P10" i="2" l="1"/>
  <c r="O11" i="2" s="1"/>
  <c r="P11" i="2" s="1"/>
  <c r="T10" i="2"/>
  <c r="S11" i="2" s="1"/>
  <c r="Z10" i="2"/>
  <c r="Y11" i="2" s="1"/>
  <c r="L10" i="2"/>
  <c r="K11" i="2" s="1"/>
  <c r="X10" i="2"/>
  <c r="W11" i="2" s="1"/>
  <c r="N10" i="2"/>
  <c r="M11" i="2" s="1"/>
  <c r="AA10" i="2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O12" i="2"/>
  <c r="P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O13" i="2"/>
  <c r="P13" i="2" s="1"/>
  <c r="AA12" i="2"/>
  <c r="T12" i="2"/>
  <c r="S13" i="2" s="1"/>
  <c r="R12" i="2"/>
  <c r="Q13" i="2" s="1"/>
  <c r="I14" i="2"/>
  <c r="U12" i="2"/>
  <c r="O14" i="2" l="1"/>
  <c r="X13" i="2"/>
  <c r="W14" i="2" s="1"/>
  <c r="N13" i="2"/>
  <c r="M14" i="2" s="1"/>
  <c r="L13" i="2"/>
  <c r="K14" i="2" s="1"/>
  <c r="AA13" i="2"/>
  <c r="T13" i="2"/>
  <c r="S14" i="2" s="1"/>
  <c r="R13" i="2"/>
  <c r="Q14" i="2" s="1"/>
  <c r="J14" i="2"/>
  <c r="I15" i="2" s="1"/>
  <c r="J15" i="2" s="1"/>
  <c r="Z13" i="2"/>
  <c r="Y14" i="2" s="1"/>
  <c r="U13" i="2"/>
  <c r="P14" i="2" l="1"/>
  <c r="O15" i="2" s="1"/>
  <c r="P15" i="2" s="1"/>
  <c r="N14" i="2"/>
  <c r="M15" i="2" s="1"/>
  <c r="X14" i="2"/>
  <c r="W15" i="2" s="1"/>
  <c r="R14" i="2"/>
  <c r="Q15" i="2" s="1"/>
  <c r="T14" i="2"/>
  <c r="S15" i="2" s="1"/>
  <c r="AA14" i="2"/>
  <c r="Z14" i="2"/>
  <c r="Y15" i="2" s="1"/>
  <c r="L14" i="2"/>
  <c r="K15" i="2" s="1"/>
  <c r="I16" i="2"/>
  <c r="O16" i="2" l="1"/>
  <c r="P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O17" i="2" l="1"/>
  <c r="P17" i="2" s="1"/>
  <c r="T16" i="2"/>
  <c r="S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O18" i="2" l="1"/>
  <c r="P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O19" i="2"/>
  <c r="P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O20" i="2"/>
  <c r="P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O21" i="2"/>
  <c r="P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O22" i="2"/>
  <c r="P22" i="2" s="1"/>
  <c r="R21" i="2"/>
  <c r="Q22" i="2" s="1"/>
  <c r="Z21" i="2"/>
  <c r="Y22" i="2" s="1"/>
  <c r="U21" i="2"/>
  <c r="AA21" i="2"/>
  <c r="I24" i="2"/>
  <c r="J24" i="2" s="1"/>
  <c r="N22" i="2" l="1"/>
  <c r="M23" i="2" s="1"/>
  <c r="O23" i="2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P23" i="2" l="1"/>
  <c r="O24" i="2" s="1"/>
  <c r="P24" i="2" s="1"/>
  <c r="N23" i="2"/>
  <c r="M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O25" i="2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P25" i="2" l="1"/>
  <c r="N25" i="2"/>
  <c r="M26" i="2" s="1"/>
  <c r="O26" i="2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P26" i="2" l="1"/>
  <c r="O27" i="2" s="1"/>
  <c r="P27" i="2" s="1"/>
  <c r="I10" i="1"/>
  <c r="J28" i="2"/>
  <c r="I29" i="2" s="1"/>
  <c r="J29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O28" i="2" l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5" i="1"/>
  <c r="H14" i="1"/>
  <c r="H12" i="1"/>
  <c r="H11" i="1"/>
  <c r="H16" i="1"/>
  <c r="H17" i="1"/>
  <c r="H13" i="1"/>
  <c r="P28" i="2" l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O29" i="2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P29" i="2" l="1"/>
  <c r="H21" i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O30" i="2"/>
  <c r="U29" i="2"/>
  <c r="I32" i="2"/>
  <c r="J32" i="2" s="1"/>
  <c r="AA29" i="2"/>
  <c r="P30" i="2" l="1"/>
  <c r="G19" i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O31" i="2"/>
  <c r="P31" i="2" s="1"/>
  <c r="T30" i="2"/>
  <c r="S31" i="2" s="1"/>
  <c r="I33" i="2"/>
  <c r="J33" i="2" s="1"/>
  <c r="AA30" i="2"/>
  <c r="I22" i="1" l="1"/>
  <c r="O32" i="2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P32" i="2" l="1"/>
  <c r="T32" i="2"/>
  <c r="S33" i="2" s="1"/>
  <c r="O33" i="2"/>
  <c r="P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O34" i="2"/>
  <c r="P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O35" i="2"/>
  <c r="N34" i="2"/>
  <c r="M35" i="2" s="1"/>
  <c r="U34" i="2"/>
  <c r="X34" i="2"/>
  <c r="W35" i="2" s="1"/>
  <c r="L34" i="2"/>
  <c r="K35" i="2" s="1"/>
  <c r="AA34" i="2"/>
  <c r="I37" i="2"/>
  <c r="J37" i="2" s="1"/>
  <c r="P35" i="2" l="1"/>
  <c r="T35" i="2"/>
  <c r="S36" i="2" s="1"/>
  <c r="Z35" i="2"/>
  <c r="Y36" i="2" s="1"/>
  <c r="R35" i="2"/>
  <c r="Q36" i="2" s="1"/>
  <c r="O36" i="2"/>
  <c r="L35" i="2"/>
  <c r="K36" i="2" s="1"/>
  <c r="X35" i="2"/>
  <c r="W36" i="2" s="1"/>
  <c r="N35" i="2"/>
  <c r="M36" i="2" s="1"/>
  <c r="U35" i="2"/>
  <c r="AA35" i="2"/>
  <c r="I38" i="2"/>
  <c r="J38" i="2" s="1"/>
  <c r="P36" i="2" l="1"/>
  <c r="O37" i="2" s="1"/>
  <c r="P37" i="2" s="1"/>
  <c r="L36" i="2"/>
  <c r="K37" i="2" s="1"/>
  <c r="Z36" i="2"/>
  <c r="Y37" i="2" s="1"/>
  <c r="R36" i="2"/>
  <c r="Q37" i="2" s="1"/>
  <c r="T36" i="2"/>
  <c r="S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O38" i="2"/>
  <c r="P38" i="2" s="1"/>
  <c r="U37" i="2"/>
  <c r="AA37" i="2"/>
  <c r="I40" i="2"/>
  <c r="J40" i="2" s="1"/>
  <c r="N38" i="2" l="1"/>
  <c r="M39" i="2" s="1"/>
  <c r="O39" i="2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P39" i="2" l="1"/>
  <c r="O40" i="2" s="1"/>
  <c r="P40" i="2" s="1"/>
  <c r="X39" i="2"/>
  <c r="W40" i="2" s="1"/>
  <c r="L39" i="2"/>
  <c r="K40" i="2" s="1"/>
  <c r="N39" i="2"/>
  <c r="M40" i="2" s="1"/>
  <c r="Z39" i="2"/>
  <c r="Y40" i="2" s="1"/>
  <c r="R39" i="2"/>
  <c r="Q40" i="2" s="1"/>
  <c r="U39" i="2"/>
  <c r="AA39" i="2"/>
  <c r="I42" i="2"/>
  <c r="J42" i="2" s="1"/>
  <c r="T40" i="2" l="1"/>
  <c r="S41" i="2" s="1"/>
  <c r="L40" i="2"/>
  <c r="K41" i="2" s="1"/>
  <c r="X40" i="2"/>
  <c r="W41" i="2" s="1"/>
  <c r="O41" i="2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T41" i="2"/>
  <c r="S42" i="2" s="1"/>
  <c r="O42" i="2"/>
  <c r="P42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R42" i="2" l="1"/>
  <c r="Q43" i="2" s="1"/>
  <c r="O43" i="2"/>
  <c r="T42" i="2"/>
  <c r="S43" i="2" s="1"/>
  <c r="X42" i="2"/>
  <c r="W43" i="2" s="1"/>
  <c r="L42" i="2"/>
  <c r="K43" i="2" s="1"/>
  <c r="U42" i="2"/>
  <c r="N42" i="2"/>
  <c r="M43" i="2" s="1"/>
  <c r="Z42" i="2"/>
  <c r="Y43" i="2" s="1"/>
  <c r="AA42" i="2"/>
  <c r="I45" i="2"/>
  <c r="J45" i="2" s="1"/>
  <c r="Z43" i="2" l="1"/>
  <c r="Y44" i="2" s="1"/>
  <c r="P43" i="2"/>
  <c r="R43" i="2"/>
  <c r="Q44" i="2" s="1"/>
  <c r="O44" i="2"/>
  <c r="T43" i="2"/>
  <c r="S44" i="2" s="1"/>
  <c r="X43" i="2"/>
  <c r="W44" i="2" s="1"/>
  <c r="N43" i="2"/>
  <c r="M44" i="2" s="1"/>
  <c r="U43" i="2"/>
  <c r="L43" i="2"/>
  <c r="K44" i="2" s="1"/>
  <c r="AA43" i="2"/>
  <c r="I46" i="2"/>
  <c r="J46" i="2" s="1"/>
  <c r="Z44" i="2" l="1"/>
  <c r="Y45" i="2" s="1"/>
  <c r="Z45" i="2" s="1"/>
  <c r="Y46" i="2" s="1"/>
  <c r="P44" i="2"/>
  <c r="R44" i="2"/>
  <c r="Q45" i="2" s="1"/>
  <c r="O45" i="2"/>
  <c r="T44" i="2"/>
  <c r="S45" i="2" s="1"/>
  <c r="N44" i="2"/>
  <c r="M45" i="2" s="1"/>
  <c r="L44" i="2"/>
  <c r="K45" i="2" s="1"/>
  <c r="U44" i="2"/>
  <c r="X44" i="2"/>
  <c r="W45" i="2" s="1"/>
  <c r="AA44" i="2"/>
  <c r="I47" i="2"/>
  <c r="J47" i="2" s="1"/>
  <c r="P45" i="2" l="1"/>
  <c r="R45" i="2"/>
  <c r="Q46" i="2" s="1"/>
  <c r="O46" i="2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P46" i="2" l="1"/>
  <c r="T46" i="2"/>
  <c r="S47" i="2" s="1"/>
  <c r="O47" i="2"/>
  <c r="R46" i="2"/>
  <c r="Q47" i="2" s="1"/>
  <c r="Z47" i="2" s="1"/>
  <c r="Y48" i="2" s="1"/>
  <c r="X46" i="2"/>
  <c r="W47" i="2" s="1"/>
  <c r="X47" i="2" s="1"/>
  <c r="U46" i="2"/>
  <c r="N46" i="2"/>
  <c r="M47" i="2" s="1"/>
  <c r="N47" i="2" s="1"/>
  <c r="M48" i="2" s="1"/>
  <c r="L47" i="2"/>
  <c r="K48" i="2" s="1"/>
  <c r="AA46" i="2"/>
  <c r="I49" i="2"/>
  <c r="J49" i="2" s="1"/>
  <c r="P47" i="2" l="1"/>
  <c r="O48" i="2" s="1"/>
  <c r="P48" i="2" s="1"/>
  <c r="T47" i="2"/>
  <c r="S48" i="2" s="1"/>
  <c r="R47" i="2"/>
  <c r="Q48" i="2" s="1"/>
  <c r="Z48" i="2" s="1"/>
  <c r="Y49" i="2" s="1"/>
  <c r="U47" i="2"/>
  <c r="L48" i="2"/>
  <c r="K49" i="2" s="1"/>
  <c r="N48" i="2"/>
  <c r="M49" i="2" s="1"/>
  <c r="AA47" i="2"/>
  <c r="W48" i="2"/>
  <c r="X48" i="2" s="1"/>
  <c r="I50" i="2"/>
  <c r="J50" i="2" s="1"/>
  <c r="O49" i="2" l="1"/>
  <c r="P49" i="2" s="1"/>
  <c r="U48" i="2"/>
  <c r="T48" i="2"/>
  <c r="S49" i="2" s="1"/>
  <c r="R48" i="2"/>
  <c r="Q49" i="2" s="1"/>
  <c r="L49" i="2"/>
  <c r="K50" i="2" s="1"/>
  <c r="N49" i="2"/>
  <c r="M50" i="2" s="1"/>
  <c r="W49" i="2"/>
  <c r="X49" i="2" s="1"/>
  <c r="AA48" i="2"/>
  <c r="I51" i="2"/>
  <c r="J51" i="2" s="1"/>
  <c r="O50" i="2" l="1"/>
  <c r="P50" i="2" s="1"/>
  <c r="R49" i="2"/>
  <c r="Q50" i="2" s="1"/>
  <c r="T49" i="2"/>
  <c r="S50" i="2" s="1"/>
  <c r="T50" i="2" s="1"/>
  <c r="S51" i="2" s="1"/>
  <c r="Z49" i="2"/>
  <c r="Y50" i="2" s="1"/>
  <c r="L50" i="2" s="1"/>
  <c r="K51" i="2" s="1"/>
  <c r="U49" i="2"/>
  <c r="N50" i="2"/>
  <c r="M51" i="2" s="1"/>
  <c r="W50" i="2"/>
  <c r="X50" i="2" s="1"/>
  <c r="AA49" i="2"/>
  <c r="I52" i="2"/>
  <c r="J52" i="2" s="1"/>
  <c r="O51" i="2" l="1"/>
  <c r="P51" i="2" s="1"/>
  <c r="R50" i="2"/>
  <c r="Q51" i="2" s="1"/>
  <c r="U50" i="2"/>
  <c r="Z50" i="2"/>
  <c r="Y51" i="2" s="1"/>
  <c r="L51" i="2" s="1"/>
  <c r="K52" i="2" s="1"/>
  <c r="T51" i="2"/>
  <c r="S52" i="2" s="1"/>
  <c r="O52" i="2"/>
  <c r="N51" i="2"/>
  <c r="M52" i="2" s="1"/>
  <c r="W51" i="2"/>
  <c r="X51" i="2" s="1"/>
  <c r="AA50" i="2"/>
  <c r="I53" i="2"/>
  <c r="J53" i="2" s="1"/>
  <c r="R51" i="2" l="1"/>
  <c r="Q52" i="2" s="1"/>
  <c r="R52" i="2" s="1"/>
  <c r="Q53" i="2" s="1"/>
  <c r="U51" i="2"/>
  <c r="P52" i="2"/>
  <c r="O53" i="2" s="1"/>
  <c r="Z51" i="2"/>
  <c r="Y52" i="2" s="1"/>
  <c r="T52" i="2"/>
  <c r="S53" i="2" s="1"/>
  <c r="N52" i="2"/>
  <c r="M53" i="2" s="1"/>
  <c r="AA51" i="2"/>
  <c r="W52" i="2"/>
  <c r="X52" i="2" s="1"/>
  <c r="I54" i="2"/>
  <c r="J54" i="2" s="1"/>
  <c r="P53" i="2" l="1"/>
  <c r="O54" i="2" s="1"/>
  <c r="U52" i="2"/>
  <c r="Z52" i="2"/>
  <c r="Y53" i="2" s="1"/>
  <c r="L52" i="2"/>
  <c r="K53" i="2" s="1"/>
  <c r="Z53" i="2"/>
  <c r="Y54" i="2" s="1"/>
  <c r="T53" i="2"/>
  <c r="S54" i="2" s="1"/>
  <c r="R53" i="2"/>
  <c r="Q54" i="2" s="1"/>
  <c r="AA52" i="2"/>
  <c r="W53" i="2"/>
  <c r="I55" i="2"/>
  <c r="J55" i="2" s="1"/>
  <c r="L53" i="2" l="1"/>
  <c r="K54" i="2" s="1"/>
  <c r="U53" i="2"/>
  <c r="X53" i="2"/>
  <c r="W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X54" i="2" l="1"/>
  <c r="W55" i="2" s="1"/>
  <c r="X55" i="2" s="1"/>
  <c r="P54" i="2"/>
  <c r="O55" i="2"/>
  <c r="P55" i="2" s="1"/>
  <c r="N54" i="2"/>
  <c r="M55" i="2" s="1"/>
  <c r="N55" i="2" s="1"/>
  <c r="M56" i="2" s="1"/>
  <c r="Z55" i="2"/>
  <c r="Y56" i="2" s="1"/>
  <c r="L55" i="2"/>
  <c r="K56" i="2" s="1"/>
  <c r="AA54" i="2"/>
  <c r="I57" i="2"/>
  <c r="J57" i="2" s="1"/>
  <c r="T55" i="2" l="1"/>
  <c r="S56" i="2" s="1"/>
  <c r="O56" i="2"/>
  <c r="P56" i="2" s="1"/>
  <c r="R55" i="2"/>
  <c r="Q56" i="2" s="1"/>
  <c r="Z56" i="2" s="1"/>
  <c r="Y57" i="2" s="1"/>
  <c r="U55" i="2"/>
  <c r="L56" i="2"/>
  <c r="K57" i="2" s="1"/>
  <c r="N56" i="2"/>
  <c r="M57" i="2" s="1"/>
  <c r="W56" i="2"/>
  <c r="X56" i="2" s="1"/>
  <c r="AA55" i="2"/>
  <c r="I58" i="2"/>
  <c r="J58" i="2" s="1"/>
  <c r="T56" i="2" l="1"/>
  <c r="S57" i="2" s="1"/>
  <c r="O57" i="2"/>
  <c r="P57" i="2" s="1"/>
  <c r="U56" i="2"/>
  <c r="R56" i="2"/>
  <c r="Q57" i="2" s="1"/>
  <c r="Z57" i="2" s="1"/>
  <c r="Y58" i="2" s="1"/>
  <c r="N57" i="2"/>
  <c r="M58" i="2" s="1"/>
  <c r="L57" i="2"/>
  <c r="K58" i="2" s="1"/>
  <c r="W57" i="2"/>
  <c r="X57" i="2" s="1"/>
  <c r="AA56" i="2"/>
  <c r="I59" i="2"/>
  <c r="J59" i="2" s="1"/>
  <c r="T57" i="2" l="1"/>
  <c r="S58" i="2" s="1"/>
  <c r="O58" i="2"/>
  <c r="P58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O59" i="2" l="1"/>
  <c r="P59" i="2" s="1"/>
  <c r="T58" i="2"/>
  <c r="S59" i="2" s="1"/>
  <c r="R58" i="2"/>
  <c r="Q59" i="2" s="1"/>
  <c r="Z59" i="2" s="1"/>
  <c r="Y60" i="2" s="1"/>
  <c r="U58" i="2"/>
  <c r="N59" i="2"/>
  <c r="M60" i="2" s="1"/>
  <c r="L59" i="2"/>
  <c r="K60" i="2" s="1"/>
  <c r="W59" i="2"/>
  <c r="X59" i="2" s="1"/>
  <c r="AA58" i="2"/>
  <c r="I61" i="2"/>
  <c r="J61" i="2" s="1"/>
  <c r="O60" i="2" l="1"/>
  <c r="P60" i="2" s="1"/>
  <c r="T59" i="2"/>
  <c r="S60" i="2" s="1"/>
  <c r="U59" i="2"/>
  <c r="R59" i="2"/>
  <c r="Q60" i="2" s="1"/>
  <c r="Z60" i="2" s="1"/>
  <c r="Y61" i="2" s="1"/>
  <c r="T60" i="2"/>
  <c r="S61" i="2" s="1"/>
  <c r="N60" i="2"/>
  <c r="M61" i="2" s="1"/>
  <c r="L60" i="2"/>
  <c r="K61" i="2" s="1"/>
  <c r="W60" i="2"/>
  <c r="X60" i="2" s="1"/>
  <c r="AA59" i="2"/>
  <c r="I62" i="2"/>
  <c r="J62" i="2" s="1"/>
  <c r="O61" i="2" l="1"/>
  <c r="P61" i="2" s="1"/>
  <c r="U60" i="2"/>
  <c r="R60" i="2"/>
  <c r="Q61" i="2" s="1"/>
  <c r="R61" i="2" s="1"/>
  <c r="Q62" i="2" s="1"/>
  <c r="N61" i="2"/>
  <c r="M62" i="2" s="1"/>
  <c r="L61" i="2"/>
  <c r="K62" i="2" s="1"/>
  <c r="W61" i="2"/>
  <c r="X61" i="2" s="1"/>
  <c r="AA60" i="2"/>
  <c r="I63" i="2"/>
  <c r="J63" i="2" s="1"/>
  <c r="O62" i="2" l="1"/>
  <c r="P62" i="2" s="1"/>
  <c r="T61" i="2"/>
  <c r="S62" i="2" s="1"/>
  <c r="Z61" i="2"/>
  <c r="Y62" i="2" s="1"/>
  <c r="Z62" i="2" s="1"/>
  <c r="Y63" i="2" s="1"/>
  <c r="U61" i="2"/>
  <c r="T62" i="2"/>
  <c r="S63" i="2" s="1"/>
  <c r="O63" i="2"/>
  <c r="P63" i="2" s="1"/>
  <c r="N62" i="2"/>
  <c r="M63" i="2" s="1"/>
  <c r="U62" i="2"/>
  <c r="AA61" i="2"/>
  <c r="W62" i="2"/>
  <c r="X62" i="2" s="1"/>
  <c r="I64" i="2"/>
  <c r="J64" i="2" s="1"/>
  <c r="R62" i="2" l="1"/>
  <c r="Q63" i="2" s="1"/>
  <c r="Z63" i="2" s="1"/>
  <c r="Y64" i="2" s="1"/>
  <c r="L62" i="2"/>
  <c r="K63" i="2" s="1"/>
  <c r="N63" i="2" s="1"/>
  <c r="M64" i="2" s="1"/>
  <c r="T63" i="2"/>
  <c r="S64" i="2" s="1"/>
  <c r="R63" i="2"/>
  <c r="Q64" i="2" s="1"/>
  <c r="O64" i="2"/>
  <c r="P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O65" i="2"/>
  <c r="AA63" i="2"/>
  <c r="I66" i="2"/>
  <c r="J66" i="2" s="1"/>
  <c r="P65" i="2" l="1"/>
  <c r="N64" i="2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O66" i="2"/>
  <c r="P66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T66" i="2" l="1"/>
  <c r="S67" i="2" s="1"/>
  <c r="U66" i="2"/>
  <c r="O67" i="2"/>
  <c r="P67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O68" i="2" l="1"/>
  <c r="P68" i="2" s="1"/>
  <c r="T67" i="2"/>
  <c r="S68" i="2" s="1"/>
  <c r="R67" i="2"/>
  <c r="Q68" i="2" s="1"/>
  <c r="Z68" i="2" s="1"/>
  <c r="Y69" i="2" s="1"/>
  <c r="U67" i="2"/>
  <c r="N68" i="2"/>
  <c r="M69" i="2" s="1"/>
  <c r="L68" i="2"/>
  <c r="K69" i="2" s="1"/>
  <c r="W68" i="2"/>
  <c r="X68" i="2" s="1"/>
  <c r="AA67" i="2"/>
  <c r="I70" i="2"/>
  <c r="J70" i="2" s="1"/>
  <c r="O69" i="2" l="1"/>
  <c r="P69" i="2" s="1"/>
  <c r="T68" i="2"/>
  <c r="S69" i="2" s="1"/>
  <c r="R68" i="2"/>
  <c r="Q69" i="2" s="1"/>
  <c r="R69" i="2" s="1"/>
  <c r="Q70" i="2" s="1"/>
  <c r="U68" i="2"/>
  <c r="T69" i="2"/>
  <c r="S70" i="2" s="1"/>
  <c r="L69" i="2"/>
  <c r="K70" i="2" s="1"/>
  <c r="N69" i="2"/>
  <c r="M70" i="2" s="1"/>
  <c r="W69" i="2"/>
  <c r="X69" i="2" s="1"/>
  <c r="AA68" i="2"/>
  <c r="I71" i="2"/>
  <c r="J71" i="2" s="1"/>
  <c r="O70" i="2" l="1"/>
  <c r="P70" i="2" s="1"/>
  <c r="U69" i="2"/>
  <c r="Z69" i="2"/>
  <c r="Y70" i="2" s="1"/>
  <c r="Z70" i="2" s="1"/>
  <c r="Y71" i="2" s="1"/>
  <c r="N70" i="2"/>
  <c r="M71" i="2" s="1"/>
  <c r="W70" i="2"/>
  <c r="X70" i="2" s="1"/>
  <c r="AA69" i="2"/>
  <c r="I72" i="2"/>
  <c r="J72" i="2" s="1"/>
  <c r="T70" i="2" l="1"/>
  <c r="S71" i="2" s="1"/>
  <c r="T71" i="2" s="1"/>
  <c r="S72" i="2" s="1"/>
  <c r="U70" i="2"/>
  <c r="O71" i="2"/>
  <c r="P71" i="2" s="1"/>
  <c r="R70" i="2"/>
  <c r="Q71" i="2" s="1"/>
  <c r="Z71" i="2" s="1"/>
  <c r="Y72" i="2" s="1"/>
  <c r="L70" i="2"/>
  <c r="K71" i="2" s="1"/>
  <c r="L71" i="2" s="1"/>
  <c r="K72" i="2" s="1"/>
  <c r="R71" i="2"/>
  <c r="Q72" i="2" s="1"/>
  <c r="AA70" i="2"/>
  <c r="W71" i="2"/>
  <c r="I73" i="2"/>
  <c r="J73" i="2" s="1"/>
  <c r="O72" i="2" l="1"/>
  <c r="P72" i="2" s="1"/>
  <c r="N71" i="2"/>
  <c r="M72" i="2" s="1"/>
  <c r="X71" i="2"/>
  <c r="W72" i="2" s="1"/>
  <c r="X72" i="2" s="1"/>
  <c r="U71" i="2"/>
  <c r="Z72" i="2"/>
  <c r="Y73" i="2" s="1"/>
  <c r="L72" i="2"/>
  <c r="K73" i="2" s="1"/>
  <c r="AA71" i="2"/>
  <c r="I74" i="2"/>
  <c r="J74" i="2" s="1"/>
  <c r="T72" i="2" l="1"/>
  <c r="S73" i="2" s="1"/>
  <c r="R72" i="2"/>
  <c r="Q73" i="2" s="1"/>
  <c r="O73" i="2"/>
  <c r="U72" i="2"/>
  <c r="N72" i="2"/>
  <c r="M73" i="2" s="1"/>
  <c r="Z73" i="2"/>
  <c r="Y74" i="2" s="1"/>
  <c r="L73" i="2"/>
  <c r="K74" i="2" s="1"/>
  <c r="AA72" i="2"/>
  <c r="W73" i="2"/>
  <c r="X73" i="2" s="1"/>
  <c r="I75" i="2"/>
  <c r="J75" i="2" s="1"/>
  <c r="P73" i="2" l="1"/>
  <c r="R73" i="2"/>
  <c r="Q74" i="2" s="1"/>
  <c r="Z74" i="2" s="1"/>
  <c r="Y75" i="2" s="1"/>
  <c r="T73" i="2"/>
  <c r="S74" i="2" s="1"/>
  <c r="U73" i="2"/>
  <c r="O74" i="2"/>
  <c r="P74" i="2" s="1"/>
  <c r="N73" i="2"/>
  <c r="M74" i="2" s="1"/>
  <c r="L74" i="2"/>
  <c r="K75" i="2" s="1"/>
  <c r="AA73" i="2"/>
  <c r="W74" i="2"/>
  <c r="X74" i="2" s="1"/>
  <c r="I76" i="2"/>
  <c r="J76" i="2" s="1"/>
  <c r="T74" i="2" l="1"/>
  <c r="S75" i="2" s="1"/>
  <c r="R74" i="2"/>
  <c r="Q75" i="2" s="1"/>
  <c r="U74" i="2"/>
  <c r="O75" i="2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P75" i="2" l="1"/>
  <c r="T75" i="2"/>
  <c r="S76" i="2" s="1"/>
  <c r="O76" i="2"/>
  <c r="P76" i="2" s="1"/>
  <c r="R75" i="2"/>
  <c r="Q76" i="2" s="1"/>
  <c r="Z76" i="2" s="1"/>
  <c r="Y77" i="2" s="1"/>
  <c r="U75" i="2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O77" i="2"/>
  <c r="P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O78" i="2"/>
  <c r="P78" i="2" s="1"/>
  <c r="R77" i="2"/>
  <c r="Q78" i="2" s="1"/>
  <c r="L78" i="2"/>
  <c r="K79" i="2" s="1"/>
  <c r="N78" i="2"/>
  <c r="M79" i="2" s="1"/>
  <c r="W78" i="2"/>
  <c r="X78" i="2" s="1"/>
  <c r="AA77" i="2"/>
  <c r="I80" i="2"/>
  <c r="J80" i="2" s="1"/>
  <c r="O79" i="2" l="1"/>
  <c r="P79" i="2" s="1"/>
  <c r="R78" i="2"/>
  <c r="Q79" i="2" s="1"/>
  <c r="T78" i="2"/>
  <c r="S79" i="2" s="1"/>
  <c r="Z78" i="2"/>
  <c r="Y79" i="2" s="1"/>
  <c r="Z79" i="2" s="1"/>
  <c r="Y80" i="2" s="1"/>
  <c r="U78" i="2"/>
  <c r="N79" i="2"/>
  <c r="M80" i="2" s="1"/>
  <c r="AA78" i="2"/>
  <c r="W79" i="2"/>
  <c r="X79" i="2" s="1"/>
  <c r="I81" i="2"/>
  <c r="J81" i="2" s="1"/>
  <c r="O80" i="2" l="1"/>
  <c r="P80" i="2" s="1"/>
  <c r="T79" i="2"/>
  <c r="S80" i="2" s="1"/>
  <c r="R79" i="2"/>
  <c r="Q80" i="2" s="1"/>
  <c r="Z80" i="2" s="1"/>
  <c r="Y81" i="2" s="1"/>
  <c r="U79" i="2"/>
  <c r="L79" i="2"/>
  <c r="K80" i="2" s="1"/>
  <c r="L80" i="2" s="1"/>
  <c r="K81" i="2" s="1"/>
  <c r="AA79" i="2"/>
  <c r="W80" i="2"/>
  <c r="I82" i="2"/>
  <c r="J82" i="2" s="1"/>
  <c r="O81" i="2" l="1"/>
  <c r="R81" i="2" s="1"/>
  <c r="Q82" i="2" s="1"/>
  <c r="R80" i="2"/>
  <c r="Q81" i="2" s="1"/>
  <c r="Z81" i="2" s="1"/>
  <c r="Y82" i="2" s="1"/>
  <c r="T80" i="2"/>
  <c r="S81" i="2" s="1"/>
  <c r="U80" i="2"/>
  <c r="N80" i="2"/>
  <c r="M81" i="2" s="1"/>
  <c r="P81" i="2" s="1"/>
  <c r="X80" i="2"/>
  <c r="W81" i="2" s="1"/>
  <c r="X81" i="2" s="1"/>
  <c r="T81" i="2"/>
  <c r="S82" i="2" s="1"/>
  <c r="L81" i="2"/>
  <c r="K82" i="2" s="1"/>
  <c r="AA80" i="2"/>
  <c r="I83" i="2"/>
  <c r="J83" i="2" s="1"/>
  <c r="U81" i="2" l="1"/>
  <c r="O82" i="2"/>
  <c r="N81" i="2"/>
  <c r="M82" i="2" s="1"/>
  <c r="N82" i="2" s="1"/>
  <c r="M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R82" i="2"/>
  <c r="Q83" i="2" s="1"/>
  <c r="T82" i="2"/>
  <c r="S83" i="2" s="1"/>
  <c r="U82" i="2"/>
  <c r="Z83" i="2"/>
  <c r="Y84" i="2" s="1"/>
  <c r="N83" i="2"/>
  <c r="M84" i="2" s="1"/>
  <c r="L83" i="2"/>
  <c r="K84" i="2" s="1"/>
  <c r="W83" i="2"/>
  <c r="X83" i="2" s="1"/>
  <c r="AA82" i="2"/>
  <c r="I85" i="2"/>
  <c r="J85" i="2" s="1"/>
  <c r="O84" i="2" l="1"/>
  <c r="P84" i="2" s="1"/>
  <c r="U83" i="2"/>
  <c r="R83" i="2"/>
  <c r="Q84" i="2" s="1"/>
  <c r="R84" i="2" s="1"/>
  <c r="Q85" i="2" s="1"/>
  <c r="T83" i="2"/>
  <c r="S84" i="2" s="1"/>
  <c r="Z84" i="2"/>
  <c r="Y85" i="2" s="1"/>
  <c r="L84" i="2"/>
  <c r="K85" i="2" s="1"/>
  <c r="N84" i="2"/>
  <c r="M85" i="2" s="1"/>
  <c r="W84" i="2"/>
  <c r="X84" i="2" s="1"/>
  <c r="AA83" i="2"/>
  <c r="I86" i="2"/>
  <c r="J86" i="2" s="1"/>
  <c r="O85" i="2" l="1"/>
  <c r="P85" i="2" s="1"/>
  <c r="T84" i="2"/>
  <c r="S85" i="2" s="1"/>
  <c r="U84" i="2"/>
  <c r="Z85" i="2"/>
  <c r="Y86" i="2" s="1"/>
  <c r="R85" i="2"/>
  <c r="Q86" i="2" s="1"/>
  <c r="N85" i="2"/>
  <c r="M86" i="2" s="1"/>
  <c r="L85" i="2"/>
  <c r="K86" i="2" s="1"/>
  <c r="W85" i="2"/>
  <c r="X85" i="2" s="1"/>
  <c r="AA84" i="2"/>
  <c r="I87" i="2"/>
  <c r="J87" i="2" s="1"/>
  <c r="O86" i="2" l="1"/>
  <c r="P86" i="2" s="1"/>
  <c r="U85" i="2"/>
  <c r="T85" i="2"/>
  <c r="S86" i="2" s="1"/>
  <c r="U86" i="2" s="1"/>
  <c r="Z86" i="2"/>
  <c r="Y87" i="2" s="1"/>
  <c r="T86" i="2"/>
  <c r="S87" i="2" s="1"/>
  <c r="L86" i="2"/>
  <c r="K87" i="2" s="1"/>
  <c r="R86" i="2"/>
  <c r="Q87" i="2" s="1"/>
  <c r="N86" i="2"/>
  <c r="M87" i="2" s="1"/>
  <c r="W86" i="2"/>
  <c r="X86" i="2" s="1"/>
  <c r="AA85" i="2"/>
  <c r="I88" i="2"/>
  <c r="J88" i="2" s="1"/>
  <c r="O87" i="2" l="1"/>
  <c r="P87" i="2" s="1"/>
  <c r="Z87" i="2"/>
  <c r="Y88" i="2" s="1"/>
  <c r="N87" i="2"/>
  <c r="M88" i="2" s="1"/>
  <c r="L87" i="2"/>
  <c r="K88" i="2" s="1"/>
  <c r="AA86" i="2"/>
  <c r="W87" i="2"/>
  <c r="X87" i="2" s="1"/>
  <c r="I89" i="2"/>
  <c r="J89" i="2" s="1"/>
  <c r="U87" i="2" l="1"/>
  <c r="O88" i="2"/>
  <c r="P88" i="2" s="1"/>
  <c r="R87" i="2"/>
  <c r="Q88" i="2" s="1"/>
  <c r="T87" i="2"/>
  <c r="S88" i="2" s="1"/>
  <c r="R88" i="2"/>
  <c r="Q89" i="2" s="1"/>
  <c r="T88" i="2"/>
  <c r="S89" i="2" s="1"/>
  <c r="Z88" i="2"/>
  <c r="Y89" i="2" s="1"/>
  <c r="O89" i="2"/>
  <c r="N88" i="2"/>
  <c r="M89" i="2" s="1"/>
  <c r="L88" i="2"/>
  <c r="K89" i="2" s="1"/>
  <c r="U88" i="2"/>
  <c r="AA87" i="2"/>
  <c r="W88" i="2"/>
  <c r="X88" i="2" s="1"/>
  <c r="I90" i="2"/>
  <c r="J90" i="2" s="1"/>
  <c r="P89" i="2" l="1"/>
  <c r="T89" i="2"/>
  <c r="S90" i="2" s="1"/>
  <c r="Z89" i="2"/>
  <c r="Y90" i="2" s="1"/>
  <c r="R89" i="2"/>
  <c r="Q90" i="2" s="1"/>
  <c r="O90" i="2"/>
  <c r="P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O91" i="2"/>
  <c r="P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O92" i="2"/>
  <c r="N91" i="2"/>
  <c r="M92" i="2" s="1"/>
  <c r="L91" i="2"/>
  <c r="K92" i="2" s="1"/>
  <c r="U91" i="2"/>
  <c r="I93" i="2"/>
  <c r="J93" i="2" s="1"/>
  <c r="AA90" i="2"/>
  <c r="W91" i="2"/>
  <c r="X91" i="2" s="1"/>
  <c r="P92" i="2" l="1"/>
  <c r="O93" i="2" s="1"/>
  <c r="P93" i="2" s="1"/>
  <c r="Z92" i="2"/>
  <c r="Y93" i="2" s="1"/>
  <c r="T92" i="2"/>
  <c r="S93" i="2" s="1"/>
  <c r="N92" i="2"/>
  <c r="M93" i="2" s="1"/>
  <c r="R92" i="2"/>
  <c r="Q93" i="2" s="1"/>
  <c r="L92" i="2"/>
  <c r="K93" i="2" s="1"/>
  <c r="U92" i="2"/>
  <c r="AA91" i="2"/>
  <c r="W92" i="2"/>
  <c r="X92" i="2" s="1"/>
  <c r="I94" i="2"/>
  <c r="J94" i="2" s="1"/>
  <c r="R93" i="2" l="1"/>
  <c r="Q94" i="2" s="1"/>
  <c r="O94" i="2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P94" i="2" l="1"/>
  <c r="T94" i="2"/>
  <c r="S95" i="2" s="1"/>
  <c r="Z94" i="2"/>
  <c r="Y95" i="2" s="1"/>
  <c r="R94" i="2"/>
  <c r="Q95" i="2" s="1"/>
  <c r="O95" i="2"/>
  <c r="P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O96" i="2"/>
  <c r="P96" i="2" s="1"/>
  <c r="L95" i="2"/>
  <c r="K96" i="2" s="1"/>
  <c r="U95" i="2"/>
  <c r="W95" i="2"/>
  <c r="X95" i="2" s="1"/>
  <c r="I97" i="2"/>
  <c r="J97" i="2" s="1"/>
  <c r="AA94" i="2"/>
  <c r="Z96" i="2" l="1"/>
  <c r="Y97" i="2" s="1"/>
  <c r="O97" i="2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P97" i="2" l="1"/>
  <c r="T97" i="2"/>
  <c r="S98" i="2" s="1"/>
  <c r="R97" i="2"/>
  <c r="Q98" i="2" s="1"/>
  <c r="Z97" i="2"/>
  <c r="Y98" i="2" s="1"/>
  <c r="O98" i="2"/>
  <c r="P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O99" i="2"/>
  <c r="L98" i="2"/>
  <c r="K99" i="2" s="1"/>
  <c r="N98" i="2"/>
  <c r="M99" i="2" s="1"/>
  <c r="I100" i="2"/>
  <c r="J100" i="2" s="1"/>
  <c r="U98" i="2"/>
  <c r="W98" i="2"/>
  <c r="X98" i="2" s="1"/>
  <c r="AA97" i="2"/>
  <c r="P99" i="2" l="1"/>
  <c r="O100" i="2" s="1"/>
  <c r="P100" i="2" s="1"/>
  <c r="Z99" i="2"/>
  <c r="Y100" i="2" s="1"/>
  <c r="T99" i="2"/>
  <c r="S100" i="2" s="1"/>
  <c r="R99" i="2"/>
  <c r="Q100" i="2" s="1"/>
  <c r="L99" i="2"/>
  <c r="K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O101" i="2"/>
  <c r="P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O102" i="2"/>
  <c r="N101" i="2"/>
  <c r="M102" i="2" s="1"/>
  <c r="L101" i="2"/>
  <c r="K102" i="2" s="1"/>
  <c r="U101" i="2"/>
  <c r="W101" i="2"/>
  <c r="X101" i="2" s="1"/>
  <c r="AA100" i="2"/>
  <c r="I103" i="2"/>
  <c r="J103" i="2" s="1"/>
  <c r="P102" i="2" l="1"/>
  <c r="T102" i="2"/>
  <c r="S103" i="2" s="1"/>
  <c r="R102" i="2"/>
  <c r="Q103" i="2" s="1"/>
  <c r="Z102" i="2"/>
  <c r="Y103" i="2" s="1"/>
  <c r="O103" i="2"/>
  <c r="L102" i="2"/>
  <c r="K103" i="2" s="1"/>
  <c r="N102" i="2"/>
  <c r="M103" i="2" s="1"/>
  <c r="U102" i="2"/>
  <c r="I104" i="2"/>
  <c r="J104" i="2" s="1"/>
  <c r="AA101" i="2"/>
  <c r="W102" i="2"/>
  <c r="X102" i="2" s="1"/>
  <c r="P103" i="2" l="1"/>
  <c r="O104" i="2" s="1"/>
  <c r="R103" i="2"/>
  <c r="Q104" i="2" s="1"/>
  <c r="T103" i="2"/>
  <c r="S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P104" i="2" l="1"/>
  <c r="R104" i="2"/>
  <c r="Q105" i="2" s="1"/>
  <c r="T104" i="2"/>
  <c r="S105" i="2" s="1"/>
  <c r="Z104" i="2"/>
  <c r="Y105" i="2" s="1"/>
  <c r="O105" i="2"/>
  <c r="N104" i="2"/>
  <c r="M105" i="2" s="1"/>
  <c r="L104" i="2"/>
  <c r="K105" i="2" s="1"/>
  <c r="U104" i="2"/>
  <c r="AA103" i="2"/>
  <c r="W104" i="2"/>
  <c r="X104" i="2" s="1"/>
  <c r="I106" i="2"/>
  <c r="J106" i="2" s="1"/>
  <c r="P105" i="2" l="1"/>
  <c r="Z105" i="2"/>
  <c r="Y106" i="2" s="1"/>
  <c r="T105" i="2"/>
  <c r="S106" i="2" s="1"/>
  <c r="R105" i="2"/>
  <c r="Q106" i="2" s="1"/>
  <c r="O106" i="2"/>
  <c r="P106" i="2" s="1"/>
  <c r="N105" i="2"/>
  <c r="M106" i="2" s="1"/>
  <c r="L105" i="2"/>
  <c r="K106" i="2" s="1"/>
  <c r="U105" i="2"/>
  <c r="AA104" i="2"/>
  <c r="W105" i="2"/>
  <c r="X105" i="2" s="1"/>
  <c r="I107" i="2"/>
  <c r="J107" i="2" s="1"/>
  <c r="O107" i="2" l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P107" i="2" l="1"/>
  <c r="R107" i="2"/>
  <c r="Q108" i="2" s="1"/>
  <c r="T107" i="2"/>
  <c r="S108" i="2" s="1"/>
  <c r="Z107" i="2"/>
  <c r="Y108" i="2" s="1"/>
  <c r="O108" i="2"/>
  <c r="P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O109" i="2"/>
  <c r="N108" i="2"/>
  <c r="M109" i="2" s="1"/>
  <c r="L108" i="2"/>
  <c r="K109" i="2" s="1"/>
  <c r="U108" i="2"/>
  <c r="I110" i="2"/>
  <c r="J110" i="2" s="1"/>
  <c r="W108" i="2"/>
  <c r="X108" i="2" s="1"/>
  <c r="AA107" i="2"/>
  <c r="P109" i="2" l="1"/>
  <c r="Z109" i="2"/>
  <c r="Y110" i="2" s="1"/>
  <c r="T109" i="2"/>
  <c r="S110" i="2" s="1"/>
  <c r="R109" i="2"/>
  <c r="Q110" i="2" s="1"/>
  <c r="O110" i="2"/>
  <c r="P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O111" i="2"/>
  <c r="N110" i="2"/>
  <c r="M111" i="2" s="1"/>
  <c r="L110" i="2"/>
  <c r="K111" i="2" s="1"/>
  <c r="U110" i="2"/>
  <c r="I112" i="2"/>
  <c r="J112" i="2" s="1"/>
  <c r="AA109" i="2"/>
  <c r="W110" i="2"/>
  <c r="X110" i="2" s="1"/>
  <c r="P111" i="2" l="1"/>
  <c r="Z111" i="2"/>
  <c r="Y112" i="2" s="1"/>
  <c r="R111" i="2"/>
  <c r="Q112" i="2" s="1"/>
  <c r="T111" i="2"/>
  <c r="S112" i="2" s="1"/>
  <c r="O112" i="2"/>
  <c r="P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O113" i="2"/>
  <c r="P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O114" i="2"/>
  <c r="N113" i="2"/>
  <c r="M114" i="2" s="1"/>
  <c r="L113" i="2"/>
  <c r="K114" i="2" s="1"/>
  <c r="U113" i="2"/>
  <c r="W113" i="2"/>
  <c r="X113" i="2" s="1"/>
  <c r="AA112" i="2"/>
  <c r="I115" i="2"/>
  <c r="J115" i="2" s="1"/>
  <c r="P114" i="2" l="1"/>
  <c r="T114" i="2"/>
  <c r="S115" i="2" s="1"/>
  <c r="Z114" i="2"/>
  <c r="Y115" i="2" s="1"/>
  <c r="R114" i="2"/>
  <c r="Q115" i="2" s="1"/>
  <c r="O115" i="2"/>
  <c r="L114" i="2"/>
  <c r="K115" i="2" s="1"/>
  <c r="N114" i="2"/>
  <c r="M115" i="2" s="1"/>
  <c r="U114" i="2"/>
  <c r="W114" i="2"/>
  <c r="X114" i="2" s="1"/>
  <c r="AA113" i="2"/>
  <c r="I116" i="2"/>
  <c r="J116" i="2" s="1"/>
  <c r="P115" i="2" l="1"/>
  <c r="R115" i="2"/>
  <c r="Q116" i="2" s="1"/>
  <c r="T115" i="2"/>
  <c r="S116" i="2" s="1"/>
  <c r="Z115" i="2"/>
  <c r="Y116" i="2" s="1"/>
  <c r="O116" i="2"/>
  <c r="N115" i="2"/>
  <c r="M116" i="2" s="1"/>
  <c r="L115" i="2"/>
  <c r="K116" i="2" s="1"/>
  <c r="U115" i="2"/>
  <c r="W115" i="2"/>
  <c r="X115" i="2" s="1"/>
  <c r="AA114" i="2"/>
  <c r="I117" i="2"/>
  <c r="J117" i="2" s="1"/>
  <c r="P116" i="2" l="1"/>
  <c r="O117" i="2" s="1"/>
  <c r="T116" i="2"/>
  <c r="S117" i="2" s="1"/>
  <c r="Z116" i="2"/>
  <c r="Y117" i="2" s="1"/>
  <c r="R116" i="2"/>
  <c r="Q117" i="2" s="1"/>
  <c r="N116" i="2"/>
  <c r="M117" i="2" s="1"/>
  <c r="L116" i="2"/>
  <c r="K117" i="2" s="1"/>
  <c r="U116" i="2"/>
  <c r="AA115" i="2"/>
  <c r="W116" i="2"/>
  <c r="X116" i="2" s="1"/>
  <c r="I118" i="2"/>
  <c r="J118" i="2" s="1"/>
  <c r="P117" i="2" l="1"/>
  <c r="Z117" i="2"/>
  <c r="Y118" i="2" s="1"/>
  <c r="R117" i="2"/>
  <c r="Q118" i="2" s="1"/>
  <c r="T117" i="2"/>
  <c r="S118" i="2" s="1"/>
  <c r="O118" i="2"/>
  <c r="N117" i="2"/>
  <c r="M118" i="2" s="1"/>
  <c r="L117" i="2"/>
  <c r="K118" i="2" s="1"/>
  <c r="U117" i="2"/>
  <c r="I119" i="2"/>
  <c r="J119" i="2" s="1"/>
  <c r="W117" i="2"/>
  <c r="X117" i="2" s="1"/>
  <c r="AA116" i="2"/>
  <c r="P118" i="2" l="1"/>
  <c r="R118" i="2"/>
  <c r="Q119" i="2" s="1"/>
  <c r="T118" i="2"/>
  <c r="S119" i="2" s="1"/>
  <c r="Z118" i="2"/>
  <c r="Y119" i="2" s="1"/>
  <c r="O119" i="2"/>
  <c r="P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O120" i="2"/>
  <c r="P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O121" i="2"/>
  <c r="N120" i="2"/>
  <c r="M121" i="2" s="1"/>
  <c r="L120" i="2"/>
  <c r="K121" i="2" s="1"/>
  <c r="U120" i="2"/>
  <c r="W120" i="2"/>
  <c r="X120" i="2" s="1"/>
  <c r="AA119" i="2"/>
  <c r="I122" i="2"/>
  <c r="J122" i="2" s="1"/>
  <c r="P121" i="2" l="1"/>
  <c r="O122" i="2" s="1"/>
  <c r="P122" i="2" s="1"/>
  <c r="T121" i="2"/>
  <c r="S122" i="2" s="1"/>
  <c r="Z121" i="2"/>
  <c r="Y122" i="2" s="1"/>
  <c r="R121" i="2"/>
  <c r="Q122" i="2" s="1"/>
  <c r="L121" i="2"/>
  <c r="K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O123" i="2"/>
  <c r="N122" i="2"/>
  <c r="M123" i="2" s="1"/>
  <c r="L122" i="2"/>
  <c r="K123" i="2" s="1"/>
  <c r="U122" i="2"/>
  <c r="AA121" i="2"/>
  <c r="W122" i="2"/>
  <c r="X122" i="2" s="1"/>
  <c r="I124" i="2"/>
  <c r="J124" i="2" s="1"/>
  <c r="P123" i="2" l="1"/>
  <c r="T123" i="2"/>
  <c r="S124" i="2" s="1"/>
  <c r="Z123" i="2"/>
  <c r="Y124" i="2" s="1"/>
  <c r="R123" i="2"/>
  <c r="Q124" i="2" s="1"/>
  <c r="O124" i="2"/>
  <c r="P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O125" i="2"/>
  <c r="N124" i="2"/>
  <c r="M125" i="2" s="1"/>
  <c r="L124" i="2"/>
  <c r="K125" i="2" s="1"/>
  <c r="U124" i="2"/>
  <c r="I126" i="2"/>
  <c r="J126" i="2" s="1"/>
  <c r="W124" i="2"/>
  <c r="X124" i="2" s="1"/>
  <c r="AA123" i="2"/>
  <c r="P125" i="2" l="1"/>
  <c r="O126" i="2" s="1"/>
  <c r="P126" i="2" s="1"/>
  <c r="R125" i="2"/>
  <c r="Q126" i="2" s="1"/>
  <c r="T125" i="2"/>
  <c r="S126" i="2" s="1"/>
  <c r="Z125" i="2"/>
  <c r="Y126" i="2" s="1"/>
  <c r="L125" i="2"/>
  <c r="K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O127" i="2"/>
  <c r="N126" i="2"/>
  <c r="M127" i="2" s="1"/>
  <c r="L126" i="2"/>
  <c r="K127" i="2" s="1"/>
  <c r="U126" i="2"/>
  <c r="I128" i="2"/>
  <c r="J128" i="2" s="1"/>
  <c r="W126" i="2"/>
  <c r="X126" i="2" s="1"/>
  <c r="AA125" i="2"/>
  <c r="P127" i="2" l="1"/>
  <c r="O128" i="2" s="1"/>
  <c r="Z127" i="2"/>
  <c r="Y128" i="2" s="1"/>
  <c r="T127" i="2"/>
  <c r="S128" i="2" s="1"/>
  <c r="R127" i="2"/>
  <c r="Q128" i="2" s="1"/>
  <c r="N127" i="2"/>
  <c r="M128" i="2" s="1"/>
  <c r="L127" i="2"/>
  <c r="K128" i="2" s="1"/>
  <c r="U127" i="2"/>
  <c r="W127" i="2"/>
  <c r="X127" i="2" s="1"/>
  <c r="AA126" i="2"/>
  <c r="I129" i="2"/>
  <c r="J129" i="2" s="1"/>
  <c r="P128" i="2" l="1"/>
  <c r="O129" i="2" s="1"/>
  <c r="P129" i="2" s="1"/>
  <c r="T128" i="2"/>
  <c r="S129" i="2" s="1"/>
  <c r="Z128" i="2"/>
  <c r="Y129" i="2" s="1"/>
  <c r="R128" i="2"/>
  <c r="Q129" i="2" s="1"/>
  <c r="L128" i="2"/>
  <c r="K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O130" i="2"/>
  <c r="P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O131" i="2"/>
  <c r="N130" i="2"/>
  <c r="M131" i="2" s="1"/>
  <c r="L130" i="2"/>
  <c r="K131" i="2" s="1"/>
  <c r="U130" i="2"/>
  <c r="AA129" i="2"/>
  <c r="W130" i="2"/>
  <c r="X130" i="2" s="1"/>
  <c r="I132" i="2"/>
  <c r="J132" i="2" s="1"/>
  <c r="P131" i="2" l="1"/>
  <c r="T131" i="2"/>
  <c r="S132" i="2" s="1"/>
  <c r="R131" i="2"/>
  <c r="Q132" i="2" s="1"/>
  <c r="Z131" i="2"/>
  <c r="Y132" i="2" s="1"/>
  <c r="O132" i="2"/>
  <c r="L131" i="2"/>
  <c r="K132" i="2" s="1"/>
  <c r="N131" i="2"/>
  <c r="M132" i="2" s="1"/>
  <c r="U131" i="2"/>
  <c r="I133" i="2"/>
  <c r="J133" i="2" s="1"/>
  <c r="AA130" i="2"/>
  <c r="W131" i="2"/>
  <c r="X131" i="2" s="1"/>
  <c r="P132" i="2" l="1"/>
  <c r="R132" i="2"/>
  <c r="Q133" i="2" s="1"/>
  <c r="T132" i="2"/>
  <c r="S133" i="2" s="1"/>
  <c r="Z132" i="2"/>
  <c r="Y133" i="2" s="1"/>
  <c r="O133" i="2"/>
  <c r="P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O134" i="2"/>
  <c r="P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O135" i="2"/>
  <c r="P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O136" i="2"/>
  <c r="P136" i="2" s="1"/>
  <c r="N135" i="2"/>
  <c r="M136" i="2" s="1"/>
  <c r="U135" i="2"/>
  <c r="AA134" i="2"/>
  <c r="W135" i="2"/>
  <c r="X135" i="2" s="1"/>
  <c r="R136" i="2" l="1"/>
  <c r="Z136" i="2"/>
  <c r="T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<sst xmlns="http://schemas.openxmlformats.org/spreadsheetml/2006/main" count="213" uniqueCount="146">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</sst>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7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167" fontId="0" fillId="9" borderId="10" xfId="0" applyNumberFormat="1" applyFill="1" applyBorder="1" applyAlignment="1">
      <alignment horizontal="center" wrapText="1"/>
    </xf>
    <xf numFmtId="167" fontId="0" fillId="9" borderId="12" xfId="0" applyNumberFormat="1" applyFill="1" applyBorder="1" applyAlignment="1">
      <alignment horizontal="center" wrapText="1"/>
    </xf>
    <xf numFmtId="164" fontId="0" fillId="12" borderId="0" xfId="0" applyNumberFormat="1" applyFill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164" fontId="0" fillId="0" borderId="7" xfId="0" applyNumberFormat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1.0000419557614641E+19</c:v>
                </c:pt>
                <c:pt idx="1">
                  <c:v>2.135542674725952E+21</c:v>
                </c:pt>
                <c:pt idx="2">
                  <c:v>7.5800306235257861E+20</c:v>
                </c:pt>
                <c:pt idx="3">
                  <c:v>1.3599854935779675E+20</c:v>
                </c:pt>
                <c:pt idx="4">
                  <c:v>5.3578877221719589E+19</c:v>
                </c:pt>
                <c:pt idx="5">
                  <c:v>3.2881066822868275E+19</c:v>
                </c:pt>
                <c:pt idx="6">
                  <c:v>7.0174286821421228E+19</c:v>
                </c:pt>
                <c:pt idx="7">
                  <c:v>1.628044220658267E+22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1232896"/>
        <c:axId val="151234432"/>
      </c:barChart>
      <c:catAx>
        <c:axId val="151232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51234432"/>
        <c:crosses val="autoZero"/>
        <c:auto val="1"/>
        <c:lblAlgn val="ctr"/>
        <c:lblOffset val="100"/>
        <c:noMultiLvlLbl val="0"/>
      </c:catAx>
      <c:valAx>
        <c:axId val="151234432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51232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385792"/>
        <c:axId val="152391680"/>
      </c:barChart>
      <c:catAx>
        <c:axId val="152385792"/>
        <c:scaling>
          <c:orientation val="minMax"/>
        </c:scaling>
        <c:delete val="0"/>
        <c:axPos val="b"/>
        <c:majorTickMark val="out"/>
        <c:minorTickMark val="none"/>
        <c:tickLblPos val="nextTo"/>
        <c:crossAx val="152391680"/>
        <c:crosses val="autoZero"/>
        <c:auto val="1"/>
        <c:lblAlgn val="ctr"/>
        <c:lblOffset val="100"/>
        <c:noMultiLvlLbl val="0"/>
      </c:catAx>
      <c:valAx>
        <c:axId val="1523916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52385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408429595212157E-2"/>
                  <c:y val="5.8290377231263117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556224"/>
        <c:axId val="169562496"/>
      </c:scatterChart>
      <c:valAx>
        <c:axId val="1695562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562496"/>
        <c:crosses val="autoZero"/>
        <c:crossBetween val="midCat"/>
      </c:valAx>
      <c:valAx>
        <c:axId val="169562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556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4.8313468826696578E-2"/>
                  <c:y val="-7.170246645122407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02048"/>
        <c:axId val="169604224"/>
      </c:scatterChart>
      <c:valAx>
        <c:axId val="1696020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604224"/>
        <c:crosses val="autoZero"/>
        <c:crossBetween val="midCat"/>
      </c:valAx>
      <c:valAx>
        <c:axId val="16960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6020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6618917607400845E-2"/>
                  <c:y val="7.5958887813202494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4624"/>
        <c:axId val="169689088"/>
      </c:scatterChart>
      <c:valAx>
        <c:axId val="1696746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69689088"/>
        <c:crosses val="autoZero"/>
        <c:crossBetween val="midCat"/>
      </c:valAx>
      <c:valAx>
        <c:axId val="169689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6746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4.4959741374737051E-2"/>
                  <c:y val="-9.499885662585318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736448"/>
        <c:axId val="175251840"/>
      </c:scatterChart>
      <c:valAx>
        <c:axId val="16973644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251840"/>
        <c:crosses val="autoZero"/>
        <c:crossBetween val="midCat"/>
      </c:valAx>
      <c:valAx>
        <c:axId val="175251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697364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2.1597476277240152E-3"/>
                  <c:y val="8.932653327573315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19360"/>
        <c:axId val="175133824"/>
      </c:scatterChart>
      <c:valAx>
        <c:axId val="17511936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133824"/>
        <c:crosses val="autoZero"/>
        <c:crossBetween val="midCat"/>
      </c:valAx>
      <c:valAx>
        <c:axId val="17513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119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4157716932908598"/>
                  <c:y val="-0.22196459534658655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057152"/>
        <c:axId val="175067520"/>
      </c:scatterChart>
      <c:valAx>
        <c:axId val="17505715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067520"/>
        <c:crosses val="autoZero"/>
        <c:crossBetween val="midCat"/>
      </c:valAx>
      <c:valAx>
        <c:axId val="175067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05715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320702547314147E-4"/>
                  <c:y val="-0.13504948346610468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105.40994828062044</c:v>
                </c:pt>
                <c:pt idx="15">
                  <c:v>103.35009498699714</c:v>
                </c:pt>
                <c:pt idx="16">
                  <c:v>101.33063792416529</c:v>
                </c:pt>
                <c:pt idx="17">
                  <c:v>99.350784500899522</c:v>
                </c:pt>
                <c:pt idx="18">
                  <c:v>97.409757677809168</c:v>
                </c:pt>
                <c:pt idx="19">
                  <c:v>95.506795662187841</c:v>
                </c:pt>
                <c:pt idx="20">
                  <c:v>93.641151608850436</c:v>
                </c:pt>
                <c:pt idx="21">
                  <c:v>91.812093326840198</c:v>
                </c:pt>
                <c:pt idx="22">
                  <c:v>90.018902991890542</c:v>
                </c:pt>
                <c:pt idx="23">
                  <c:v>88.260876864528768</c:v>
                </c:pt>
                <c:pt idx="24">
                  <c:v>86.537325013710998</c:v>
                </c:pt>
                <c:pt idx="25">
                  <c:v>84.847571045879732</c:v>
                </c:pt>
                <c:pt idx="26">
                  <c:v>83.190951839337728</c:v>
                </c:pt>
                <c:pt idx="27">
                  <c:v>81.566817283833785</c:v>
                </c:pt>
                <c:pt idx="28">
                  <c:v>79.974530025258261</c:v>
                </c:pt>
                <c:pt idx="29">
                  <c:v>78.413465215347941</c:v>
                </c:pt>
                <c:pt idx="30">
                  <c:v>76.883010266302165</c:v>
                </c:pt>
                <c:pt idx="31">
                  <c:v>75.382564610213592</c:v>
                </c:pt>
                <c:pt idx="32">
                  <c:v>73.911539463219398</c:v>
                </c:pt>
                <c:pt idx="33">
                  <c:v>72.469357594280055</c:v>
                </c:pt>
                <c:pt idx="34">
                  <c:v>71.055453098495093</c:v>
                </c:pt>
                <c:pt idx="35">
                  <c:v>69.669271174866637</c:v>
                </c:pt>
                <c:pt idx="36">
                  <c:v>68.310267908423583</c:v>
                </c:pt>
                <c:pt idx="37">
                  <c:v>66.977910056620814</c:v>
                </c:pt>
                <c:pt idx="38">
                  <c:v>65.671674839929537</c:v>
                </c:pt>
                <c:pt idx="39">
                  <c:v>64.391049736536559</c:v>
                </c:pt>
                <c:pt idx="40">
                  <c:v>63.135532281071868</c:v>
                </c:pt>
                <c:pt idx="41">
                  <c:v>61.904629867285408</c:v>
                </c:pt>
                <c:pt idx="42">
                  <c:v>60.697859554595702</c:v>
                </c:pt>
                <c:pt idx="43">
                  <c:v>59.514747878434193</c:v>
                </c:pt>
                <c:pt idx="44">
                  <c:v>58.354830664310953</c:v>
                </c:pt>
                <c:pt idx="45">
                  <c:v>57.217652845528661</c:v>
                </c:pt>
                <c:pt idx="46">
                  <c:v>56.102768284473335</c:v>
                </c:pt>
                <c:pt idx="47">
                  <c:v>55.009739597411532</c:v>
                </c:pt>
                <c:pt idx="48">
                  <c:v>53.938137982725351</c:v>
                </c:pt>
                <c:pt idx="49">
                  <c:v>52.887543052517678</c:v>
                </c:pt>
                <c:pt idx="50">
                  <c:v>51.857542667521599</c:v>
                </c:pt>
                <c:pt idx="51">
                  <c:v>50.847732775249106</c:v>
                </c:pt>
                <c:pt idx="52">
                  <c:v>49.857717251315599</c:v>
                </c:pt>
                <c:pt idx="53">
                  <c:v>48.887107743877792</c:v>
                </c:pt>
                <c:pt idx="54">
                  <c:v>47.935523521124018</c:v>
                </c:pt>
                <c:pt idx="55">
                  <c:v>47.002591321756974</c:v>
                </c:pt>
                <c:pt idx="56">
                  <c:v>46.087945208410233</c:v>
                </c:pt>
                <c:pt idx="57">
                  <c:v>45.191226423940904</c:v>
                </c:pt>
                <c:pt idx="58">
                  <c:v>44.312083250542102</c:v>
                </c:pt>
                <c:pt idx="59">
                  <c:v>43.450170871619775</c:v>
                </c:pt>
                <c:pt idx="60">
                  <c:v>42.605151236379783</c:v>
                </c:pt>
                <c:pt idx="61">
                  <c:v>41.776692927071913</c:v>
                </c:pt>
                <c:pt idx="62">
                  <c:v>40.964471028838823</c:v>
                </c:pt>
                <c:pt idx="63">
                  <c:v>40.168167002118707</c:v>
                </c:pt>
                <c:pt idx="64">
                  <c:v>39.387468557551614</c:v>
                </c:pt>
                <c:pt idx="65">
                  <c:v>38.62206953334033</c:v>
                </c:pt>
                <c:pt idx="66">
                  <c:v>37.871669775017573</c:v>
                </c:pt>
                <c:pt idx="67">
                  <c:v>37.135975017572378</c:v>
                </c:pt>
                <c:pt idx="68">
                  <c:v>36.414696769889318</c:v>
                </c:pt>
                <c:pt idx="69">
                  <c:v>35.707552201455222</c:v>
                </c:pt>
                <c:pt idx="70">
                  <c:v>35.01426403128886</c:v>
                </c:pt>
                <c:pt idx="71">
                  <c:v>34.33456041905</c:v>
                </c:pt>
                <c:pt idx="72">
                  <c:v>33.668174858285091</c:v>
                </c:pt>
                <c:pt idx="73">
                  <c:v>33.014846071767614</c:v>
                </c:pt>
                <c:pt idx="74">
                  <c:v>32.374317908892017</c:v>
                </c:pt>
                <c:pt idx="75">
                  <c:v>31.746339245080932</c:v>
                </c:pt>
                <c:pt idx="76">
                  <c:v>31.130663883166193</c:v>
                </c:pt>
                <c:pt idx="77">
                  <c:v>30.527050456704906</c:v>
                </c:pt>
                <c:pt idx="78">
                  <c:v>29.935262335192601</c:v>
                </c:pt>
                <c:pt idx="79">
                  <c:v>29.355067531136253</c:v>
                </c:pt>
                <c:pt idx="80">
                  <c:v>28.786238608950676</c:v>
                </c:pt>
                <c:pt idx="81">
                  <c:v>28.228552595642508</c:v>
                </c:pt>
                <c:pt idx="82">
                  <c:v>27.681790893246724</c:v>
                </c:pt>
                <c:pt idx="83">
                  <c:v>27.145739192981271</c:v>
                </c:pt>
                <c:pt idx="84">
                  <c:v>26.62018739108613</c:v>
                </c:pt>
                <c:pt idx="85">
                  <c:v>26.104929506313741</c:v>
                </c:pt>
                <c:pt idx="86">
                  <c:v>25.599763599038411</c:v>
                </c:pt>
                <c:pt idx="87">
                  <c:v>25.104491691952902</c:v>
                </c:pt>
                <c:pt idx="88">
                  <c:v>24.618919692321096</c:v>
                </c:pt>
                <c:pt idx="89">
                  <c:v>24.142857315756174</c:v>
                </c:pt>
                <c:pt idx="90">
                  <c:v>23.676118011494395</c:v>
                </c:pt>
                <c:pt idx="91">
                  <c:v>23.218518889135119</c:v>
                </c:pt>
                <c:pt idx="92">
                  <c:v>22.769880646818301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196800"/>
        <c:axId val="175223552"/>
      </c:scatterChart>
      <c:valAx>
        <c:axId val="17519680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223552"/>
        <c:crosses val="autoZero"/>
        <c:crossBetween val="midCat"/>
      </c:valAx>
      <c:valAx>
        <c:axId val="17522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1968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9514644850982122E-3"/>
                  <c:y val="9.760795246115067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651840"/>
        <c:axId val="175658112"/>
      </c:scatterChart>
      <c:valAx>
        <c:axId val="17565184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658112"/>
        <c:crosses val="autoZero"/>
        <c:crossBetween val="midCat"/>
      </c:valAx>
      <c:valAx>
        <c:axId val="175658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6518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6.4145641354731539E-2"/>
                  <c:y val="-4.083551471414546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4956.3153104719277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4866.2372474201575</c:v>
                </c:pt>
                <c:pt idx="42">
                  <c:v>4861.8343920078269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4674.3208571677696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4639.9692037538671</c:v>
                </c:pt>
                <c:pt idx="86">
                  <c:v>4634.1525343802195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10208"/>
        <c:axId val="175712128"/>
      </c:scatterChart>
      <c:valAx>
        <c:axId val="17571020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5712128"/>
        <c:crosses val="autoZero"/>
        <c:crossBetween val="midCat"/>
      </c:valAx>
      <c:valAx>
        <c:axId val="175712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57102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15.826109168058776</c:v>
                </c:pt>
                <c:pt idx="13">
                  <c:v>15.584032495149099</c:v>
                </c:pt>
                <c:pt idx="14">
                  <c:v>15.345658634784485</c:v>
                </c:pt>
                <c:pt idx="15">
                  <c:v>15.110930948625604</c:v>
                </c:pt>
                <c:pt idx="16">
                  <c:v>14.879793664674983</c:v>
                </c:pt>
                <c:pt idx="17">
                  <c:v>14.652191864025403</c:v>
                </c:pt>
                <c:pt idx="18">
                  <c:v>14.428071467811014</c:v>
                </c:pt>
                <c:pt idx="19">
                  <c:v>14.20737922435803</c:v>
                </c:pt>
                <c:pt idx="20">
                  <c:v>13.990062696531973</c:v>
                </c:pt>
                <c:pt idx="21">
                  <c:v>13.776070249278455</c:v>
                </c:pt>
                <c:pt idx="22">
                  <c:v>13.565351037354532</c:v>
                </c:pt>
                <c:pt idx="23">
                  <c:v>13.357854993247727</c:v>
                </c:pt>
                <c:pt idx="24">
                  <c:v>13.15353281527984</c:v>
                </c:pt>
                <c:pt idx="25">
                  <c:v>12.952335955892716</c:v>
                </c:pt>
                <c:pt idx="26">
                  <c:v>12.754216610113208</c:v>
                </c:pt>
                <c:pt idx="27">
                  <c:v>12.559127704194568</c:v>
                </c:pt>
                <c:pt idx="28">
                  <c:v>12.367022884431588</c:v>
                </c:pt>
                <c:pt idx="29">
                  <c:v>12.177856506146821</c:v>
                </c:pt>
                <c:pt idx="30">
                  <c:v>11.991583622845265</c:v>
                </c:pt>
                <c:pt idx="31">
                  <c:v>11.80815997553495</c:v>
                </c:pt>
                <c:pt idx="32">
                  <c:v>11.627541982210865</c:v>
                </c:pt>
                <c:pt idx="33">
                  <c:v>11.449686727499738</c:v>
                </c:pt>
                <c:pt idx="34">
                  <c:v>11.274551952463229</c:v>
                </c:pt>
                <c:pt idx="35">
                  <c:v>11.102096044557069</c:v>
                </c:pt>
                <c:pt idx="36">
                  <c:v>10.932278027743799</c:v>
                </c:pt>
                <c:pt idx="37">
                  <c:v>10.765057552756744</c:v>
                </c:pt>
                <c:pt idx="38">
                  <c:v>10.600394887512904</c:v>
                </c:pt>
                <c:pt idx="39">
                  <c:v>10.438250907672492</c:v>
                </c:pt>
                <c:pt idx="40">
                  <c:v>10.27858708734288</c:v>
                </c:pt>
                <c:pt idx="41">
                  <c:v>10.121365489924724</c:v>
                </c:pt>
                <c:pt idx="42">
                  <c:v>9.9665487590981208</c:v>
                </c:pt>
                <c:pt idx="43">
                  <c:v>9.814100109946633</c:v>
                </c:pt>
                <c:pt idx="44">
                  <c:v>9.6639833202170831</c:v>
                </c:pt>
                <c:pt idx="45">
                  <c:v>9.5161627217130409</c:v>
                </c:pt>
                <c:pt idx="46">
                  <c:v>9.3706031918199493</c:v>
                </c:pt>
                <c:pt idx="47">
                  <c:v>9.2272701451598902</c:v>
                </c:pt>
                <c:pt idx="48">
                  <c:v>9.0861295253739929</c:v>
                </c:pt>
                <c:pt idx="49">
                  <c:v>8.947147797030544</c:v>
                </c:pt>
                <c:pt idx="50">
                  <c:v>8.8102919376568671</c:v>
                </c:pt>
                <c:pt idx="51">
                  <c:v>8.6755294298930892</c:v>
                </c:pt>
                <c:pt idx="52">
                  <c:v>8.5428282537659115</c:v>
                </c:pt>
                <c:pt idx="53">
                  <c:v>8.4121568790805767</c:v>
                </c:pt>
                <c:pt idx="54">
                  <c:v>8.2834842579291923</c:v>
                </c:pt>
                <c:pt idx="55">
                  <c:v>8.1567798173136641</c:v>
                </c:pt>
                <c:pt idx="56">
                  <c:v>8.0320134518814523</c:v>
                </c:pt>
                <c:pt idx="57">
                  <c:v>7.9091555167724579</c:v>
                </c:pt>
                <c:pt idx="58">
                  <c:v>7.788176820575309</c:v>
                </c:pt>
                <c:pt idx="59">
                  <c:v>7.6690486183913995</c:v>
                </c:pt>
                <c:pt idx="60">
                  <c:v>7.5517426050050114</c:v>
                </c:pt>
                <c:pt idx="61">
                  <c:v>7.4362309081579143</c:v>
                </c:pt>
                <c:pt idx="62">
                  <c:v>7.3224860819268329</c:v>
                </c:pt>
                <c:pt idx="63">
                  <c:v>7.2104811002022133</c:v>
                </c:pt>
                <c:pt idx="64">
                  <c:v>7.1001893502667395</c:v>
                </c:pt>
                <c:pt idx="65">
                  <c:v>6.9915846264720711</c:v>
                </c:pt>
                <c:pt idx="66">
                  <c:v>6.8846411240123064</c:v>
                </c:pt>
                <c:pt idx="67">
                  <c:v>6.7793334327926802</c:v>
                </c:pt>
                <c:pt idx="68">
                  <c:v>6.6756365313920512</c:v>
                </c:pt>
                <c:pt idx="69">
                  <c:v>6.5735257811177368</c:v>
                </c:pt>
                <c:pt idx="70">
                  <c:v>6.4729769201512894</c:v>
                </c:pt>
                <c:pt idx="71">
                  <c:v>6.3739660577838118</c:v>
                </c:pt>
                <c:pt idx="72">
                  <c:v>6.2764696687394554</c:v>
                </c:pt>
                <c:pt idx="73">
                  <c:v>6.180464587585746</c:v>
                </c:pt>
                <c:pt idx="74">
                  <c:v>6.0859280032294061</c:v>
                </c:pt>
                <c:pt idx="75">
                  <c:v>5.9928374534963718</c:v>
                </c:pt>
                <c:pt idx="76">
                  <c:v>5.9011708197947135</c:v>
                </c:pt>
                <c:pt idx="77">
                  <c:v>5.8109063218591928</c:v>
                </c:pt>
                <c:pt idx="78">
                  <c:v>5.7220225125762054</c:v>
                </c:pt>
                <c:pt idx="79">
                  <c:v>5.6344982728878845</c:v>
                </c:pt>
                <c:pt idx="80">
                  <c:v>5.5483128067741481</c:v>
                </c:pt>
                <c:pt idx="81">
                  <c:v>5.4634456363115058</c:v>
                </c:pt>
                <c:pt idx="82">
                  <c:v>5.3798765968074385</c:v>
                </c:pt>
                <c:pt idx="83">
                  <c:v>5.2975858320092124</c:v>
                </c:pt>
                <c:pt idx="84">
                  <c:v>5.2165537893859701</c:v>
                </c:pt>
                <c:pt idx="85">
                  <c:v>5.1367612154829922</c:v>
                </c:pt>
                <c:pt idx="86">
                  <c:v>5.0581891513470216</c:v>
                </c:pt>
                <c:pt idx="87">
                  <c:v>4.9808189280215558</c:v>
                </c:pt>
                <c:pt idx="88">
                  <c:v>4.9046321621110502</c:v>
                </c:pt>
                <c:pt idx="89">
                  <c:v>4.8296107514129671</c:v>
                </c:pt>
                <c:pt idx="90">
                  <c:v>4.755736870616639</c:v>
                </c:pt>
                <c:pt idx="91">
                  <c:v>4.6829929670679205</c:v>
                </c:pt>
                <c:pt idx="92">
                  <c:v>4.6113617565986278</c:v>
                </c:pt>
                <c:pt idx="93">
                  <c:v>4.5408262194197668</c:v>
                </c:pt>
                <c:pt idx="94">
                  <c:v>4.4713695960775812</c:v>
                </c:pt>
                <c:pt idx="95">
                  <c:v>4.4029753834714569</c:v>
                </c:pt>
                <c:pt idx="96">
                  <c:v>4.3356273309327342</c:v>
                </c:pt>
                <c:pt idx="97">
                  <c:v>4.2693094363635034</c:v>
                </c:pt>
                <c:pt idx="98">
                  <c:v>4.2040059424344562</c:v>
                </c:pt>
                <c:pt idx="99">
                  <c:v>4.1397013328408985</c:v>
                </c:pt>
                <c:pt idx="100">
                  <c:v>4.0763803286160298</c:v>
                </c:pt>
                <c:pt idx="101">
                  <c:v>4.0140278845006163</c:v>
                </c:pt>
                <c:pt idx="102">
                  <c:v>3.9526291853681901</c:v>
                </c:pt>
                <c:pt idx="103">
                  <c:v>3.8921696427049328</c:v>
                </c:pt>
                <c:pt idx="104">
                  <c:v>3.8326348911434014</c:v>
                </c:pt>
                <c:pt idx="105">
                  <c:v>3.7740107850492732</c:v>
                </c:pt>
                <c:pt idx="106">
                  <c:v>3.7162833951603012</c:v>
                </c:pt>
                <c:pt idx="107">
                  <c:v>3.6594390052766803</c:v>
                </c:pt>
                <c:pt idx="108">
                  <c:v>3.603464109002037</c:v>
                </c:pt>
                <c:pt idx="109">
                  <c:v>3.5483454065342692</c:v>
                </c:pt>
                <c:pt idx="110">
                  <c:v>3.4940698015054741</c:v>
                </c:pt>
                <c:pt idx="111">
                  <c:v>3.4406243978702125</c:v>
                </c:pt>
                <c:pt idx="112">
                  <c:v>3.3879964968413683</c:v>
                </c:pt>
                <c:pt idx="113">
                  <c:v>3.3361735938728811</c:v>
                </c:pt>
                <c:pt idx="114">
                  <c:v>3.285143375688627</c:v>
                </c:pt>
                <c:pt idx="115">
                  <c:v>3.2348937173567482</c:v>
                </c:pt>
                <c:pt idx="116">
                  <c:v>3.1854126794087336</c:v>
                </c:pt>
                <c:pt idx="117">
                  <c:v>3.1366885050025646</c:v>
                </c:pt>
                <c:pt idx="118">
                  <c:v>3.088709617129255</c:v>
                </c:pt>
                <c:pt idx="119">
                  <c:v>3.041464615862119</c:v>
                </c:pt>
                <c:pt idx="120">
                  <c:v>2.9949422756481145</c:v>
                </c:pt>
                <c:pt idx="121">
                  <c:v>2.9491315426406182</c:v>
                </c:pt>
                <c:pt idx="122">
                  <c:v>2.9040215320729992</c:v>
                </c:pt>
                <c:pt idx="123">
                  <c:v>2.8596015256723657</c:v>
                </c:pt>
                <c:pt idx="124">
                  <c:v>2.8158609691128715</c:v>
                </c:pt>
                <c:pt idx="125">
                  <c:v>2.7727894695079769</c:v>
                </c:pt>
                <c:pt idx="126">
                  <c:v>2.7303767929410672</c:v>
                </c:pt>
                <c:pt idx="127">
                  <c:v>2.6886128620338448</c:v>
                </c:pt>
                <c:pt idx="128">
                  <c:v>2.6474877535519128</c:v>
                </c:pt>
                <c:pt idx="129">
                  <c:v>2.6069916960469857</c:v>
                </c:pt>
                <c:pt idx="130">
                  <c:v>2.5671150675351644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2651.398093417426</c:v>
                </c:pt>
                <c:pt idx="124">
                  <c:v>2644.8222216448476</c:v>
                </c:pt>
                <c:pt idx="125">
                  <c:v>2638.2568264334454</c:v>
                </c:pt>
                <c:pt idx="126">
                  <c:v>2631.7020067716257</c:v>
                </c:pt>
                <c:pt idx="127">
                  <c:v>2625.1578590182216</c:v>
                </c:pt>
                <c:pt idx="128">
                  <c:v>2618.624476953722</c:v>
                </c:pt>
                <c:pt idx="129">
                  <c:v>2612.101951830537</c:v>
                </c:pt>
                <c:pt idx="130">
                  <c:v>2605.5903724223208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224.64689728421124</c:v>
                </c:pt>
                <c:pt idx="9">
                  <c:v>222.87118238210053</c:v>
                </c:pt>
                <c:pt idx="10">
                  <c:v>221.16228425233359</c:v>
                </c:pt>
                <c:pt idx="11">
                  <c:v>219.51811935701539</c:v>
                </c:pt>
                <c:pt idx="12">
                  <c:v>217.9366635320126</c:v>
                </c:pt>
                <c:pt idx="13">
                  <c:v>216.41595033103025</c:v>
                </c:pt>
                <c:pt idx="14">
                  <c:v>214.95406941576371</c:v>
                </c:pt>
                <c:pt idx="15">
                  <c:v>213.54916499084192</c:v>
                </c:pt>
                <c:pt idx="16">
                  <c:v>212.19943428231281</c:v>
                </c:pt>
                <c:pt idx="17">
                  <c:v>210.90312605845784</c:v>
                </c:pt>
                <c:pt idx="18">
                  <c:v>209.65853919175564</c:v>
                </c:pt>
                <c:pt idx="19">
                  <c:v>208.46402126084777</c:v>
                </c:pt>
                <c:pt idx="20">
                  <c:v>207.31796719139234</c:v>
                </c:pt>
                <c:pt idx="21">
                  <c:v>206.21881793472136</c:v>
                </c:pt>
                <c:pt idx="22">
                  <c:v>205.16505918324884</c:v>
                </c:pt>
                <c:pt idx="23">
                  <c:v>204.15522012160537</c:v>
                </c:pt>
                <c:pt idx="24">
                  <c:v>203.1878722125042</c:v>
                </c:pt>
                <c:pt idx="25">
                  <c:v>202.26162801637091</c:v>
                </c:pt>
                <c:pt idx="26">
                  <c:v>201.37514004379634</c:v>
                </c:pt>
                <c:pt idx="27">
                  <c:v>200.52709963989849</c:v>
                </c:pt>
                <c:pt idx="28">
                  <c:v>199.71623589970457</c:v>
                </c:pt>
                <c:pt idx="29">
                  <c:v>198.94131461368926</c:v>
                </c:pt>
                <c:pt idx="30">
                  <c:v>198.20113724262941</c:v>
                </c:pt>
                <c:pt idx="31">
                  <c:v>197.49453992095891</c:v>
                </c:pt>
                <c:pt idx="32">
                  <c:v>196.82039248782982</c:v>
                </c:pt>
                <c:pt idx="33">
                  <c:v>196.1775975451086</c:v>
                </c:pt>
                <c:pt idx="34">
                  <c:v>195.56508954155748</c:v>
                </c:pt>
                <c:pt idx="35">
                  <c:v>194.98183388247202</c:v>
                </c:pt>
                <c:pt idx="36">
                  <c:v>194.42682606406598</c:v>
                </c:pt>
                <c:pt idx="37">
                  <c:v>193.89909083191495</c:v>
                </c:pt>
                <c:pt idx="38">
                  <c:v>193.39768136278906</c:v>
                </c:pt>
                <c:pt idx="39">
                  <c:v>192.92167846922351</c:v>
                </c:pt>
                <c:pt idx="40">
                  <c:v>192.47018982619463</c:v>
                </c:pt>
                <c:pt idx="41">
                  <c:v>192.0423492192858</c:v>
                </c:pt>
                <c:pt idx="42">
                  <c:v>191.63731581374569</c:v>
                </c:pt>
                <c:pt idx="43">
                  <c:v>191.25427344385722</c:v>
                </c:pt>
                <c:pt idx="44">
                  <c:v>190.89242992205243</c:v>
                </c:pt>
                <c:pt idx="45">
                  <c:v>190.55101636722361</c:v>
                </c:pt>
                <c:pt idx="46">
                  <c:v>190.22928655169702</c:v>
                </c:pt>
                <c:pt idx="47">
                  <c:v>189.92651626634989</c:v>
                </c:pt>
                <c:pt idx="48">
                  <c:v>189.64200270336613</c:v>
                </c:pt>
                <c:pt idx="49">
                  <c:v>189.37506385614017</c:v>
                </c:pt>
                <c:pt idx="50">
                  <c:v>189.12503793585208</c:v>
                </c:pt>
                <c:pt idx="51">
                  <c:v>188.89128280425041</c:v>
                </c:pt>
                <c:pt idx="52">
                  <c:v>188.673175422192</c:v>
                </c:pt>
                <c:pt idx="53">
                  <c:v>188.47011131350075</c:v>
                </c:pt>
                <c:pt idx="54">
                  <c:v>188.28150404371942</c:v>
                </c:pt>
                <c:pt idx="55">
                  <c:v>188.10678471334049</c:v>
                </c:pt>
                <c:pt idx="56">
                  <c:v>187.94540146511355</c:v>
                </c:pt>
                <c:pt idx="57">
                  <c:v>187.79681900503795</c:v>
                </c:pt>
                <c:pt idx="58">
                  <c:v>187.66051813666056</c:v>
                </c:pt>
                <c:pt idx="59">
                  <c:v>187.53599530830854</c:v>
                </c:pt>
                <c:pt idx="60">
                  <c:v>187.42276217289796</c:v>
                </c:pt>
                <c:pt idx="61">
                  <c:v>187.32034515996878</c:v>
                </c:pt>
                <c:pt idx="62">
                  <c:v>187.22828505960632</c:v>
                </c:pt>
                <c:pt idx="63">
                  <c:v>187.14613661791924</c:v>
                </c:pt>
                <c:pt idx="64">
                  <c:v>187.07346814375273</c:v>
                </c:pt>
                <c:pt idx="65">
                  <c:v>187.00986112632518</c:v>
                </c:pt>
                <c:pt idx="66">
                  <c:v>186.95490986348443</c:v>
                </c:pt>
                <c:pt idx="67">
                  <c:v>186.90822110028907</c:v>
                </c:pt>
                <c:pt idx="68">
                  <c:v>186.86941367762796</c:v>
                </c:pt>
                <c:pt idx="69">
                  <c:v>186.83811819059906</c:v>
                </c:pt>
                <c:pt idx="70">
                  <c:v>186.81397665637672</c:v>
                </c:pt>
                <c:pt idx="71">
                  <c:v>186.79664219130396</c:v>
                </c:pt>
                <c:pt idx="72">
                  <c:v>186.78577869695357</c:v>
                </c:pt>
                <c:pt idx="73">
                  <c:v>186.78106055490929</c:v>
                </c:pt>
                <c:pt idx="74">
                  <c:v>186.78217233002454</c:v>
                </c:pt>
                <c:pt idx="75">
                  <c:v>186.78880848192389</c:v>
                </c:pt>
                <c:pt idx="76">
                  <c:v>186.80067308451831</c:v>
                </c:pt>
                <c:pt idx="77">
                  <c:v>186.81747955331159</c:v>
                </c:pt>
                <c:pt idx="78">
                  <c:v>186.83895038028214</c:v>
                </c:pt>
                <c:pt idx="79">
                  <c:v>186.86481687612968</c:v>
                </c:pt>
                <c:pt idx="80">
                  <c:v>186.89481891968245</c:v>
                </c:pt>
                <c:pt idx="81">
                  <c:v>186.92870471426664</c:v>
                </c:pt>
                <c:pt idx="82">
                  <c:v>186.96623055084441</c:v>
                </c:pt>
                <c:pt idx="83">
                  <c:v>187.00716057773312</c:v>
                </c:pt>
                <c:pt idx="84">
                  <c:v>187.05126657672304</c:v>
                </c:pt>
                <c:pt idx="85">
                  <c:v>187.09832774541621</c:v>
                </c:pt>
                <c:pt idx="86">
                  <c:v>187.14813048561382</c:v>
                </c:pt>
                <c:pt idx="87">
                  <c:v>187.2004681975844</c:v>
                </c:pt>
                <c:pt idx="88">
                  <c:v>187.25514108004981</c:v>
                </c:pt>
                <c:pt idx="89">
                  <c:v>187.31195593573045</c:v>
                </c:pt>
                <c:pt idx="90">
                  <c:v>187.37072598229554</c:v>
                </c:pt>
                <c:pt idx="91">
                  <c:v>187.43127066856874</c:v>
                </c:pt>
                <c:pt idx="92">
                  <c:v>187.49341549584341</c:v>
                </c:pt>
                <c:pt idx="93">
                  <c:v>187.55699184416565</c:v>
                </c:pt>
                <c:pt idx="94">
                  <c:v>187.62183680344791</c:v>
                </c:pt>
                <c:pt idx="95">
                  <c:v>187.68779300927872</c:v>
                </c:pt>
                <c:pt idx="96">
                  <c:v>187.754708483299</c:v>
                </c:pt>
                <c:pt idx="97">
                  <c:v>187.82243647801783</c:v>
                </c:pt>
                <c:pt idx="98">
                  <c:v>187.89083532594523</c:v>
                </c:pt>
                <c:pt idx="99">
                  <c:v>187.95976829292189</c:v>
                </c:pt>
                <c:pt idx="100">
                  <c:v>188.02910343552989</c:v>
                </c:pt>
                <c:pt idx="101">
                  <c:v>188.0987134624711</c:v>
                </c:pt>
                <c:pt idx="102">
                  <c:v>188.16847559980374</c:v>
                </c:pt>
                <c:pt idx="103">
                  <c:v>188.23827145992982</c:v>
                </c:pt>
                <c:pt idx="104">
                  <c:v>188.30798691422982</c:v>
                </c:pt>
                <c:pt idx="105">
                  <c:v>188.37751196924353</c:v>
                </c:pt>
                <c:pt idx="106">
                  <c:v>188.44674064629893</c:v>
                </c:pt>
                <c:pt idx="107">
                  <c:v>188.51557086449364</c:v>
                </c:pt>
                <c:pt idx="108">
                  <c:v>188.58390432693579</c:v>
                </c:pt>
                <c:pt idx="109">
                  <c:v>188.65164641015474</c:v>
                </c:pt>
                <c:pt idx="110">
                  <c:v>188.71870605659313</c:v>
                </c:pt>
                <c:pt idx="111">
                  <c:v>188.78499567009561</c:v>
                </c:pt>
                <c:pt idx="112">
                  <c:v>188.8504310143108</c:v>
                </c:pt>
                <c:pt idx="113">
                  <c:v>188.91493111392631</c:v>
                </c:pt>
                <c:pt idx="114">
                  <c:v>188.97841815865795</c:v>
                </c:pt>
                <c:pt idx="115">
                  <c:v>189.04081740991722</c:v>
                </c:pt>
                <c:pt idx="116">
                  <c:v>189.10205711008302</c:v>
                </c:pt>
                <c:pt idx="117">
                  <c:v>189.16206839430507</c:v>
                </c:pt>
                <c:pt idx="118">
                  <c:v>189.22078520476958</c:v>
                </c:pt>
                <c:pt idx="119">
                  <c:v>189.27814420735865</c:v>
                </c:pt>
                <c:pt idx="120">
                  <c:v>189.3340847106372</c:v>
                </c:pt>
                <c:pt idx="121">
                  <c:v>189.38854858710326</c:v>
                </c:pt>
                <c:pt idx="122">
                  <c:v>189.44148019663879</c:v>
                </c:pt>
                <c:pt idx="123">
                  <c:v>189.49282631210025</c:v>
                </c:pt>
                <c:pt idx="124">
                  <c:v>189.54253604698977</c:v>
                </c:pt>
                <c:pt idx="125">
                  <c:v>189.59056078514925</c:v>
                </c:pt>
                <c:pt idx="126">
                  <c:v>189.63685411242153</c:v>
                </c:pt>
                <c:pt idx="127">
                  <c:v>189.68137175022432</c:v>
                </c:pt>
                <c:pt idx="128">
                  <c:v>189.7240714909837</c:v>
                </c:pt>
                <c:pt idx="129">
                  <c:v>189.7649131353761</c:v>
                </c:pt>
                <c:pt idx="130">
                  <c:v>189.80385843132856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85.929446345746186</c:v>
                </c:pt>
                <c:pt idx="12">
                  <c:v>86.216016658654027</c:v>
                </c:pt>
                <c:pt idx="13">
                  <c:v>86.494879894574098</c:v>
                </c:pt>
                <c:pt idx="14">
                  <c:v>86.766311516782352</c:v>
                </c:pt>
                <c:pt idx="15">
                  <c:v>87.030578119218546</c:v>
                </c:pt>
                <c:pt idx="16">
                  <c:v>87.287937685976942</c:v>
                </c:pt>
                <c:pt idx="17">
                  <c:v>87.538639843483267</c:v>
                </c:pt>
                <c:pt idx="18">
                  <c:v>87.782926105561714</c:v>
                </c:pt>
                <c:pt idx="19">
                  <c:v>88.021030111590505</c:v>
                </c:pt>
                <c:pt idx="20">
                  <c:v>88.253177857938852</c:v>
                </c:pt>
                <c:pt idx="21">
                  <c:v>88.47958792287271</c:v>
                </c:pt>
                <c:pt idx="22">
                  <c:v>88.700471685111708</c:v>
                </c:pt>
                <c:pt idx="23">
                  <c:v>88.916033536214243</c:v>
                </c:pt>
                <c:pt idx="24">
                  <c:v>89.126471086963136</c:v>
                </c:pt>
                <c:pt idx="25">
                  <c:v>89.331975367919171</c:v>
                </c:pt>
                <c:pt idx="26">
                  <c:v>89.532731024305278</c:v>
                </c:pt>
                <c:pt idx="27">
                  <c:v>89.728916505379701</c:v>
                </c:pt>
                <c:pt idx="28">
                  <c:v>89.920704248451784</c:v>
                </c:pt>
                <c:pt idx="29">
                  <c:v>90.108260857690084</c:v>
                </c:pt>
                <c:pt idx="30">
                  <c:v>90.291747277868069</c:v>
                </c:pt>
                <c:pt idx="31">
                  <c:v>90.471318963188736</c:v>
                </c:pt>
                <c:pt idx="32">
                  <c:v>90.647126041325507</c:v>
                </c:pt>
                <c:pt idx="33">
                  <c:v>90.81931347281305</c:v>
                </c:pt>
                <c:pt idx="34">
                  <c:v>90.98802120591769</c:v>
                </c:pt>
                <c:pt idx="35">
                  <c:v>91.153384327113812</c:v>
                </c:pt>
                <c:pt idx="36">
                  <c:v>91.315533207288738</c:v>
                </c:pt>
                <c:pt idx="37">
                  <c:v>91.474593643795529</c:v>
                </c:pt>
                <c:pt idx="38">
                  <c:v>91.630686998469628</c:v>
                </c:pt>
                <c:pt idx="39">
                  <c:v>91.783930331722004</c:v>
                </c:pt>
                <c:pt idx="40">
                  <c:v>91.934436532818424</c:v>
                </c:pt>
                <c:pt idx="41">
                  <c:v>92.08231444645142</c:v>
                </c:pt>
                <c:pt idx="42">
                  <c:v>92.227668995708441</c:v>
                </c:pt>
                <c:pt idx="43">
                  <c:v>92.370601301536979</c:v>
                </c:pt>
                <c:pt idx="44">
                  <c:v>92.511208798804404</c:v>
                </c:pt>
                <c:pt idx="45">
                  <c:v>92.649585349047797</c:v>
                </c:pt>
                <c:pt idx="46">
                  <c:v>92.785821350006202</c:v>
                </c:pt>
                <c:pt idx="47">
                  <c:v>92.920003842025281</c:v>
                </c:pt>
                <c:pt idx="48">
                  <c:v>93.052216611421684</c:v>
                </c:pt>
                <c:pt idx="49">
                  <c:v>93.182540290892277</c:v>
                </c:pt>
                <c:pt idx="50">
                  <c:v>93.311052457050735</c:v>
                </c:pt>
                <c:pt idx="51">
                  <c:v>93.437827725171886</c:v>
                </c:pt>
                <c:pt idx="52">
                  <c:v>93.562937841221796</c:v>
                </c:pt>
                <c:pt idx="53">
                  <c:v>93.686451771249679</c:v>
                </c:pt>
                <c:pt idx="54">
                  <c:v>93.808435788215235</c:v>
                </c:pt>
                <c:pt idx="55">
                  <c:v>93.928953556323293</c:v>
                </c:pt>
                <c:pt idx="56">
                  <c:v>94.048066212935439</c:v>
                </c:pt>
                <c:pt idx="57">
                  <c:v>94.165832448126494</c:v>
                </c:pt>
                <c:pt idx="58">
                  <c:v>94.282308581951668</c:v>
                </c:pt>
                <c:pt idx="59">
                  <c:v>94.397548639488605</c:v>
                </c:pt>
                <c:pt idx="60">
                  <c:v>94.511604423716435</c:v>
                </c:pt>
                <c:pt idx="61">
                  <c:v>94.624525586292592</c:v>
                </c:pt>
                <c:pt idx="62">
                  <c:v>94.736359696286144</c:v>
                </c:pt>
                <c:pt idx="63">
                  <c:v>94.847152306924897</c:v>
                </c:pt>
                <c:pt idx="64">
                  <c:v>94.956947020412017</c:v>
                </c:pt>
                <c:pt idx="65">
                  <c:v>95.065785550866082</c:v>
                </c:pt>
                <c:pt idx="66">
                  <c:v>95.173707785437372</c:v>
                </c:pt>
                <c:pt idx="67">
                  <c:v>95.280751843651331</c:v>
                </c:pt>
                <c:pt idx="68">
                  <c:v>95.386954135029072</c:v>
                </c:pt>
                <c:pt idx="69">
                  <c:v>95.492349415033104</c:v>
                </c:pt>
                <c:pt idx="70">
                  <c:v>95.596970839385335</c:v>
                </c:pt>
                <c:pt idx="71">
                  <c:v>95.700850016803045</c:v>
                </c:pt>
                <c:pt idx="72">
                  <c:v>95.804017060197197</c:v>
                </c:pt>
                <c:pt idx="73">
                  <c:v>95.906500636376165</c:v>
                </c:pt>
                <c:pt idx="74">
                  <c:v>96.008328014297021</c:v>
                </c:pt>
                <c:pt idx="75">
                  <c:v>96.109525111905015</c:v>
                </c:pt>
                <c:pt idx="76">
                  <c:v>96.210116541600996</c:v>
                </c:pt>
                <c:pt idx="77">
                  <c:v>96.31012565437527</c:v>
                </c:pt>
                <c:pt idx="78">
                  <c:v>96.409574582645448</c:v>
                </c:pt>
                <c:pt idx="79">
                  <c:v>96.508484281834669</c:v>
                </c:pt>
                <c:pt idx="80">
                  <c:v>96.606874570725623</c:v>
                </c:pt>
                <c:pt idx="81">
                  <c:v>96.704764170624884</c:v>
                </c:pt>
                <c:pt idx="82">
                  <c:v>96.80217074337088</c:v>
                </c:pt>
                <c:pt idx="83">
                  <c:v>96.899110928218249</c:v>
                </c:pt>
                <c:pt idx="84">
                  <c:v>96.995600377630083</c:v>
                </c:pt>
                <c:pt idx="85">
                  <c:v>97.091653792008856</c:v>
                </c:pt>
                <c:pt idx="86">
                  <c:v>97.187284953395974</c:v>
                </c:pt>
                <c:pt idx="87">
                  <c:v>97.282506758168978</c:v>
                </c:pt>
                <c:pt idx="88">
                  <c:v>97.377331248764676</c:v>
                </c:pt>
                <c:pt idx="89">
                  <c:v>97.471769644455733</c:v>
                </c:pt>
                <c:pt idx="90">
                  <c:v>97.565832371207378</c:v>
                </c:pt>
                <c:pt idx="91">
                  <c:v>97.659529090640163</c:v>
                </c:pt>
                <c:pt idx="92">
                  <c:v>97.752868728124156</c:v>
                </c:pt>
                <c:pt idx="93">
                  <c:v>97.845859500028936</c:v>
                </c:pt>
                <c:pt idx="94">
                  <c:v>97.938508940153412</c:v>
                </c:pt>
                <c:pt idx="95">
                  <c:v>98.030823925358575</c:v>
                </c:pt>
                <c:pt idx="96">
                  <c:v>98.122810700425717</c:v>
                </c:pt>
                <c:pt idx="97">
                  <c:v>98.21447490216211</c:v>
                </c:pt>
                <c:pt idx="98">
                  <c:v>98.305821582775437</c:v>
                </c:pt>
                <c:pt idx="99">
                  <c:v>98.396855232537661</c:v>
                </c:pt>
                <c:pt idx="100">
                  <c:v>98.487579801758443</c:v>
                </c:pt>
                <c:pt idx="101">
                  <c:v>98.57799872208787</c:v>
                </c:pt>
                <c:pt idx="102">
                  <c:v>98.668114927167281</c:v>
                </c:pt>
                <c:pt idx="103">
                  <c:v>98.757930872646881</c:v>
                </c:pt>
                <c:pt idx="104">
                  <c:v>98.847448555588073</c:v>
                </c:pt>
                <c:pt idx="105">
                  <c:v>98.936669533267946</c:v>
                </c:pt>
                <c:pt idx="106">
                  <c:v>99.025594941403057</c:v>
                </c:pt>
                <c:pt idx="107">
                  <c:v>99.114225511808883</c:v>
                </c:pt>
                <c:pt idx="108">
                  <c:v>99.202561589511106</c:v>
                </c:pt>
                <c:pt idx="109">
                  <c:v>99.29060314932434</c:v>
                </c:pt>
                <c:pt idx="110">
                  <c:v>99.378349811913438</c:v>
                </c:pt>
                <c:pt idx="111">
                  <c:v>99.465800859352214</c:v>
                </c:pt>
                <c:pt idx="112">
                  <c:v>99.552955250193875</c:v>
                </c:pt>
                <c:pt idx="113">
                  <c:v>99.639811634067172</c:v>
                </c:pt>
                <c:pt idx="114">
                  <c:v>99.726368365811709</c:v>
                </c:pt>
                <c:pt idx="115">
                  <c:v>99.812623519165754</c:v>
                </c:pt>
                <c:pt idx="116">
                  <c:v>99.898574900019298</c:v>
                </c:pt>
                <c:pt idx="117">
                  <c:v>99.984220059244748</c:v>
                </c:pt>
                <c:pt idx="118">
                  <c:v>100.0695563051175</c:v>
                </c:pt>
                <c:pt idx="119">
                  <c:v>100.15458071533811</c:v>
                </c:pt>
                <c:pt idx="120">
                  <c:v>100.23929014866742</c:v>
                </c:pt>
                <c:pt idx="121">
                  <c:v>100.32368125618594</c:v>
                </c:pt>
                <c:pt idx="122">
                  <c:v>100.40775049218814</c:v>
                </c:pt>
                <c:pt idx="123">
                  <c:v>100.49149412472231</c:v>
                </c:pt>
                <c:pt idx="124">
                  <c:v>100.57490824578601</c:v>
                </c:pt>
                <c:pt idx="125">
                  <c:v>100.6579887811873</c:v>
                </c:pt>
                <c:pt idx="126">
                  <c:v>100.74073150008122</c:v>
                </c:pt>
                <c:pt idx="127">
                  <c:v>100.82313202419097</c:v>
                </c:pt>
                <c:pt idx="128">
                  <c:v>100.90518583672285</c:v>
                </c:pt>
                <c:pt idx="129">
                  <c:v>100.98688829098404</c:v>
                </c:pt>
                <c:pt idx="130">
                  <c:v>101.06823461871154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52.423040728724715</c:v>
                </c:pt>
                <c:pt idx="23">
                  <c:v>52.372718477598397</c:v>
                </c:pt>
                <c:pt idx="24">
                  <c:v>52.319166717157202</c:v>
                </c:pt>
                <c:pt idx="25">
                  <c:v>52.262610847730613</c:v>
                </c:pt>
                <c:pt idx="26">
                  <c:v>52.203266901737777</c:v>
                </c:pt>
                <c:pt idx="27">
                  <c:v>52.141341861603564</c:v>
                </c:pt>
                <c:pt idx="28">
                  <c:v>52.077033967853936</c:v>
                </c:pt>
                <c:pt idx="29">
                  <c:v>52.010533017680039</c:v>
                </c:pt>
                <c:pt idx="30">
                  <c:v>51.942020654252261</c:v>
                </c:pt>
                <c:pt idx="31">
                  <c:v>51.87167064705725</c:v>
                </c:pt>
                <c:pt idx="32">
                  <c:v>51.799649163523171</c:v>
                </c:pt>
                <c:pt idx="33">
                  <c:v>51.726115032190648</c:v>
                </c:pt>
                <c:pt idx="34">
                  <c:v>51.651219997679682</c:v>
                </c:pt>
                <c:pt idx="35">
                  <c:v>51.575108967695336</c:v>
                </c:pt>
                <c:pt idx="36">
                  <c:v>51.497920252308184</c:v>
                </c:pt>
                <c:pt idx="37">
                  <c:v>51.419785795738647</c:v>
                </c:pt>
                <c:pt idx="38">
                  <c:v>51.340831400867664</c:v>
                </c:pt>
                <c:pt idx="39">
                  <c:v>51.261176946689801</c:v>
                </c:pt>
                <c:pt idx="40">
                  <c:v>51.180936598918677</c:v>
                </c:pt>
                <c:pt idx="41">
                  <c:v>51.100219013948383</c:v>
                </c:pt>
                <c:pt idx="42">
                  <c:v>51.019127536368885</c:v>
                </c:pt>
                <c:pt idx="43">
                  <c:v>50.937760390227467</c:v>
                </c:pt>
                <c:pt idx="44">
                  <c:v>50.856210864222859</c:v>
                </c:pt>
                <c:pt idx="45">
                  <c:v>50.774567491013244</c:v>
                </c:pt>
                <c:pt idx="46">
                  <c:v>50.692914220814075</c:v>
                </c:pt>
                <c:pt idx="47">
                  <c:v>50.611330589456536</c:v>
                </c:pt>
                <c:pt idx="48">
                  <c:v>50.529891881072572</c:v>
                </c:pt>
                <c:pt idx="49">
                  <c:v>50.448669285567533</c:v>
                </c:pt>
                <c:pt idx="50">
                  <c:v>50.367730051036844</c:v>
                </c:pt>
                <c:pt idx="51">
                  <c:v>50.287137631278604</c:v>
                </c:pt>
                <c:pt idx="52">
                  <c:v>50.206951828549492</c:v>
                </c:pt>
                <c:pt idx="53">
                  <c:v>50.127228931707243</c:v>
                </c:pt>
                <c:pt idx="54">
                  <c:v>50.048021849878594</c:v>
                </c:pt>
                <c:pt idx="55">
                  <c:v>49.969380241787725</c:v>
                </c:pt>
                <c:pt idx="56">
                  <c:v>49.891350640876233</c:v>
                </c:pt>
                <c:pt idx="57">
                  <c:v>49.813976576341801</c:v>
                </c:pt>
                <c:pt idx="58">
                  <c:v>49.737298690219113</c:v>
                </c:pt>
                <c:pt idx="59">
                  <c:v>49.661354850622878</c:v>
                </c:pt>
                <c:pt idx="60">
                  <c:v>49.586180261269448</c:v>
                </c:pt>
                <c:pt idx="61">
                  <c:v>49.51180756738993</c:v>
                </c:pt>
                <c:pt idx="62">
                  <c:v>49.438266958144609</c:v>
                </c:pt>
                <c:pt idx="63">
                  <c:v>49.365586265645085</c:v>
                </c:pt>
                <c:pt idx="64">
                  <c:v>49.293791060687603</c:v>
                </c:pt>
                <c:pt idx="65">
                  <c:v>49.222904745297853</c:v>
                </c:pt>
                <c:pt idx="66">
                  <c:v>49.152948642184747</c:v>
                </c:pt>
                <c:pt idx="67">
                  <c:v>49.083942081197641</c:v>
                </c:pt>
                <c:pt idx="68">
                  <c:v>49.015902482878921</c:v>
                </c:pt>
                <c:pt idx="69">
                  <c:v>48.948845439200944</c:v>
                </c:pt>
                <c:pt idx="70">
                  <c:v>48.882784791573911</c:v>
                </c:pt>
                <c:pt idx="71">
                  <c:v>48.817732706208517</c:v>
                </c:pt>
                <c:pt idx="72">
                  <c:v>48.753699746914997</c:v>
                </c:pt>
                <c:pt idx="73">
                  <c:v>48.690694945417498</c:v>
                </c:pt>
                <c:pt idx="74">
                  <c:v>48.62872586926067</c:v>
                </c:pt>
                <c:pt idx="75">
                  <c:v>48.567798687382854</c:v>
                </c:pt>
                <c:pt idx="76">
                  <c:v>48.507918233428278</c:v>
                </c:pt>
                <c:pt idx="77">
                  <c:v>48.449088066868285</c:v>
                </c:pt>
                <c:pt idx="78">
                  <c:v>48.391310531999864</c:v>
                </c:pt>
                <c:pt idx="79">
                  <c:v>48.334586814887388</c:v>
                </c:pt>
                <c:pt idx="80">
                  <c:v>48.278916998311828</c:v>
                </c:pt>
                <c:pt idx="81">
                  <c:v>48.224300114789592</c:v>
                </c:pt>
                <c:pt idx="82">
                  <c:v>48.170734197721394</c:v>
                </c:pt>
                <c:pt idx="83">
                  <c:v>48.118216330729773</c:v>
                </c:pt>
                <c:pt idx="84">
                  <c:v>48.066742695242127</c:v>
                </c:pt>
                <c:pt idx="85">
                  <c:v>48.016308616374367</c:v>
                </c:pt>
                <c:pt idx="86">
                  <c:v>47.966908607168811</c:v>
                </c:pt>
                <c:pt idx="87">
                  <c:v>47.918536411238229</c:v>
                </c:pt>
                <c:pt idx="88">
                  <c:v>47.87118504386639</c:v>
                </c:pt>
                <c:pt idx="89">
                  <c:v>47.824846831614067</c:v>
                </c:pt>
                <c:pt idx="90">
                  <c:v>47.779513450477921</c:v>
                </c:pt>
                <c:pt idx="91">
                  <c:v>47.735175962648235</c:v>
                </c:pt>
                <c:pt idx="92">
                  <c:v>47.691824851910248</c:v>
                </c:pt>
                <c:pt idx="93">
                  <c:v>47.649450057732281</c:v>
                </c:pt>
                <c:pt idx="94">
                  <c:v>47.608041008082751</c:v>
                </c:pt>
                <c:pt idx="95">
                  <c:v>47.567586651016811</c:v>
                </c:pt>
                <c:pt idx="96">
                  <c:v>47.528075485072144</c:v>
                </c:pt>
                <c:pt idx="97">
                  <c:v>47.489495588512249</c:v>
                </c:pt>
                <c:pt idx="98">
                  <c:v>47.451834647454433</c:v>
                </c:pt>
                <c:pt idx="99">
                  <c:v>47.415079982918591</c:v>
                </c:pt>
                <c:pt idx="100">
                  <c:v>47.37921857683174</c:v>
                </c:pt>
                <c:pt idx="101">
                  <c:v>47.344237097022258</c:v>
                </c:pt>
                <c:pt idx="102">
                  <c:v>47.310121921236764</c:v>
                </c:pt>
                <c:pt idx="103">
                  <c:v>47.276859160211487</c:v>
                </c:pt>
                <c:pt idx="104">
                  <c:v>47.24443467982919</c:v>
                </c:pt>
                <c:pt idx="105">
                  <c:v>47.21283412239152</c:v>
                </c:pt>
                <c:pt idx="106">
                  <c:v>47.182042927036044</c:v>
                </c:pt>
                <c:pt idx="107">
                  <c:v>47.152046349326071</c:v>
                </c:pt>
                <c:pt idx="108">
                  <c:v>47.122829480040679</c:v>
                </c:pt>
                <c:pt idx="109">
                  <c:v>47.094377263191511</c:v>
                </c:pt>
                <c:pt idx="110">
                  <c:v>47.066674513291979</c:v>
                </c:pt>
                <c:pt idx="111">
                  <c:v>47.039705931903896</c:v>
                </c:pt>
                <c:pt idx="112">
                  <c:v>47.013456123485696</c:v>
                </c:pt>
                <c:pt idx="113">
                  <c:v>46.987909610565644</c:v>
                </c:pt>
                <c:pt idx="114">
                  <c:v>46.963050848262803</c:v>
                </c:pt>
                <c:pt idx="115">
                  <c:v>46.938864238177764</c:v>
                </c:pt>
                <c:pt idx="116">
                  <c:v>46.915334141674499</c:v>
                </c:pt>
                <c:pt idx="117">
                  <c:v>46.892444892574019</c:v>
                </c:pt>
                <c:pt idx="118">
                  <c:v>46.87018080927988</c:v>
                </c:pt>
                <c:pt idx="119">
                  <c:v>46.848526206355039</c:v>
                </c:pt>
                <c:pt idx="120">
                  <c:v>46.827465405568809</c:v>
                </c:pt>
                <c:pt idx="121">
                  <c:v>46.806982746432226</c:v>
                </c:pt>
                <c:pt idx="122">
                  <c:v>46.787062596239522</c:v>
                </c:pt>
                <c:pt idx="123">
                  <c:v>46.767689359632804</c:v>
                </c:pt>
                <c:pt idx="124">
                  <c:v>46.748847487706591</c:v>
                </c:pt>
                <c:pt idx="125">
                  <c:v>46.730521486668273</c:v>
                </c:pt>
                <c:pt idx="126">
                  <c:v>46.712695926070111</c:v>
                </c:pt>
                <c:pt idx="127">
                  <c:v>46.695355446627843</c:v>
                </c:pt>
                <c:pt idx="128">
                  <c:v>46.678484767640576</c:v>
                </c:pt>
                <c:pt idx="129">
                  <c:v>46.66206869402609</c:v>
                </c:pt>
                <c:pt idx="130">
                  <c:v>46.646092122985344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352832"/>
        <c:axId val="175358720"/>
      </c:areaChart>
      <c:catAx>
        <c:axId val="17535283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5358720"/>
        <c:crosses val="autoZero"/>
        <c:auto val="1"/>
        <c:lblAlgn val="ctr"/>
        <c:lblOffset val="100"/>
        <c:noMultiLvlLbl val="0"/>
      </c:catAx>
      <c:valAx>
        <c:axId val="17535872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535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93"/>
  <sheetViews>
    <sheetView topLeftCell="A21" zoomScale="70" zoomScaleNormal="70" workbookViewId="0">
      <selection activeCell="I53" sqref="I53"/>
    </sheetView>
  </sheetViews>
  <sheetFormatPr baseColWidth="10" defaultColWidth="16.25" defaultRowHeight="14.25"/>
  <cols>
    <col min="1" max="1" width="16.25" style="6"/>
    <col min="2" max="2" width="50" style="6" bestFit="1" customWidth="1"/>
    <col min="3" max="6" width="17.125" style="6" customWidth="1"/>
    <col min="7" max="7" width="23.5" style="6" customWidth="1"/>
    <col min="8" max="10" width="19.125" style="6" customWidth="1"/>
    <col min="11" max="11" width="17.625" style="6" customWidth="1"/>
    <col min="12" max="12" width="21" style="6" bestFit="1" customWidth="1"/>
    <col min="13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9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15.826109168058776</v>
      </c>
      <c r="I10" s="89">
        <f ca="1">H10*1000/E10/C$8*6.02214129E+23</f>
        <v>1.0000419557614641E+19</v>
      </c>
      <c r="J10" s="80">
        <f t="shared" ref="J10:J15" ca="1" si="2">H10/(SUM(H$10:H$15))*100</f>
        <v>0.3180414151840798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10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100"/>
      <c r="H11" s="80">
        <f t="shared" ca="1" si="1"/>
        <v>3393.7913206821572</v>
      </c>
      <c r="I11" s="89">
        <f t="shared" ref="I11:I17" ca="1" si="4">H11*1000/E11/C$8*6.02214129E+23</f>
        <v>2.135542674725952E+21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10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1"/>
      <c r="H12" s="80">
        <f t="shared" ca="1" si="1"/>
        <v>1209.6540427845123</v>
      </c>
      <c r="I12" s="89">
        <f t="shared" ca="1" si="4"/>
        <v>7.5800306235257861E+20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10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217.9366635320126</v>
      </c>
      <c r="I13" s="89">
        <f t="shared" ca="1" si="4"/>
        <v>1.3599854935779675E+20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10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86.216016658654027</v>
      </c>
      <c r="I14" s="89">
        <f t="shared" ca="1" si="4"/>
        <v>5.3578877221719589E+19</v>
      </c>
      <c r="J14" s="80">
        <f t="shared" ca="1" si="2"/>
        <v>1.7325966640615487</v>
      </c>
      <c r="O14" s="6" t="s">
        <v>124</v>
      </c>
      <c r="P14" s="6">
        <f t="shared" si="5"/>
        <v>14</v>
      </c>
    </row>
    <row r="15" spans="1:16" ht="15">
      <c r="A15" s="110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52.69166495222062</v>
      </c>
      <c r="I15" s="89">
        <f t="shared" ca="1" si="4"/>
        <v>3.2881066822868275E+19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10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109.65409355809237</v>
      </c>
      <c r="I16" s="89">
        <f t="shared" ca="1" si="4"/>
        <v>7.0174286821421228E+19</v>
      </c>
      <c r="O16" s="6" t="s">
        <v>128</v>
      </c>
      <c r="P16" s="6">
        <f t="shared" si="5"/>
        <v>14</v>
      </c>
    </row>
    <row r="17" spans="1:16" ht="15">
      <c r="A17" s="110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25764.524596316704</v>
      </c>
      <c r="I17" s="89">
        <f t="shared" ca="1" si="4"/>
        <v>1.628044220658267E+22</v>
      </c>
      <c r="O17" s="6" t="s">
        <v>129</v>
      </c>
      <c r="P17" s="6">
        <f t="shared" si="5"/>
        <v>14</v>
      </c>
    </row>
    <row r="18" spans="1:16" ht="15">
      <c r="A18" s="110"/>
      <c r="B18" s="45" t="s">
        <v>53</v>
      </c>
      <c r="C18" s="91">
        <f>SUM(K44:K51)</f>
        <v>5.5316901681738999E-3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5.3731269228323997E-3</v>
      </c>
    </row>
    <row r="19" spans="1:16" ht="15">
      <c r="A19" s="110"/>
      <c r="B19" s="45" t="s">
        <v>130</v>
      </c>
      <c r="C19" s="91">
        <f>SUM(L44:L51)</f>
        <v>1.1500481471921896E-2</v>
      </c>
      <c r="D19" s="11"/>
      <c r="E19" s="11"/>
      <c r="F19" s="11"/>
      <c r="G19" s="11">
        <f t="shared" ref="G19:G21" ca="1" si="6">H19/C19</f>
        <v>0.97258501919885199</v>
      </c>
      <c r="H19" s="92">
        <f ca="1">SUMPRODUCT(I10:I17,I44:I51)*1E-24</f>
        <v>1.1185195993165198E-2</v>
      </c>
    </row>
    <row r="20" spans="1:16" ht="15">
      <c r="A20" s="110"/>
      <c r="B20" s="99" t="s">
        <v>145</v>
      </c>
      <c r="C20" s="91">
        <f>C19-C18</f>
        <v>5.9687913037479957E-3</v>
      </c>
      <c r="D20" s="11"/>
      <c r="E20" s="11"/>
      <c r="F20" s="11"/>
      <c r="G20" s="11">
        <f t="shared" ca="1" si="6"/>
        <v>0.97374305358661362</v>
      </c>
      <c r="H20" s="92">
        <f ca="1">H19-H18</f>
        <v>5.8120690703327982E-3</v>
      </c>
    </row>
    <row r="21" spans="1:16" ht="15">
      <c r="A21" s="110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0.97239110745168511</v>
      </c>
      <c r="H21" s="92">
        <f ca="1">SUMPRODUCT(I10:I17,J44:J51)*1E-24</f>
        <v>1.5716420866685728E-2</v>
      </c>
      <c r="J21" s="7"/>
    </row>
    <row r="22" spans="1:16" ht="15">
      <c r="A22" s="111"/>
      <c r="B22" s="45" t="s">
        <v>134</v>
      </c>
      <c r="C22" s="91">
        <f>C21/C19</f>
        <v>1.4053893203781342</v>
      </c>
      <c r="D22" s="11"/>
      <c r="E22" s="11"/>
      <c r="F22" s="11"/>
      <c r="G22" s="11"/>
      <c r="H22" s="93">
        <f ca="1">H21/H19</f>
        <v>1.4051091171124199</v>
      </c>
      <c r="I22" s="90">
        <f ca="1">(H22-C22)/(C22*H22)</f>
        <v>-1.4189480381051646E-4</v>
      </c>
      <c r="J22" s="7"/>
    </row>
    <row r="23" spans="1:16" ht="15" customHeight="1">
      <c r="A23" s="108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8"/>
      <c r="B24" s="45" t="s">
        <v>58</v>
      </c>
      <c r="C24" s="76">
        <v>75</v>
      </c>
      <c r="I24" s="7"/>
      <c r="J24" s="95"/>
    </row>
    <row r="25" spans="1:16" ht="15.75" customHeight="1" thickBot="1">
      <c r="A25" s="108"/>
      <c r="B25" s="45" t="s">
        <v>71</v>
      </c>
      <c r="C25" s="46">
        <f>C24/100*C23</f>
        <v>2250</v>
      </c>
      <c r="E25" s="9" t="s">
        <v>57</v>
      </c>
      <c r="G25" s="105" t="s">
        <v>141</v>
      </c>
      <c r="H25" s="106"/>
      <c r="I25" s="106"/>
      <c r="J25" s="107" t="s">
        <v>144</v>
      </c>
      <c r="K25" s="107"/>
    </row>
    <row r="26" spans="1:16" ht="15.75" thickBot="1">
      <c r="A26" s="108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08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08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08"/>
      <c r="B29" s="45" t="s">
        <v>54</v>
      </c>
      <c r="C29" s="47">
        <f>C28/C8</f>
        <v>17535260719514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08"/>
      <c r="B30" s="45" t="s">
        <v>59</v>
      </c>
      <c r="C30" s="47">
        <f>C29/C18</f>
        <v>3169964366479092.5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08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08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08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08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.75" thickBot="1">
      <c r="A43" s="104"/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102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113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1.5129459785852963E-5</v>
      </c>
      <c r="L44" s="72">
        <f t="shared" ref="L44:L51" si="11">I44*1E-24*F10</f>
        <v>2.114141666671938E-5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112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3.8294934199999998E-3</v>
      </c>
      <c r="L45" s="72">
        <f t="shared" si="11"/>
        <v>4.8314654200000001E-3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112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2.9831152027608561E-4</v>
      </c>
      <c r="L46" s="72">
        <f t="shared" si="11"/>
        <v>6.2857103670920661E-4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112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3.6744234899247245E-4</v>
      </c>
      <c r="L47" s="72">
        <f t="shared" si="11"/>
        <v>4.3518684737290096E-4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112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1.5282396172199437E-5</v>
      </c>
      <c r="L48" s="72">
        <f t="shared" si="11"/>
        <v>3.8195265583565817E-5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112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9.8540913481705007E-6</v>
      </c>
      <c r="L49" s="72">
        <f t="shared" si="11"/>
        <v>6.4830301453718935E-5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112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1.6340454568456546E-4</v>
      </c>
      <c r="L50" s="72">
        <f t="shared" si="11"/>
        <v>2.0944206216426856E-4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112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8.3277238591455451E-4</v>
      </c>
      <c r="L51" s="72">
        <f t="shared" si="11"/>
        <v>5.271649121971516E-3</v>
      </c>
      <c r="M51" s="72">
        <f t="shared" si="12"/>
        <v>2.319061935679748E-3</v>
      </c>
    </row>
    <row r="53" spans="1:13">
      <c r="F53" s="10"/>
      <c r="G53" s="10"/>
      <c r="K53" s="6" t="s">
        <v>7</v>
      </c>
      <c r="L53" s="6" t="s">
        <v>16</v>
      </c>
    </row>
    <row r="54" spans="1:13">
      <c r="F54" s="10"/>
      <c r="G54" s="10"/>
      <c r="I54" s="6">
        <f>LN(Données!D11/(Données!D11+Données!D17))*(-1/(3600*24*365))</f>
        <v>6.8527318392202371E-8</v>
      </c>
      <c r="K54" s="6">
        <f>I44*C30*1E-24*(3600*365*24)</f>
        <v>0.1756487678308902</v>
      </c>
      <c r="L54" s="10">
        <f>I51*C30*1E-24</f>
        <v>9.9470311855747449E-10</v>
      </c>
    </row>
    <row r="55" spans="1:13">
      <c r="D55" s="10"/>
      <c r="F55" s="10"/>
      <c r="G55" s="10"/>
      <c r="L55" s="6">
        <f>L54*(365*3600*24)</f>
        <v>3.1368957546828516E-2</v>
      </c>
    </row>
    <row r="56" spans="1:13">
      <c r="F56" s="10"/>
      <c r="G56" s="10"/>
      <c r="K56" s="6" t="s">
        <v>10</v>
      </c>
      <c r="L56" s="6" t="s">
        <v>9</v>
      </c>
    </row>
    <row r="57" spans="1:13">
      <c r="F57" s="10"/>
      <c r="G57" s="10"/>
      <c r="H57" s="10"/>
      <c r="K57" s="10">
        <f>(I46)*C30*1E-24</f>
        <v>2.7541918401716949E-9</v>
      </c>
      <c r="L57" s="10">
        <f>I45*C30*1E-24</f>
        <v>7.0312979612872758E-9</v>
      </c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  <c r="K58" s="6">
        <f>K57*(3600*365*24)</f>
        <v>8.6856193871654566E-2</v>
      </c>
      <c r="L58" s="10">
        <f>L57*3600*365*24</f>
        <v>0.22173901250715555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  <c r="K60" s="6" t="s">
        <v>13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  <c r="K61" s="10">
        <f>H48*C30*1E-24</f>
        <v>1.4222045130208447E-9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  <c r="K62" s="10">
        <f>K61*3600*365*24</f>
        <v>4.4850641522625356E-2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AB10" sqref="AB10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A1" s="116"/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103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3169964366479092.5</v>
      </c>
      <c r="I2" s="39">
        <f>B2</f>
        <v>19.041708027546772</v>
      </c>
      <c r="J2" s="21">
        <f>-(Données!I$44*1E-24*H2+Données!F$44)*I2</f>
        <v>-1.1083050840696934E-7</v>
      </c>
      <c r="K2" s="41">
        <f>B3</f>
        <v>3461.5820803761339</v>
      </c>
      <c r="L2" s="23">
        <f>-(Données!I$45*1E-24*H2+Données!F$45)*K2+(I2*Données!H$44*1E-24*H2)+(Données!H$51*1E-24*H2)*Y2</f>
        <v>-2.0442988336352827E-6</v>
      </c>
      <c r="M2" s="39">
        <f>B4</f>
        <v>1154.5288235649409</v>
      </c>
      <c r="N2" s="21">
        <f>-(Données!I$46*1E-24*H2+Données!F$46)*M2+Données!H$45*1E-24*H2*K2</f>
        <v>1.8639606769898312E-6</v>
      </c>
      <c r="O2" s="41">
        <f>B5</f>
        <v>241.52903340204062</v>
      </c>
      <c r="P2" s="23">
        <f>-(Données!I$47*1E-24*H2+Données!F$47)*O2+(Données!H$46*1E-24*H2)*M2</f>
        <v>-9.1056566854289072E-7</v>
      </c>
      <c r="Q2" s="39">
        <f>B6</f>
        <v>82.180003066254471</v>
      </c>
      <c r="R2" s="43">
        <f>-(Données!I$48*1E-24*H2+Données!F$48)*Q2+Données!H$47*1E-24*H2*O2</f>
        <v>1.4929559828586733E-7</v>
      </c>
      <c r="S2" s="41">
        <f>B7</f>
        <v>52.114148285917473</v>
      </c>
      <c r="T2" s="22">
        <f>-(Données!I$49*1E-24*H2+Données!F$49)*S2+Données!F$47*O2</f>
        <v>3.861423436402745E-8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-1.0342894084133988E-6</v>
      </c>
      <c r="Y2" s="41">
        <f>B9</f>
        <v>26586.632553782751</v>
      </c>
      <c r="Z2" s="23">
        <f>-(Données!I$51*1E-24*H2+Données!F$51)*Y2+Données!F$48*Q2</f>
        <v>-2.6445801627231783E-5</v>
      </c>
      <c r="AA2" s="14">
        <f>W2+Y2</f>
        <v>26725.60570344064</v>
      </c>
      <c r="AB2" s="2">
        <f>Z2/Y2*365*24*3600</f>
        <v>-3.1368951988533074E-2</v>
      </c>
      <c r="AC2" s="114" t="s">
        <v>16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3169964366479092.5</v>
      </c>
      <c r="I3" s="40">
        <f>I2+J2*D$5</f>
        <v>18.750445451453256</v>
      </c>
      <c r="J3" s="21">
        <f>-(Données!I$44*1E-24*H3+Données!F$44)*I3</f>
        <v>-1.0913524139932125E-7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1.8426189185111325E-6</v>
      </c>
      <c r="O3" s="42">
        <f>O2+P2*D$5</f>
        <v>239.13606682510991</v>
      </c>
      <c r="P3" s="23">
        <f>-(Données!I$47*1E-24*H3+Données!F$47)*O3+(Données!H$46*1E-24*H3)*M3</f>
        <v>-8.7790298624356615E-7</v>
      </c>
      <c r="Q3" s="40">
        <f>Q2+R2*D$5</f>
        <v>82.572351898549726</v>
      </c>
      <c r="R3" s="43">
        <f>-(Données!I$48*1E-24*H3+Données!F$48)*Q3+Données!H$47*1E-24*H3*O3</f>
        <v>1.4495589262777539E-7</v>
      </c>
      <c r="S3" s="42">
        <f>S2+T2*D$5</f>
        <v>52.215626493826136</v>
      </c>
      <c r="T3" s="22">
        <f>-(Données!I$49*1E-24*H3+Données!F$49)*S3+Données!F$47*O3</f>
        <v>3.4296155111998572E-8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-1.0140033894550325E-6</v>
      </c>
      <c r="Y3" s="42">
        <f t="shared" ref="Y3:Y18" si="4">Y2+Z2*D$5</f>
        <v>26517.132987106386</v>
      </c>
      <c r="Z3" s="23">
        <f>-(Données!I$51*1E-24*H3+Données!F$51)*Y3+Données!F$48*Q3</f>
        <v>-2.6376670168182111E-5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3169964366479092.5</v>
      </c>
      <c r="I4" s="40">
        <f t="shared" ref="I4:I18" si="6">I3+J3*D$5</f>
        <v>18.463638037055841</v>
      </c>
      <c r="J4" s="21">
        <f>-(Données!I$44*1E-24*H4+Données!F$44)*I4</f>
        <v>-1.074659052501392E-7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-2.0855374530901785E-6</v>
      </c>
      <c r="M4" s="40">
        <f t="shared" ref="M4:M18" si="8">M3+N3*D$5</f>
        <v>1164.2697147419174</v>
      </c>
      <c r="N4" s="21">
        <f>-(Données!I$46*1E-24*H4+Données!F$46)*M4+Données!H$45*1E-24*H4*K4</f>
        <v>1.8213517596604622E-6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-8.4623882920271783E-7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1.4076552748082038E-7</v>
      </c>
      <c r="S4" s="42">
        <f t="shared" ref="S4:S18" si="11">S3+T3*D$5</f>
        <v>52.305756789460467</v>
      </c>
      <c r="T4" s="22">
        <f>-(Données!I$49*1E-24*H4+Données!F$49)*S4+Données!F$47*O4</f>
        <v>3.0182068666513187E-8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-9.9411539612211429E-7</v>
      </c>
      <c r="Y4" s="42">
        <f t="shared" si="4"/>
        <v>26447.815097904404</v>
      </c>
      <c r="Z4" s="23">
        <f>-(Données!I$51*1E-24*H4+Données!F$51)*Y4+Données!F$48*Q4</f>
        <v>-2.6307719424952134E-5</v>
      </c>
      <c r="AA4" s="15">
        <f t="shared" si="5"/>
        <v>26581.405334089497</v>
      </c>
      <c r="AB4" s="2">
        <f>L2/K2*3600*365*24-AB2</f>
        <v>1.2744806577392891E-2</v>
      </c>
      <c r="AC4" s="19" t="s">
        <v>9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3169964366479092.5</v>
      </c>
      <c r="I5" s="40">
        <f t="shared" si="6"/>
        <v>18.181217638058474</v>
      </c>
      <c r="J5" s="21">
        <f>-(Données!I$44*1E-24*H5+Données!F$44)*I5</f>
        <v>-1.0582210332018124E-7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-2.1053493652627439E-6</v>
      </c>
      <c r="M5" s="40">
        <f t="shared" si="8"/>
        <v>1169.056227166305</v>
      </c>
      <c r="N5" s="21">
        <f>-(Données!I$46*1E-24*H5+Données!F$46)*M5+Données!H$45*1E-24*H5*K5</f>
        <v>1.8001607495550043E-6</v>
      </c>
      <c r="O5" s="42">
        <f t="shared" si="9"/>
        <v>234.60502213411706</v>
      </c>
      <c r="P5" s="23">
        <f>-(Données!I$47*1E-24*H5+Données!F$47)*O5+(Données!H$46*1E-24*H5)*M5</f>
        <v>-8.1554486915539507E-7</v>
      </c>
      <c r="Q5" s="40">
        <f t="shared" si="10"/>
        <v>83.323227790595112</v>
      </c>
      <c r="R5" s="43">
        <f>-(Données!I$48*1E-24*H5+Données!F$48)*Q5+Données!H$47*1E-24*H5*O5</f>
        <v>1.3671983350497674E-7</v>
      </c>
      <c r="S5" s="42">
        <f t="shared" si="11"/>
        <v>52.385075265916065</v>
      </c>
      <c r="T5" s="22">
        <f>-(Données!I$49*1E-24*H5+Données!F$49)*S5+Données!F$47*O5</f>
        <v>2.6264533703542605E-8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-9.7461761855408482E-7</v>
      </c>
      <c r="Y5" s="42">
        <f t="shared" si="4"/>
        <v>26378.678411255631</v>
      </c>
      <c r="Z5" s="23">
        <f>-(Données!I$51*1E-24*H5+Données!F$51)*Y5+Données!F$48*Q5</f>
        <v>-2.6238948925113266E-5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3169964366479092.5</v>
      </c>
      <c r="I6" s="40">
        <f t="shared" si="6"/>
        <v>17.903117150533038</v>
      </c>
      <c r="J6" s="21">
        <f>-(Données!I$44*1E-24*H6+Données!F$44)*I6</f>
        <v>-1.0420344503721202E-7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-2.1246369255752853E-6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-7.8579356757268365E-7</v>
      </c>
      <c r="Q6" s="40">
        <f t="shared" si="10"/>
        <v>83.682527513046196</v>
      </c>
      <c r="R6" s="43">
        <f>-(Données!I$48*1E-24*H6+Données!F$48)*Q6+Données!H$47*1E-24*H6*O6</f>
        <v>1.3281427652481636E-7</v>
      </c>
      <c r="S6" s="42">
        <f t="shared" si="11"/>
        <v>52.454098460488972</v>
      </c>
      <c r="T6" s="22">
        <f>-(Données!I$49*1E-24*H6+Données!F$49)*S6+Données!F$47*O6</f>
        <v>2.2536347699909808E-8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-9.5550240013130072E-7</v>
      </c>
      <c r="Y6" s="42">
        <f t="shared" si="4"/>
        <v>26309.722453480434</v>
      </c>
      <c r="Z6" s="23">
        <f>-(Données!I$51*1E-24*H6+Données!F$51)*Y6+Données!F$48*Q6</f>
        <v>-2.6170358197472617E-5</v>
      </c>
      <c r="AA6" s="15">
        <f t="shared" si="5"/>
        <v>26438.138859302959</v>
      </c>
      <c r="AB6" s="2">
        <f>X2/W2*3600*365*24</f>
        <v>-0.23470253688585685</v>
      </c>
      <c r="AC6" s="115" t="s">
        <v>15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3169964366479092.5</v>
      </c>
      <c r="I7" s="40">
        <f t="shared" si="6"/>
        <v>17.629270496975245</v>
      </c>
      <c r="J7" s="21">
        <f>-(Données!I$44*1E-24*H7+Données!F$44)*I7</f>
        <v>-1.0260954580320157E-7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1.7580131142654096E-6</v>
      </c>
      <c r="O7" s="42">
        <f t="shared" si="9"/>
        <v>230.39670472239567</v>
      </c>
      <c r="P7" s="23">
        <f>-(Données!I$47*1E-24*H7+Données!F$47)*O7+(Données!H$46*1E-24*H7)*M7</f>
        <v>-7.5695815367812298E-7</v>
      </c>
      <c r="Q7" s="40">
        <f t="shared" si="10"/>
        <v>84.031563431753412</v>
      </c>
      <c r="R7" s="43">
        <f>-(Données!I$48*1E-24*H7+Données!F$48)*Q7+Données!H$47*1E-24*H7*O7</f>
        <v>1.2904445373028005E-7</v>
      </c>
      <c r="S7" s="42">
        <f t="shared" si="11"/>
        <v>52.513323982244337</v>
      </c>
      <c r="T7" s="22">
        <f>-(Données!I$49*1E-24*H7+Données!F$49)*S7+Données!F$47*O7</f>
        <v>1.8990539751145889E-8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-9.3676223446824308E-7</v>
      </c>
      <c r="Y7" s="42">
        <f t="shared" si="4"/>
        <v>26240.946752137475</v>
      </c>
      <c r="Z7" s="23">
        <f>-(Données!I$51*1E-24*H7+Données!F$51)*Y7+Données!F$48*Q7</f>
        <v>-2.6101946772069726E-5</v>
      </c>
      <c r="AA7" s="15">
        <f t="shared" si="5"/>
        <v>26366.852097652456</v>
      </c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3169964366479092.5</v>
      </c>
      <c r="I8" s="40">
        <f t="shared" si="6"/>
        <v>17.35961261060443</v>
      </c>
      <c r="J8" s="21">
        <f>-(Données!I$44*1E-24*H8+Données!F$44)*I8</f>
        <v>-1.0104002690294372E-7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-2.1616795625403699E-6</v>
      </c>
      <c r="M8" s="40">
        <f t="shared" si="8"/>
        <v>1183.0824446095935</v>
      </c>
      <c r="N8" s="21">
        <f>-(Données!I$46*1E-24*H8+Données!F$46)*M8+Données!H$45*1E-24*H8*K8</f>
        <v>1.737059332915522E-6</v>
      </c>
      <c r="O8" s="42">
        <f t="shared" si="9"/>
        <v>228.40741869452955</v>
      </c>
      <c r="P8" s="23">
        <f>-(Données!I$47*1E-24*H8+Données!F$47)*O8+(Données!H$46*1E-24*H8)*M8</f>
        <v>-7.2901260307723141E-7</v>
      </c>
      <c r="Q8" s="40">
        <f t="shared" si="10"/>
        <v>84.370692256156588</v>
      </c>
      <c r="R8" s="43">
        <f>-(Données!I$48*1E-24*H8+Données!F$48)*Q8+Données!H$47*1E-24*H8*O8</f>
        <v>1.2540608998343488E-7</v>
      </c>
      <c r="S8" s="42">
        <f t="shared" si="11"/>
        <v>52.563231120710348</v>
      </c>
      <c r="T8" s="22">
        <f>-(Données!I$49*1E-24*H8+Données!F$49)*S8+Données!F$47*O8</f>
        <v>1.562036359822493E-8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-9.1838976246572772E-7</v>
      </c>
      <c r="Y8" s="42">
        <f t="shared" si="4"/>
        <v>26172.350836020476</v>
      </c>
      <c r="Z8" s="23">
        <f>-(Données!I$51*1E-24*H8+Données!F$51)*Y8+Données!F$48*Q8</f>
        <v>-2.6033714180173326E-5</v>
      </c>
      <c r="AA8" s="15">
        <f t="shared" si="5"/>
        <v>26295.794370383272</v>
      </c>
      <c r="AB8" s="2">
        <f>J2/I2*3600*365*24</f>
        <v>-0.18355238448493749</v>
      </c>
      <c r="AC8" s="115" t="s">
        <v>7</v>
      </c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3169964366479092.5</v>
      </c>
      <c r="I9" s="40">
        <f t="shared" si="6"/>
        <v>17.094079419903494</v>
      </c>
      <c r="J9" s="21">
        <f>-(Données!I$44*1E-24*H9+Données!F$44)*I9</f>
        <v>-9.9494515414072261E-8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1.7161873901828625E-6</v>
      </c>
      <c r="O9" s="42">
        <f t="shared" si="9"/>
        <v>226.4915735736426</v>
      </c>
      <c r="P9" s="23">
        <f>-(Données!I$47*1E-24*H9+Données!F$47)*O9+(Données!H$46*1E-24*H9)*M9</f>
        <v>-7.0193161698301956E-7</v>
      </c>
      <c r="Q9" s="40">
        <f t="shared" si="10"/>
        <v>84.700259460633049</v>
      </c>
      <c r="R9" s="43">
        <f>-(Données!I$48*1E-24*H9+Données!F$48)*Q9+Données!H$47*1E-24*H9*O9</f>
        <v>1.2189503422826242E-7</v>
      </c>
      <c r="S9" s="42">
        <f t="shared" si="11"/>
        <v>52.604281436246481</v>
      </c>
      <c r="T9" s="22">
        <f>-(Données!I$49*1E-24*H9+Données!F$49)*S9+Données!F$47*O9</f>
        <v>1.241929085720795E-8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-9.003777694209501E-7</v>
      </c>
      <c r="Y9" s="42">
        <f t="shared" si="4"/>
        <v>26103.934235154982</v>
      </c>
      <c r="Z9" s="23">
        <f>-(Données!I$51*1E-24*H9+Données!F$51)*Y9+Données!F$48*Q9</f>
        <v>-2.5965659954278115E-5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3169964366479092.5</v>
      </c>
      <c r="I10" s="40">
        <f t="shared" si="6"/>
        <v>16.832607833395311</v>
      </c>
      <c r="J10" s="21">
        <f>-(Données!I$44*1E-24*H10+Données!F$44)*I10</f>
        <v>-9.7972644118453394E-8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-2.1967446194334757E-6</v>
      </c>
      <c r="M10" s="40">
        <f t="shared" si="8"/>
        <v>1192.1575769978961</v>
      </c>
      <c r="N10" s="21">
        <f>-(Données!I$46*1E-24*H10+Données!F$46)*M10+Données!H$45*1E-24*H10*K10</f>
        <v>1.6953985873958727E-6</v>
      </c>
      <c r="O10" s="42">
        <f t="shared" si="9"/>
        <v>224.64689728421124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1.1850725600060289E-7</v>
      </c>
      <c r="S10" s="42">
        <f t="shared" si="11"/>
        <v>52.636919332619222</v>
      </c>
      <c r="T10" s="22">
        <f>-(Données!I$49*1E-24*H10+Données!F$49)*S10+Données!F$47*O10</f>
        <v>9.3810044459968184E-9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-8.8271918219423752E-7</v>
      </c>
      <c r="Y10" s="42">
        <f t="shared" si="4"/>
        <v>26035.696480795141</v>
      </c>
      <c r="Z10" s="23">
        <f>-(Données!I$51*1E-24*H10+Données!F$51)*Y10+Données!F$48*Q10</f>
        <v>-2.5897783628101515E-5</v>
      </c>
      <c r="AA10" s="15">
        <f t="shared" si="5"/>
        <v>26154.360294084137</v>
      </c>
      <c r="AB10" s="2">
        <f>R2/Q2*3600*365*24</f>
        <v>5.72911391077379E-2</v>
      </c>
      <c r="AC10" s="19" t="s">
        <v>13</v>
      </c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3169964366479092.5</v>
      </c>
      <c r="I11" s="40">
        <f t="shared" si="6"/>
        <v>16.575135724652014</v>
      </c>
      <c r="J11" s="21">
        <f>-(Données!I$44*1E-24*H11+Données!F$44)*I11</f>
        <v>-9.6474051414933694E-8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222.87118238210053</v>
      </c>
      <c r="P11" s="23">
        <f>-(Données!I$47*1E-24*H11+Données!F$47)*O11+(Données!H$46*1E-24*H11)*M11</f>
        <v>-6.502656505962454E-7</v>
      </c>
      <c r="Q11" s="40">
        <f t="shared" si="10"/>
        <v>85.332036679354502</v>
      </c>
      <c r="R11" s="43">
        <f>-(Données!I$48*1E-24*H11+Données!F$48)*Q11+Données!H$47*1E-24*H11*O11</f>
        <v>1.1523884203546397E-7</v>
      </c>
      <c r="S11" s="42">
        <f t="shared" si="11"/>
        <v>52.661572612303303</v>
      </c>
      <c r="T11" s="22">
        <f>-(Données!I$49*1E-24*H11+Données!F$49)*S11+Données!F$47*O11</f>
        <v>6.4993922025616064E-9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-8.6540706643139157E-7</v>
      </c>
      <c r="Y11" s="42">
        <f t="shared" si="4"/>
        <v>25967.63710542049</v>
      </c>
      <c r="Z11" s="23">
        <f>-(Données!I$51*1E-24*H11+Données!F$51)*Y11+Données!F$48*Q11</f>
        <v>-2.5830084736580479E-5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3169964366479092.5</v>
      </c>
      <c r="I12" s="40">
        <f t="shared" si="6"/>
        <v>16.32160191753357</v>
      </c>
      <c r="J12" s="21">
        <f>-(Données!I$44*1E-24*H12+Données!F$44)*I12</f>
        <v>-9.4998381233422581E-8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1.654075376361847E-6</v>
      </c>
      <c r="O12" s="42">
        <f t="shared" si="9"/>
        <v>221.16228425233359</v>
      </c>
      <c r="P12" s="23">
        <f>-(Données!I$47*1E-24*H12+Données!F$47)*O12+(Données!H$46*1E-24*H12)*M12</f>
        <v>-6.2563352181057743E-7</v>
      </c>
      <c r="Q12" s="40">
        <f t="shared" si="10"/>
        <v>85.634884356223708</v>
      </c>
      <c r="R12" s="43">
        <f>-(Données!I$48*1E-24*H12+Données!F$48)*Q12+Données!H$47*1E-24*H12*O12</f>
        <v>1.1208599296897677E-7</v>
      </c>
      <c r="S12" s="42">
        <f t="shared" si="11"/>
        <v>52.678653015011633</v>
      </c>
      <c r="T12" s="22">
        <f>-(Données!I$49*1E-24*H12+Données!F$49)*S12+Données!F$47*O12</f>
        <v>3.7685406891655781E-9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-8.4843462384053146E-7</v>
      </c>
      <c r="Y12" s="42">
        <f t="shared" si="4"/>
        <v>25899.755642732758</v>
      </c>
      <c r="Z12" s="23">
        <f>-(Données!I$51*1E-24*H12+Données!F$51)*Y12+Données!F$48*Q12</f>
        <v>-2.5762562815868266E-5</v>
      </c>
      <c r="AA12" s="15">
        <f t="shared" si="5"/>
        <v>26013.825380240367</v>
      </c>
      <c r="AB12" s="2">
        <f>P2/O2*3600*365*24</f>
        <v>-0.11889087832918885</v>
      </c>
      <c r="AC12" s="19" t="s">
        <v>11</v>
      </c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3169964366479092.5</v>
      </c>
      <c r="I13" s="40">
        <f t="shared" si="6"/>
        <v>16.071946171652137</v>
      </c>
      <c r="J13" s="21">
        <f>-(Données!I$44*1E-24*H13+Données!F$44)*I13</f>
        <v>-9.3545282950288923E-8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1.6335433432227552E-6</v>
      </c>
      <c r="O13" s="42">
        <f t="shared" si="9"/>
        <v>219.51811935701539</v>
      </c>
      <c r="P13" s="23">
        <f>-(Données!I$47*1E-24*H13+Données!F$47)*O13+(Données!H$46*1E-24*H13)*M13</f>
        <v>-6.0177162290821401E-7</v>
      </c>
      <c r="Q13" s="40">
        <f t="shared" si="10"/>
        <v>85.929446345746186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-8.3179518952237045E-7</v>
      </c>
      <c r="Y13" s="42">
        <f t="shared" si="4"/>
        <v>25832.051627652658</v>
      </c>
      <c r="Z13" s="23">
        <f>-(Données!I$51*1E-24*H13+Données!F$51)*Y13+Données!F$48*Q13</f>
        <v>-2.5695217403331259E-5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3169964366479092.5</v>
      </c>
      <c r="I14" s="40">
        <f t="shared" si="6"/>
        <v>15.826109168058776</v>
      </c>
      <c r="J14" s="21">
        <f>-(Données!I$44*1E-24*H14+Données!F$44)*I14</f>
        <v>-9.211441130505195E-8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-2.2612444072308642E-6</v>
      </c>
      <c r="M14" s="40">
        <f t="shared" si="8"/>
        <v>1209.6540427845123</v>
      </c>
      <c r="N14" s="21">
        <f>-(Données!I$46*1E-24*H14+Données!F$46)*M14+Données!H$45*1E-24*H14*K14</f>
        <v>1.6130992022394203E-6</v>
      </c>
      <c r="O14" s="42">
        <f t="shared" si="9"/>
        <v>217.9366635320126</v>
      </c>
      <c r="P14" s="23">
        <f>-(Données!I$47*1E-24*H14+Données!F$47)*O14+(Données!H$46*1E-24*H14)*M14</f>
        <v>-5.7865799124138474E-7</v>
      </c>
      <c r="Q14" s="40">
        <f t="shared" si="10"/>
        <v>86.216016658654027</v>
      </c>
      <c r="R14" s="43">
        <f>-(Données!I$48*1E-24*H14+Données!F$48)*Q14+Données!H$47*1E-24*H14*O14</f>
        <v>1.061123424353371E-7</v>
      </c>
      <c r="S14" s="42">
        <f t="shared" si="11"/>
        <v>52.69166495222062</v>
      </c>
      <c r="T14" s="22">
        <f>-(Données!I$49*1E-24*H14+Données!F$49)*S14+Données!F$47*O14</f>
        <v>-1.2635761920743569E-9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-8.1548222935287232E-7</v>
      </c>
      <c r="Y14" s="42">
        <f t="shared" si="4"/>
        <v>25764.524596316704</v>
      </c>
      <c r="Z14" s="23">
        <f>-(Données!I$51*1E-24*H14+Données!F$51)*Y14+Données!F$48*Q14</f>
        <v>-2.5628048037545773E-5</v>
      </c>
      <c r="AA14" s="15">
        <f t="shared" si="5"/>
        <v>25874.178689874796</v>
      </c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3169964366479092.5</v>
      </c>
      <c r="I15" s="40">
        <f t="shared" si="6"/>
        <v>15.584032495149099</v>
      </c>
      <c r="J15" s="21">
        <f>-(Données!I$44*1E-24*H15+Données!F$44)*I15</f>
        <v>-9.070542631834623E-8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1.5927440331747289E-6</v>
      </c>
      <c r="O15" s="42">
        <f t="shared" si="9"/>
        <v>216.41595033103025</v>
      </c>
      <c r="P15" s="23">
        <f>-(Données!I$47*1E-24*H15+Données!F$47)*O15+(Données!H$46*1E-24*H15)*M15</f>
        <v>-5.562712767376421E-7</v>
      </c>
      <c r="Q15" s="40">
        <f t="shared" si="10"/>
        <v>86.494879894574098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-3.5757280773040891E-9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-7.9948933741726674E-7</v>
      </c>
      <c r="Y15" s="42">
        <f t="shared" si="4"/>
        <v>25697.174086074032</v>
      </c>
      <c r="Z15" s="23">
        <f>-(Données!I$51*1E-24*H15+Données!F$51)*Y15+Données!F$48*Q15</f>
        <v>-2.556105425829486E-5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3169964366479092.5</v>
      </c>
      <c r="I16" s="40">
        <f t="shared" si="6"/>
        <v>15.345658634784485</v>
      </c>
      <c r="J16" s="21">
        <f>-(Données!I$44*1E-24*H16+Données!F$44)*I16</f>
        <v>-8.9317993211141617E-8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1.5724788744014843E-6</v>
      </c>
      <c r="O16" s="42">
        <f t="shared" si="9"/>
        <v>214.95406941576371</v>
      </c>
      <c r="P16" s="23">
        <f>-(Données!I$47*1E-24*H16+Données!F$47)*O16+(Données!H$46*1E-24*H16)*M16</f>
        <v>-5.3459072485608832E-7</v>
      </c>
      <c r="Q16" s="40">
        <f t="shared" si="10"/>
        <v>86.766311516782352</v>
      </c>
      <c r="R16" s="43">
        <f>-(Données!I$48*1E-24*H16+Données!F$48)*Q16+Données!H$47*1E-24*H16*O16</f>
        <v>1.0055806789809281E-7</v>
      </c>
      <c r="S16" s="42">
        <f t="shared" si="11"/>
        <v>52.678947260600694</v>
      </c>
      <c r="T16" s="22">
        <f>-(Données!I$49*1E-24*H16+Données!F$49)*S16+Données!F$47*O16</f>
        <v>-5.7589034398843375E-9</v>
      </c>
      <c r="U16" s="28">
        <f t="shared" si="2"/>
        <v>4969.6907731234051</v>
      </c>
      <c r="V16" s="19"/>
      <c r="W16" s="40">
        <f t="shared" si="3"/>
        <v>105.40994828062044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-2.5494235606565165E-5</v>
      </c>
      <c r="AA16" s="15">
        <f t="shared" si="5"/>
        <v>25735.409583763852</v>
      </c>
      <c r="AB16" s="2">
        <f>T2/S2*3600*365*24</f>
        <v>2.3366754230022265E-2</v>
      </c>
      <c r="AC16" s="19" t="s">
        <v>14</v>
      </c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3169964366479092.5</v>
      </c>
      <c r="I17" s="40">
        <f t="shared" si="6"/>
        <v>15.110930948625604</v>
      </c>
      <c r="J17" s="21">
        <f>-(Données!I$44*1E-24*H17+Données!F$44)*I17</f>
        <v>-8.7951782325198748E-8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-2.3049753373361575E-6</v>
      </c>
      <c r="M17" s="40">
        <f t="shared" si="8"/>
        <v>1222.2114732891077</v>
      </c>
      <c r="N17" s="21">
        <f>-(Données!I$46*1E-24*H17+Données!F$46)*M17+Données!H$45*1E-24*H17*K17</f>
        <v>1.5523047238319657E-6</v>
      </c>
      <c r="O17" s="42">
        <f t="shared" si="9"/>
        <v>213.54916499084192</v>
      </c>
      <c r="P17" s="23">
        <f>-(Données!I$47*1E-24*H17+Données!F$47)*O17+(Données!H$46*1E-24*H17)*M17</f>
        <v>-5.1359616001869136E-7</v>
      </c>
      <c r="Q17" s="40">
        <f t="shared" si="10"/>
        <v>87.030578119218546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-7.8181088869426439E-9</v>
      </c>
      <c r="U17" s="28">
        <f t="shared" si="2"/>
        <v>4966.4124638996836</v>
      </c>
      <c r="V17" s="19"/>
      <c r="W17" s="40">
        <f t="shared" si="3"/>
        <v>103.35009498699714</v>
      </c>
      <c r="X17" s="21">
        <f>-(Données!I$50*1E-24*H17+Données!F$50)*W17+Données!F$45*K17</f>
        <v>-7.6843876059050576E-7</v>
      </c>
      <c r="Y17" s="42">
        <f t="shared" si="4"/>
        <v>25563.000784309181</v>
      </c>
      <c r="Z17" s="23">
        <f>-(Données!I$51*1E-24*H17+Données!F$51)*Y17+Données!F$48*Q17</f>
        <v>-2.5427591624543747E-5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3169964366479092.5</v>
      </c>
      <c r="I18" s="40">
        <f t="shared" si="6"/>
        <v>14.879793664674983</v>
      </c>
      <c r="J18" s="21">
        <f>-(Données!I$44*1E-24*H18+Données!F$44)*I18</f>
        <v>-8.6606469044741215E-8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1.5322225398290242E-6</v>
      </c>
      <c r="O18" s="42">
        <f t="shared" si="9"/>
        <v>212.19943428231281</v>
      </c>
      <c r="P18" s="23">
        <f>-(Données!I$47*1E-24*H18+Données!F$47)*O18+(Données!H$46*1E-24*H18)*M18</f>
        <v>-4.9326796950340943E-7</v>
      </c>
      <c r="Q18" s="40">
        <f t="shared" si="10"/>
        <v>87.287937685976942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101.33063792416529</v>
      </c>
      <c r="X18" s="21">
        <f>-(Données!I$50*1E-24*H18+Données!F$50)*W18+Données!F$45*K18</f>
        <v>-7.533688825212187E-7</v>
      </c>
      <c r="Y18" s="42">
        <f t="shared" si="4"/>
        <v>25496.177073519881</v>
      </c>
      <c r="Z18" s="23">
        <f>-(Données!I$51*1E-24*H18+Données!F$51)*Y18+Données!F$48*Q18</f>
        <v>-2.5361121855614923E-5</v>
      </c>
      <c r="AA18" s="15">
        <f t="shared" si="5"/>
        <v>25597.507711444046</v>
      </c>
      <c r="AB18" s="2">
        <f>N2/M2*3600*365*24-0.025</f>
        <v>2.5914158841045955E-2</v>
      </c>
      <c r="AC18" s="2" t="s">
        <v>10</v>
      </c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3169964366479092.5</v>
      </c>
      <c r="I19" s="40">
        <f t="shared" ref="I19:I30" si="14">I18+J18*D$5</f>
        <v>14.652191864025403</v>
      </c>
      <c r="J19" s="21">
        <f>-(Données!I$44*1E-24*H19+Données!F$44)*I19</f>
        <v>-8.5281733719325955E-8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1.512233242099056E-6</v>
      </c>
      <c r="O19" s="42">
        <f t="shared" ref="O19:O30" si="17">O18+P18*D$5</f>
        <v>210.90312605845784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87.538639843483267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99.350784500899522</v>
      </c>
      <c r="X19" s="21">
        <f>-(Données!I$50*1E-24*H19+Données!F$50)*W19+Données!F$45*K19</f>
        <v>-7.3859468154122799E-7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-2.5294825844357139E-5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3169964366479092.5</v>
      </c>
      <c r="I20" s="40">
        <f t="shared" si="14"/>
        <v>14.428071467811014</v>
      </c>
      <c r="J20" s="21">
        <f>-(Données!I$44*1E-24*H20+Données!F$44)*I20</f>
        <v>-8.3977261587893307E-8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1.4923377125672246E-6</v>
      </c>
      <c r="O20" s="42">
        <f t="shared" si="17"/>
        <v>209.65853919175564</v>
      </c>
      <c r="P20" s="23">
        <f>-(Données!I$47*1E-24*H20+Données!F$47)*O20+(Données!H$46*1E-24*H20)*M20</f>
        <v>-4.545349813195851E-7</v>
      </c>
      <c r="Q20" s="40">
        <f t="shared" si="18"/>
        <v>87.782926105561714</v>
      </c>
      <c r="R20" s="43">
        <f>-(Données!I$48*1E-24*H20+Données!F$48)*Q20+Données!H$47*1E-24*H20*O20</f>
        <v>9.0602742020089952E-8</v>
      </c>
      <c r="S20" s="42">
        <f t="shared" si="19"/>
        <v>52.587180092222702</v>
      </c>
      <c r="T20" s="22">
        <f>-(Données!I$49*1E-24*H20+Données!F$49)*S20+Données!F$47*O20</f>
        <v>-1.3299524347608942E-8</v>
      </c>
      <c r="U20" s="28">
        <f t="shared" si="20"/>
        <v>4956.3153104719277</v>
      </c>
      <c r="V20" s="19"/>
      <c r="W20" s="40">
        <f t="shared" si="21"/>
        <v>97.409757677809168</v>
      </c>
      <c r="X20" s="21">
        <f>-(Données!I$50*1E-24*H20+Données!F$50)*W20+Données!F$45*K20</f>
        <v>-7.2411035602029296E-7</v>
      </c>
      <c r="Y20" s="42">
        <f t="shared" si="22"/>
        <v>25363.053242964354</v>
      </c>
      <c r="Z20" s="23">
        <f>-(Données!I$51*1E-24*H20+Données!F$51)*Y20+Données!F$48*Q20</f>
        <v>-2.522870313653981E-5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3169964366479092.5</v>
      </c>
      <c r="I21" s="40">
        <f t="shared" si="14"/>
        <v>14.20737922435803</v>
      </c>
      <c r="J21" s="21">
        <f>-(Données!I$44*1E-24*H21+Données!F$44)*I21</f>
        <v>-8.2692742703978878E-8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-2.3575245097226027E-6</v>
      </c>
      <c r="M21" s="40">
        <f t="shared" si="16"/>
        <v>1238.2136234068719</v>
      </c>
      <c r="N21" s="21">
        <f>-(Données!I$46*1E-24*H21+Données!F$46)*M21+Données!H$45*1E-24*H21*K21</f>
        <v>1.4725367962352379E-6</v>
      </c>
      <c r="O21" s="42">
        <f t="shared" si="17"/>
        <v>208.46402126084777</v>
      </c>
      <c r="P21" s="23">
        <f>-(Données!I$47*1E-24*H21+Données!F$47)*O21+(Données!H$46*1E-24*H21)*M21</f>
        <v>-4.3609363373494405E-7</v>
      </c>
      <c r="Q21" s="40">
        <f t="shared" si="18"/>
        <v>88.021030111590505</v>
      </c>
      <c r="R21" s="43">
        <f>-(Données!I$48*1E-24*H21+Données!F$48)*Q21+Données!H$47*1E-24*H21*O21</f>
        <v>8.8336280954468926E-8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95.506795662187841</v>
      </c>
      <c r="X21" s="21">
        <f>-(Données!I$50*1E-24*H21+Données!F$50)*W21+Données!F$45*K21</f>
        <v>-7.0991021816491719E-7</v>
      </c>
      <c r="Y21" s="42">
        <f t="shared" si="22"/>
        <v>25296.752211121526</v>
      </c>
      <c r="Z21" s="23">
        <f>-(Données!I$51*1E-24*H21+Données!F$51)*Y21+Données!F$48*Q21</f>
        <v>-2.5162753279120233E-5</v>
      </c>
      <c r="AA21" s="15">
        <f t="shared" si="23"/>
        <v>25392.259006783712</v>
      </c>
      <c r="AB21" s="2">
        <f>K2*EXP(-Données!I45*Données!C30*3600*365*24*1E-24)</f>
        <v>2773.1579381784481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3169964366479092.5</v>
      </c>
      <c r="I22" s="40">
        <f t="shared" si="14"/>
        <v>13.990062696531973</v>
      </c>
      <c r="J22" s="21">
        <f>-(Données!I$44*1E-24*H22+Données!F$44)*I22</f>
        <v>-8.1427871862069306E-8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1.4528313020220336E-6</v>
      </c>
      <c r="O22" s="42">
        <f t="shared" si="17"/>
        <v>207.31796719139234</v>
      </c>
      <c r="P22" s="23">
        <f>-(Données!I$47*1E-24*H22+Données!F$47)*O22+(Données!H$46*1E-24*H22)*M22</f>
        <v>-4.1824553145775182E-7</v>
      </c>
      <c r="Q22" s="40">
        <f t="shared" si="18"/>
        <v>88.253177857938852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-1.6418534728650259E-8</v>
      </c>
      <c r="U22" s="28">
        <f t="shared" si="20"/>
        <v>4949.3663557690052</v>
      </c>
      <c r="V22" s="19"/>
      <c r="W22" s="40">
        <f t="shared" si="21"/>
        <v>93.641151608850436</v>
      </c>
      <c r="X22" s="21">
        <f>-(Données!I$50*1E-24*H22+Données!F$50)*W22+Données!F$45*K22</f>
        <v>-6.9598869178471519E-7</v>
      </c>
      <c r="Y22" s="42">
        <f t="shared" si="22"/>
        <v>25230.624495503998</v>
      </c>
      <c r="Z22" s="23">
        <f>-(Données!I$51*1E-24*H22+Données!F$51)*Y22+Données!F$48*Q22</f>
        <v>-2.5096975820240416E-5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3169964366479092.5</v>
      </c>
      <c r="I23" s="40">
        <f t="shared" si="14"/>
        <v>13.776070249278455</v>
      </c>
      <c r="J23" s="21">
        <f>-(Données!I$44*1E-24*H23+Données!F$44)*I23</f>
        <v>-8.0182348525084579E-8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-2.3814738598038734E-6</v>
      </c>
      <c r="M23" s="40">
        <f t="shared" si="16"/>
        <v>1245.9014907690919</v>
      </c>
      <c r="N23" s="21">
        <f>-(Données!I$46*1E-24*H23+Données!F$46)*M23+Données!H$45*1E-24*H23*K23</f>
        <v>1.4332220035876998E-6</v>
      </c>
      <c r="O23" s="42">
        <f t="shared" si="17"/>
        <v>206.21881793472136</v>
      </c>
      <c r="P23" s="23">
        <f>-(Données!I$47*1E-24*H23+Données!F$47)*O23+(Données!H$46*1E-24*H23)*M23</f>
        <v>-4.0097364972318368E-7</v>
      </c>
      <c r="Q23" s="40">
        <f t="shared" si="18"/>
        <v>88.47958792287271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-1.783015431384553E-8</v>
      </c>
      <c r="U23" s="28">
        <f t="shared" si="20"/>
        <v>4945.8269805210139</v>
      </c>
      <c r="V23" s="19"/>
      <c r="W23" s="40">
        <f t="shared" si="21"/>
        <v>91.812093326840198</v>
      </c>
      <c r="X23" s="21">
        <f>-(Données!I$50*1E-24*H23+Données!F$50)*W23+Données!F$45*K23</f>
        <v>-6.8234031010260716E-7</v>
      </c>
      <c r="Y23" s="42">
        <f t="shared" si="22"/>
        <v>25164.669643048408</v>
      </c>
      <c r="Z23" s="23">
        <f>-(Données!I$51*1E-24*H23+Données!F$51)*Y23+Données!F$48*Q23</f>
        <v>-2.5031370309224008E-5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3169964366479092.5</v>
      </c>
      <c r="I24" s="40">
        <f t="shared" si="14"/>
        <v>13.565351037354532</v>
      </c>
      <c r="J24" s="21">
        <f>-(Données!I$44*1E-24*H24+Données!F$44)*I24</f>
        <v>-7.8955876752969445E-8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-2.3928937015852061E-6</v>
      </c>
      <c r="M24" s="40">
        <f t="shared" si="16"/>
        <v>1249.6679981945204</v>
      </c>
      <c r="N24" s="21">
        <f>-(Données!I$46*1E-24*H24+Données!F$46)*M24+Données!H$45*1E-24*H24*K24</f>
        <v>1.413709640140939E-6</v>
      </c>
      <c r="O24" s="42">
        <f t="shared" si="17"/>
        <v>205.16505918324884</v>
      </c>
      <c r="P24" s="23">
        <f>-(Données!I$47*1E-24*H24+Données!F$47)*O24+(Données!H$46*1E-24*H24)*M24</f>
        <v>-3.8426143898153072E-7</v>
      </c>
      <c r="Q24" s="40">
        <f t="shared" si="18"/>
        <v>88.700471685111708</v>
      </c>
      <c r="R24" s="43">
        <f>-(Données!I$48*1E-24*H24+Données!F$48)*Q24+Données!H$47*1E-24*H24*O24</f>
        <v>8.202505749715997E-8</v>
      </c>
      <c r="S24" s="42">
        <f t="shared" si="19"/>
        <v>52.423040728724715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90.018902991890542</v>
      </c>
      <c r="X24" s="21">
        <f>-(Données!I$50*1E-24*H24+Données!F$50)*W24+Données!F$45*K24</f>
        <v>-6.6895971360797954E-7</v>
      </c>
      <c r="Y24" s="42">
        <f t="shared" si="22"/>
        <v>25098.887201875768</v>
      </c>
      <c r="Z24" s="23">
        <f>-(Données!I$51*1E-24*H24+Données!F$51)*Y24+Données!F$48*Q24</f>
        <v>-2.4965936296573187E-5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3169964366479092.5</v>
      </c>
      <c r="I25" s="40">
        <f t="shared" si="14"/>
        <v>13.357854993247727</v>
      </c>
      <c r="J25" s="21">
        <f>-(Données!I$44*1E-24*H25+Données!F$44)*I25</f>
        <v>-7.7748165132377239E-8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1.3942949172303913E-6</v>
      </c>
      <c r="O25" s="42">
        <f t="shared" si="17"/>
        <v>204.15522012160537</v>
      </c>
      <c r="P25" s="23">
        <f>-(Données!I$47*1E-24*H25+Données!F$47)*O25+(Données!H$46*1E-24*H25)*M25</f>
        <v>-3.6809281168233013E-7</v>
      </c>
      <c r="Q25" s="40">
        <f t="shared" si="18"/>
        <v>88.916033536214243</v>
      </c>
      <c r="R25" s="43">
        <f>-(Données!I$48*1E-24*H25+Données!F$48)*Q25+Données!H$47*1E-24*H25*O25</f>
        <v>8.007517151784502E-8</v>
      </c>
      <c r="S25" s="42">
        <f t="shared" si="19"/>
        <v>52.372718477598397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88.260876864528768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-2.4900673333965548E-5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3169964366479092.5</v>
      </c>
      <c r="I26" s="40">
        <f t="shared" si="14"/>
        <v>13.15353281527984</v>
      </c>
      <c r="J26" s="21">
        <f>-(Données!I$44*1E-24*H26+Données!F$44)*I26</f>
        <v>-7.6558926707429199E-8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-2.4146599566015517E-6</v>
      </c>
      <c r="M26" s="40">
        <f t="shared" si="16"/>
        <v>1257.047434171292</v>
      </c>
      <c r="N26" s="21">
        <f>-(Données!I$46*1E-24*H26+Données!F$46)*M26+Données!H$45*1E-24*H26*K26</f>
        <v>1.3749785075201439E-6</v>
      </c>
      <c r="O26" s="42">
        <f t="shared" si="17"/>
        <v>203.1878722125042</v>
      </c>
      <c r="P26" s="23">
        <f>-(Données!I$47*1E-24*H26+Données!F$47)*O26+(Données!H$46*1E-24*H26)*M26</f>
        <v>-3.5245212942666987E-7</v>
      </c>
      <c r="Q26" s="40">
        <f t="shared" si="18"/>
        <v>89.126471086963136</v>
      </c>
      <c r="R26" s="43">
        <f>-(Données!I$48*1E-24*H26+Données!F$48)*Q26+Données!H$47*1E-24*H26*O26</f>
        <v>7.8197976010666384E-8</v>
      </c>
      <c r="S26" s="42">
        <f t="shared" si="19"/>
        <v>52.319166717157202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86.537325013710998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-2.483558097425105E-5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3169964366479092.5</v>
      </c>
      <c r="I27" s="40">
        <f t="shared" si="14"/>
        <v>12.952335955892716</v>
      </c>
      <c r="J27" s="21">
        <f>-(Données!I$44*1E-24*H27+Données!F$44)*I27</f>
        <v>-7.5387878911532846E-8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-2.4250204581369796E-6</v>
      </c>
      <c r="M27" s="40">
        <f t="shared" si="16"/>
        <v>1260.660877689055</v>
      </c>
      <c r="N27" s="21">
        <f>-(Données!I$46*1E-24*H27+Données!F$46)*M27+Données!H$45*1E-24*H27*K27</f>
        <v>1.3557610515497007E-6</v>
      </c>
      <c r="O27" s="42">
        <f t="shared" si="17"/>
        <v>202.26162801637091</v>
      </c>
      <c r="P27" s="23">
        <f>-(Données!I$47*1E-24*H27+Données!F$47)*O27+(Données!H$46*1E-24*H27)*M27</f>
        <v>-3.3732419047738291E-7</v>
      </c>
      <c r="Q27" s="40">
        <f t="shared" si="18"/>
        <v>89.331975367919171</v>
      </c>
      <c r="R27" s="43">
        <f>-(Données!I$48*1E-24*H27+Données!F$48)*Q27+Données!H$47*1E-24*H27*O27</f>
        <v>7.6391041242811949E-8</v>
      </c>
      <c r="S27" s="42">
        <f t="shared" si="19"/>
        <v>52.262610847730613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84.847571045879732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-2.4770658771448923E-5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3169964366479092.5</v>
      </c>
      <c r="I28" s="40">
        <f t="shared" si="14"/>
        <v>12.754216610113208</v>
      </c>
      <c r="J28" s="21">
        <f>-(Données!I$44*1E-24*H28+Données!F$44)*I28</f>
        <v>-7.4234743500243375E-8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-2.435041714391313E-6</v>
      </c>
      <c r="M28" s="40">
        <f t="shared" si="16"/>
        <v>1264.2238177325276</v>
      </c>
      <c r="N28" s="21">
        <f>-(Données!I$46*1E-24*H28+Données!F$46)*M28+Données!H$45*1E-24*H28*K28</f>
        <v>1.3366431584787304E-6</v>
      </c>
      <c r="O28" s="42">
        <f t="shared" si="17"/>
        <v>201.37514004379634</v>
      </c>
      <c r="P28" s="23">
        <f>-(Données!I$47*1E-24*H28+Données!F$47)*O28+(Données!H$46*1E-24*H28)*M28</f>
        <v>-3.2269421761713824E-7</v>
      </c>
      <c r="Q28" s="40">
        <f t="shared" si="18"/>
        <v>89.532731024305278</v>
      </c>
      <c r="R28" s="43">
        <f>-(Données!I$48*1E-24*H28+Données!F$48)*Q28+Données!H$47*1E-24*H28*O28</f>
        <v>7.4652009541255541E-8</v>
      </c>
      <c r="S28" s="42">
        <f t="shared" si="19"/>
        <v>52.203266901737777</v>
      </c>
      <c r="T28" s="22">
        <f>-(Données!I$49*1E-24*H28+Données!F$49)*S28+Données!F$47*O28</f>
        <v>-2.3563561694906076E-8</v>
      </c>
      <c r="U28" s="28">
        <f t="shared" si="20"/>
        <v>4927.4869800626348</v>
      </c>
      <c r="V28" s="19"/>
      <c r="W28" s="40">
        <f t="shared" si="21"/>
        <v>83.190951839337728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-2.4705906280744591E-5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3169964366479092.5</v>
      </c>
      <c r="I29" s="40">
        <f t="shared" si="14"/>
        <v>12.559127704194568</v>
      </c>
      <c r="J29" s="21">
        <f>-(Données!I$44*1E-24*H29+Données!F$44)*I29</f>
        <v>-7.3099246485151928E-8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1.3176254068168709E-6</v>
      </c>
      <c r="O29" s="42">
        <f t="shared" si="17"/>
        <v>200.52709963989849</v>
      </c>
      <c r="P29" s="23">
        <f>-(Données!I$47*1E-24*H29+Données!F$47)*O29+(Données!H$46*1E-24*H29)*M29</f>
        <v>-3.0854784634471998E-7</v>
      </c>
      <c r="Q29" s="40">
        <f t="shared" si="18"/>
        <v>89.728916505379701</v>
      </c>
      <c r="R29" s="43">
        <f>-(Données!I$48*1E-24*H29+Données!F$48)*Q29+Données!H$47*1E-24*H29*O29</f>
        <v>7.2978593254217233E-8</v>
      </c>
      <c r="S29" s="42">
        <f t="shared" si="19"/>
        <v>52.141341861603564</v>
      </c>
      <c r="T29" s="22">
        <f>-(Données!I$49*1E-24*H29+Données!F$49)*S29+Données!F$47*O29</f>
        <v>-2.4470279204578269E-8</v>
      </c>
      <c r="U29" s="28">
        <f t="shared" si="20"/>
        <v>4923.6915197888202</v>
      </c>
      <c r="V29" s="19"/>
      <c r="W29" s="40">
        <f t="shared" si="21"/>
        <v>81.566817283833785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-2.4641323058486622E-5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3169964366479092.5</v>
      </c>
      <c r="I30" s="40">
        <f t="shared" si="14"/>
        <v>12.367022884431588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-2.4540932351511506E-6</v>
      </c>
      <c r="M30" s="40">
        <f t="shared" si="16"/>
        <v>1271.1992355221246</v>
      </c>
      <c r="N30" s="21">
        <f>-(Données!I$46*1E-24*H30+Données!F$46)*M30+Données!H$45*1E-24*H30*K30</f>
        <v>1.2987083451388918E-6</v>
      </c>
      <c r="O30" s="42">
        <f t="shared" si="17"/>
        <v>199.71623589970457</v>
      </c>
      <c r="P30" s="23">
        <f>-(Données!I$47*1E-24*H30+Données!F$47)*O30+(Données!H$46*1E-24*H30)*M30</f>
        <v>-2.9487111340004779E-7</v>
      </c>
      <c r="Q30" s="40">
        <f t="shared" si="18"/>
        <v>89.920704248451784</v>
      </c>
      <c r="R30" s="43">
        <f>-(Données!I$48*1E-24*H30+Données!F$48)*Q30+Données!H$47*1E-24*H30*O30</f>
        <v>7.1368572769522674E-8</v>
      </c>
      <c r="S30" s="42">
        <f t="shared" si="19"/>
        <v>52.077033967853936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79.974530025258261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-2.4576908662183694E-5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3169964366479092.5</v>
      </c>
      <c r="I31" s="40">
        <f t="shared" ref="I31:I94" si="26">I30+J30*D$5</f>
        <v>12.177856506146821</v>
      </c>
      <c r="J31" s="21">
        <f>-(Données!I$44*1E-24*H31+Données!F$44)*I31</f>
        <v>-7.0880092580500332E-8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-2.4631365584013395E-6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1.2798924927854707E-6</v>
      </c>
      <c r="O31" s="42">
        <f t="shared" ref="O31:O94" si="29">O30+P30*D$5</f>
        <v>198.94131461368926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90.108260857690084</v>
      </c>
      <c r="R31" s="43">
        <f>-(Données!I$48*1E-24*H31+Données!F$48)*Q31+Données!H$47*1E-24*H31*O31</f>
        <v>6.9819794588276472E-8</v>
      </c>
      <c r="S31" s="42">
        <f t="shared" ref="S31:S94" si="31">S30+T30*D$5</f>
        <v>52.010533017680039</v>
      </c>
      <c r="T31" s="22">
        <f>-(Données!I$49*1E-24*H31+Données!F$49)*S31+Données!F$47*O31</f>
        <v>-2.6070153511332343E-8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78.413465215347941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-2.4512662650501506E-5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3169964366479092.5</v>
      </c>
      <c r="I32" s="40">
        <f t="shared" si="26"/>
        <v>11.991583622845265</v>
      </c>
      <c r="J32" s="21">
        <f>-(Données!I$44*1E-24*H32+Données!F$44)*I32</f>
        <v>-6.9795908413361669E-8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1.261178340549882E-6</v>
      </c>
      <c r="O32" s="42">
        <f t="shared" si="29"/>
        <v>198.20113724262941</v>
      </c>
      <c r="P32" s="23">
        <f>-(Données!I$47*1E-24*H32+Données!F$47)*O32+(Données!H$46*1E-24*H32)*M32</f>
        <v>-2.6887264903747938E-7</v>
      </c>
      <c r="Q32" s="40">
        <f t="shared" si="30"/>
        <v>90.291747277868069</v>
      </c>
      <c r="R32" s="43">
        <f>-(Données!I$48*1E-24*H32+Données!F$48)*Q32+Données!H$47*1E-24*H32*O32</f>
        <v>6.8330169452306681E-8</v>
      </c>
      <c r="S32" s="42">
        <f t="shared" si="31"/>
        <v>51.942020654252261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76.883010266302165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-2.4448584583259797E-5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3169964366479092.5</v>
      </c>
      <c r="I33" s="40">
        <f t="shared" si="26"/>
        <v>11.80815997553495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1.2425663513508586E-6</v>
      </c>
      <c r="O33" s="42">
        <f t="shared" si="29"/>
        <v>197.49453992095891</v>
      </c>
      <c r="P33" s="23">
        <f>-(Données!I$47*1E-24*H33+Données!F$47)*O33+(Données!H$46*1E-24*H33)*M33</f>
        <v>-2.5652489845095156E-7</v>
      </c>
      <c r="Q33" s="40">
        <f t="shared" si="30"/>
        <v>90.471318963188736</v>
      </c>
      <c r="R33" s="43">
        <f>-(Données!I$48*1E-24*H33+Données!F$48)*Q33+Données!H$47*1E-24*H33*O33</f>
        <v>6.6897670523884811E-8</v>
      </c>
      <c r="S33" s="42">
        <f t="shared" si="31"/>
        <v>51.87167064705725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75.382564610213592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-2.4384674021429289E-5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3169964366479092.5</v>
      </c>
      <c r="I34" s="40">
        <f t="shared" si="26"/>
        <v>11.627541982210865</v>
      </c>
      <c r="J34" s="21">
        <f>-(Données!I$44*1E-24*H34+Données!F$44)*I34</f>
        <v>-6.7677037561311535E-8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-2.4884125782153127E-6</v>
      </c>
      <c r="M34" s="40">
        <f t="shared" si="28"/>
        <v>1284.555639574505</v>
      </c>
      <c r="N34" s="21">
        <f>-(Données!I$46*1E-24*H34+Données!F$46)*M34+Données!H$45*1E-24*H34*K34</f>
        <v>1.2240569608918863E-6</v>
      </c>
      <c r="O34" s="42">
        <f t="shared" si="29"/>
        <v>196.82039248782982</v>
      </c>
      <c r="P34" s="23">
        <f>-(Données!I$47*1E-24*H34+Données!F$47)*O34+(Données!H$46*1E-24*H34)*M34</f>
        <v>-2.4459472706287249E-7</v>
      </c>
      <c r="Q34" s="40">
        <f t="shared" si="30"/>
        <v>90.647126041325507</v>
      </c>
      <c r="R34" s="43">
        <f>-(Données!I$48*1E-24*H34+Données!F$48)*Q34+Données!H$47*1E-24*H34*O34</f>
        <v>6.5520331616262398E-8</v>
      </c>
      <c r="S34" s="42">
        <f t="shared" si="31"/>
        <v>51.799649163523171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73.911539463219398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-2.4320930527128659E-5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3169964366479092.5</v>
      </c>
      <c r="I35" s="40">
        <f t="shared" si="26"/>
        <v>11.449686727499738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-2.4962403016168495E-6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196.1775975451086</v>
      </c>
      <c r="P35" s="23">
        <f>-(Données!I$47*1E-24*H35+Données!F$47)*O35+(Données!H$46*1E-24*H35)*M35</f>
        <v>-2.3307001657195583E-7</v>
      </c>
      <c r="Q35" s="40">
        <f t="shared" si="30"/>
        <v>90.81931347281305</v>
      </c>
      <c r="R35" s="43">
        <f>-(Données!I$48*1E-24*H35+Données!F$48)*Q35+Données!H$47*1E-24*H35*O35</f>
        <v>6.419624547360978E-8</v>
      </c>
      <c r="S35" s="42">
        <f t="shared" si="31"/>
        <v>51.726115032190648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72.469357594280055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-2.4257353663621556E-5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3169964366479092.5</v>
      </c>
      <c r="I36" s="40">
        <f t="shared" si="26"/>
        <v>11.274551952463229</v>
      </c>
      <c r="J36" s="21">
        <f>-(Données!I$44*1E-24*H36+Données!F$44)*I36</f>
        <v>-6.5622491592907563E-8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-2.5037791138766448E-6</v>
      </c>
      <c r="M36" s="40">
        <f t="shared" si="28"/>
        <v>1290.9409109875203</v>
      </c>
      <c r="N36" s="21">
        <f>-(Données!I$46*1E-24*H36+Données!F$46)*M36+Données!H$45*1E-24*H36*K36</f>
        <v>1.1873475867947317E-6</v>
      </c>
      <c r="O36" s="42">
        <f t="shared" si="29"/>
        <v>195.56508954155748</v>
      </c>
      <c r="P36" s="23">
        <f>-(Données!I$47*1E-24*H36+Données!F$47)*O36+(Données!H$46*1E-24*H36)*M36</f>
        <v>-2.2193898747543855E-7</v>
      </c>
      <c r="Q36" s="40">
        <f t="shared" si="30"/>
        <v>90.98802120591769</v>
      </c>
      <c r="R36" s="43">
        <f>-(Données!I$48*1E-24*H36+Données!F$48)*Q36+Données!H$47*1E-24*H36*O36</f>
        <v>6.2923562098980737E-8</v>
      </c>
      <c r="S36" s="42">
        <f t="shared" si="31"/>
        <v>51.651219997679682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71.055453098495093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-2.419394299531359E-5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3169964366479092.5</v>
      </c>
      <c r="I37" s="40">
        <f t="shared" si="26"/>
        <v>11.102096044557069</v>
      </c>
      <c r="J37" s="21">
        <f>-(Données!I$44*1E-24*H37+Données!F$44)*I37</f>
        <v>-6.4618727858930829E-8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-2.5110347859854699E-6</v>
      </c>
      <c r="M37" s="40">
        <f t="shared" si="28"/>
        <v>1294.0612604456169</v>
      </c>
      <c r="N37" s="21">
        <f>-(Données!I$46*1E-24*H37+Données!F$46)*M37+Données!H$45*1E-24*H37*K37</f>
        <v>1.1691483442362595E-6</v>
      </c>
      <c r="O37" s="42">
        <f t="shared" si="29"/>
        <v>194.98183388247202</v>
      </c>
      <c r="P37" s="23">
        <f>-(Données!I$47*1E-24*H37+Données!F$47)*O37+(Données!H$46*1E-24*H37)*M37</f>
        <v>-2.1119018965222476E-7</v>
      </c>
      <c r="Q37" s="40">
        <f t="shared" si="30"/>
        <v>91.153384327113812</v>
      </c>
      <c r="R37" s="43">
        <f>-(Données!I$48*1E-24*H37+Données!F$48)*Q37+Données!H$47*1E-24*H37*O37</f>
        <v>6.1700487128964601E-8</v>
      </c>
      <c r="S37" s="42">
        <f t="shared" si="31"/>
        <v>51.575108967695336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69.669271174866637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-2.4130698087749327E-5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3169964366479092.5</v>
      </c>
      <c r="I38" s="40">
        <f t="shared" si="26"/>
        <v>10.932278027743799</v>
      </c>
      <c r="J38" s="21">
        <f>-(Données!I$44*1E-24*H38+Données!F$44)*I38</f>
        <v>-6.3630317727189994E-8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194.42682606406598</v>
      </c>
      <c r="P38" s="23">
        <f>-(Données!I$47*1E-24*H38+Données!F$47)*O38+(Données!H$46*1E-24*H38)*M38</f>
        <v>-2.0081249320815131E-7</v>
      </c>
      <c r="Q38" s="40">
        <f t="shared" si="30"/>
        <v>91.315533207288738</v>
      </c>
      <c r="R38" s="43">
        <f>-(Données!I$48*1E-24*H38+Données!F$48)*Q38+Données!H$47*1E-24*H38*O38</f>
        <v>6.0525280253725627E-8</v>
      </c>
      <c r="S38" s="42">
        <f t="shared" si="31"/>
        <v>51.497920252308184</v>
      </c>
      <c r="T38" s="22">
        <f>-(Données!I$49*1E-24*H38+Données!F$49)*S38+Données!F$47*O38</f>
        <v>-2.9731528375012852E-8</v>
      </c>
      <c r="U38" s="28">
        <f t="shared" si="32"/>
        <v>4887.6647596474959</v>
      </c>
      <c r="V38" s="19"/>
      <c r="W38" s="40">
        <f t="shared" si="33"/>
        <v>68.310267908423583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-2.4067618507609311E-5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3169964366479092.5</v>
      </c>
      <c r="I39" s="40">
        <f t="shared" si="26"/>
        <v>10.765057552756744</v>
      </c>
      <c r="J39" s="21">
        <f>-(Données!I$44*1E-24*H39+Données!F$44)*I39</f>
        <v>-6.2657026348493341E-8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-2.5247192526580511E-6</v>
      </c>
      <c r="M39" s="40">
        <f t="shared" si="28"/>
        <v>1300.1587500613093</v>
      </c>
      <c r="N39" s="21">
        <f>-(Données!I$46*1E-24*H39+Données!F$46)*M39+Données!H$45*1E-24*H39*K39</f>
        <v>1.1330624145609137E-6</v>
      </c>
      <c r="O39" s="42">
        <f t="shared" si="29"/>
        <v>193.89909083191495</v>
      </c>
      <c r="P39" s="23">
        <f>-(Données!I$47*1E-24*H39+Données!F$47)*O39+(Données!H$46*1E-24*H39)*M39</f>
        <v>-1.9079507957606497E-7</v>
      </c>
      <c r="Q39" s="40">
        <f t="shared" si="30"/>
        <v>91.474593643795529</v>
      </c>
      <c r="R39" s="43">
        <f>-(Données!I$48*1E-24*H39+Données!F$48)*Q39+Données!H$47*1E-24*H39*O39</f>
        <v>5.9396253681165343E-8</v>
      </c>
      <c r="S39" s="42">
        <f t="shared" si="31"/>
        <v>51.419785795738647</v>
      </c>
      <c r="T39" s="22">
        <f>-(Données!I$49*1E-24*H39+Données!F$49)*S39+Données!F$47*O39</f>
        <v>-3.0043529250755011E-8</v>
      </c>
      <c r="U39" s="28">
        <f t="shared" si="32"/>
        <v>4883.4583595750601</v>
      </c>
      <c r="V39" s="19"/>
      <c r="W39" s="40">
        <f t="shared" si="33"/>
        <v>66.977910056620814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-2.4004703822707082E-5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3169964366479092.5</v>
      </c>
      <c r="I40" s="40">
        <f t="shared" si="26"/>
        <v>10.600394887512904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1.115176322033887E-6</v>
      </c>
      <c r="O40" s="42">
        <f t="shared" si="29"/>
        <v>193.39768136278906</v>
      </c>
      <c r="P40" s="23">
        <f>-(Données!I$47*1E-24*H40+Données!F$47)*O40+(Données!H$46*1E-24*H40)*M40</f>
        <v>-1.8112743286359904E-7</v>
      </c>
      <c r="Q40" s="40">
        <f t="shared" si="30"/>
        <v>91.630686998469628</v>
      </c>
      <c r="R40" s="43">
        <f>-(Données!I$48*1E-24*H40+Données!F$48)*Q40+Données!H$47*1E-24*H40*O40</f>
        <v>5.8311770643978701E-8</v>
      </c>
      <c r="S40" s="42">
        <f t="shared" si="31"/>
        <v>51.340831400867664</v>
      </c>
      <c r="T40" s="22">
        <f>-(Données!I$49*1E-24*H40+Données!F$49)*S40+Données!F$47*O40</f>
        <v>-3.0309914070723615E-8</v>
      </c>
      <c r="U40" s="28">
        <f t="shared" si="32"/>
        <v>4879.2121522299722</v>
      </c>
      <c r="V40" s="19"/>
      <c r="W40" s="40">
        <f t="shared" si="33"/>
        <v>65.671674839929537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-2.3941953601986228E-5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3169964366479092.5</v>
      </c>
      <c r="I41" s="40">
        <f t="shared" si="26"/>
        <v>10.438250907672492</v>
      </c>
      <c r="J41" s="21">
        <f>-(Données!I$44*1E-24*H41+Données!F$44)*I41</f>
        <v>-6.0754878359822069E-8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-2.5373377334299978E-6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192.92167846922351</v>
      </c>
      <c r="P41" s="23">
        <f>-(Données!I$47*1E-24*H41+Données!F$47)*O41+(Données!H$46*1E-24*H41)*M41</f>
        <v>-1.717993314417353E-7</v>
      </c>
      <c r="Q41" s="40">
        <f t="shared" si="30"/>
        <v>91.783930331722004</v>
      </c>
      <c r="R41" s="43">
        <f>-(Données!I$48*1E-24*H41+Données!F$48)*Q41+Données!H$47*1E-24*H41*O41</f>
        <v>5.7270243948409335E-8</v>
      </c>
      <c r="S41" s="42">
        <f t="shared" si="31"/>
        <v>51.261176946689801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64.391049736536559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-2.3879367415517383E-5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3169964366479092.5</v>
      </c>
      <c r="I42" s="40">
        <f t="shared" si="26"/>
        <v>10.27858708734288</v>
      </c>
      <c r="J42" s="21">
        <f>-(Données!I$44*1E-24*H42+Données!F$44)*I42</f>
        <v>-5.982556979381893E-8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192.47018982619463</v>
      </c>
      <c r="P42" s="23">
        <f>-(Données!I$47*1E-24*H42+Données!F$47)*O42+(Données!H$46*1E-24*H42)*M42</f>
        <v>-1.6280083976743972E-7</v>
      </c>
      <c r="Q42" s="40">
        <f t="shared" si="30"/>
        <v>91.934436532818424</v>
      </c>
      <c r="R42" s="43">
        <f>-(Données!I$48*1E-24*H42+Données!F$48)*Q42+Données!H$47*1E-24*H42*O42</f>
        <v>5.6270134563542796E-8</v>
      </c>
      <c r="S42" s="42">
        <f t="shared" si="31"/>
        <v>51.180936598918677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63.135532281071868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-2.3816944834495307E-5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3169964366479092.5</v>
      </c>
      <c r="I43" s="40">
        <f t="shared" si="26"/>
        <v>10.121365489924724</v>
      </c>
      <c r="J43" s="21">
        <f>-(Données!I$44*1E-24*H43+Données!F$44)*I43</f>
        <v>-5.8910475961416804E-8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-2.5489326173626024E-6</v>
      </c>
      <c r="M43" s="40">
        <f t="shared" si="28"/>
        <v>1311.7885780091783</v>
      </c>
      <c r="N43" s="21">
        <f>-(Données!I$46*1E-24*H43+Données!F$46)*M43+Données!H$45*1E-24*H43*K43</f>
        <v>1.0621486190209287E-6</v>
      </c>
      <c r="O43" s="42">
        <f t="shared" si="29"/>
        <v>192.0423492192858</v>
      </c>
      <c r="P43" s="23">
        <f>-(Données!I$47*1E-24*H43+Données!F$47)*O43+(Données!H$46*1E-24*H43)*M43</f>
        <v>-1.5412230043383687E-7</v>
      </c>
      <c r="Q43" s="40">
        <f t="shared" si="30"/>
        <v>92.08231444645142</v>
      </c>
      <c r="R43" s="43">
        <f>-(Données!I$48*1E-24*H43+Données!F$48)*Q43+Données!H$47*1E-24*H43*O43</f>
        <v>5.5309950250008035E-8</v>
      </c>
      <c r="S43" s="42">
        <f t="shared" si="31"/>
        <v>51.100219013948383</v>
      </c>
      <c r="T43" s="22">
        <f>-(Données!I$49*1E-24*H43+Données!F$49)*S43+Données!F$47*O43</f>
        <v>-3.085672662842299E-8</v>
      </c>
      <c r="U43" s="28">
        <f t="shared" si="32"/>
        <v>4866.2372474201575</v>
      </c>
      <c r="V43" s="19"/>
      <c r="W43" s="40">
        <f t="shared" si="33"/>
        <v>61.904629867285408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-2.3754685431235922E-5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3169964366479092.5</v>
      </c>
      <c r="I44" s="40">
        <f t="shared" si="26"/>
        <v>9.9665487590981208</v>
      </c>
      <c r="J44" s="21">
        <f>-(Données!I$44*1E-24*H44+Données!F$44)*I44</f>
        <v>-5.8009379433595086E-8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1.0446836378155006E-6</v>
      </c>
      <c r="O44" s="42">
        <f t="shared" si="29"/>
        <v>191.63731581374569</v>
      </c>
      <c r="P44" s="23">
        <f>-(Données!I$47*1E-24*H44+Données!F$47)*O44+(Données!H$46*1E-24*H44)*M44</f>
        <v>-1.4575432644157825E-7</v>
      </c>
      <c r="Q44" s="40">
        <f t="shared" si="30"/>
        <v>92.227668995708441</v>
      </c>
      <c r="R44" s="43">
        <f>-(Données!I$48*1E-24*H44+Données!F$48)*Q44+Données!H$47*1E-24*H44*O44</f>
        <v>5.4388244226990968E-8</v>
      </c>
      <c r="S44" s="42">
        <f t="shared" si="31"/>
        <v>51.019127536368885</v>
      </c>
      <c r="T44" s="22">
        <f>-(Données!I$49*1E-24*H44+Données!F$49)*S44+Données!F$47*O44</f>
        <v>-3.0961623341483416E-8</v>
      </c>
      <c r="U44" s="28">
        <f t="shared" si="32"/>
        <v>4861.8343920078269</v>
      </c>
      <c r="V44" s="19"/>
      <c r="W44" s="40">
        <f t="shared" si="33"/>
        <v>60.697859554595702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-2.3692588779173389E-5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3169964366479092.5</v>
      </c>
      <c r="I45" s="40">
        <f t="shared" si="26"/>
        <v>9.814100109946633</v>
      </c>
      <c r="J45" s="21">
        <f>-(Données!I$44*1E-24*H45+Données!F$44)*I45</f>
        <v>-5.7122066107134429E-8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1.0273244276217858E-6</v>
      </c>
      <c r="O45" s="42">
        <f t="shared" si="29"/>
        <v>191.25427344385722</v>
      </c>
      <c r="P45" s="23">
        <f>-(Données!I$47*1E-24*H45+Données!F$47)*O45+(Données!H$46*1E-24*H45)*M45</f>
        <v>-1.3768779368523509E-7</v>
      </c>
      <c r="Q45" s="40">
        <f t="shared" si="30"/>
        <v>92.370601301536979</v>
      </c>
      <c r="R45" s="43">
        <f>-(Données!I$48*1E-24*H45+Données!F$48)*Q45+Données!H$47*1E-24*H45*O45</f>
        <v>5.3503613876490926E-8</v>
      </c>
      <c r="S45" s="42">
        <f t="shared" si="31"/>
        <v>50.937760390227467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59.514747878434193</v>
      </c>
      <c r="X45" s="21">
        <f>-(Données!I$50*1E-24*H45+Données!F$50)*W45+Données!F$45*K45</f>
        <v>-4.4136880293882838E-7</v>
      </c>
      <c r="Y45" s="42">
        <f t="shared" si="34"/>
        <v>23756.495088000989</v>
      </c>
      <c r="Z45" s="23">
        <f>-(Données!I$51*1E-24*H45+Données!F$51)*Y45+Données!F$48*Q45</f>
        <v>-2.3630654452857161E-5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3169964366479092.5</v>
      </c>
      <c r="I46" s="40">
        <f t="shared" si="26"/>
        <v>9.6639833202170831</v>
      </c>
      <c r="J46" s="21">
        <f>-(Données!I$44*1E-24*H46+Données!F$44)*I46</f>
        <v>-5.6248325153745198E-8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1.0100711443892716E-6</v>
      </c>
      <c r="O46" s="42">
        <f t="shared" si="29"/>
        <v>190.89242992205243</v>
      </c>
      <c r="P46" s="23">
        <f>-(Données!I$47*1E-24*H46+Données!F$47)*O46+(Données!H$46*1E-24*H46)*M46</f>
        <v>-1.2991383364871491E-7</v>
      </c>
      <c r="Q46" s="40">
        <f t="shared" si="30"/>
        <v>92.511208798804404</v>
      </c>
      <c r="R46" s="43">
        <f>-(Données!I$48*1E-24*H46+Données!F$48)*Q46+Données!H$47*1E-24*H46*O46</f>
        <v>5.2654699483785631E-8</v>
      </c>
      <c r="S46" s="42">
        <f t="shared" si="31"/>
        <v>50.856210864222859</v>
      </c>
      <c r="T46" s="22">
        <f>-(Données!I$49*1E-24*H46+Données!F$49)*S46+Données!F$47*O46</f>
        <v>-3.1066732575956705E-8</v>
      </c>
      <c r="U46" s="28">
        <f t="shared" si="32"/>
        <v>4852.9134619902325</v>
      </c>
      <c r="V46" s="19"/>
      <c r="W46" s="40">
        <f t="shared" si="33"/>
        <v>58.354830664310953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-2.356888202794907E-5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3169964366479092.5</v>
      </c>
      <c r="I47" s="40">
        <f t="shared" si="26"/>
        <v>9.5161627217130409</v>
      </c>
      <c r="J47" s="21">
        <f>-(Données!I$44*1E-24*H47+Données!F$44)*I47</f>
        <v>-5.5387948969974032E-8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9.9292392430071556E-7</v>
      </c>
      <c r="O47" s="42">
        <f t="shared" si="29"/>
        <v>190.55101636722361</v>
      </c>
      <c r="P47" s="23">
        <f>-(Données!I$47*1E-24*H47+Données!F$47)*O47+(Données!H$46*1E-24*H47)*M47</f>
        <v>-1.2242382630387573E-7</v>
      </c>
      <c r="Q47" s="40">
        <f t="shared" si="30"/>
        <v>92.649585349047797</v>
      </c>
      <c r="R47" s="43">
        <f>-(Données!I$48*1E-24*H47+Données!F$48)*Q47+Données!H$47*1E-24*H47*O47</f>
        <v>5.1840183013093854E-8</v>
      </c>
      <c r="S47" s="42">
        <f t="shared" si="31"/>
        <v>50.774567491013244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57.217652845528661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-2.3507271081220412E-5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3169964366479092.5</v>
      </c>
      <c r="I48" s="40">
        <f t="shared" si="26"/>
        <v>9.3706031918199493</v>
      </c>
      <c r="J48" s="21">
        <f>-(Données!I$44*1E-24*H48+Données!F$44)*I48</f>
        <v>-5.4540733127876633E-8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9.7588288426675016E-7</v>
      </c>
      <c r="O48" s="42">
        <f t="shared" si="29"/>
        <v>190.22928655169702</v>
      </c>
      <c r="P48" s="23">
        <f>-(Données!I$47*1E-24*H48+Données!F$47)*O48+(Données!H$46*1E-24*H48)*M48</f>
        <v>-1.1520939320666699E-7</v>
      </c>
      <c r="Q48" s="40">
        <f t="shared" si="30"/>
        <v>92.785821350006202</v>
      </c>
      <c r="R48" s="43">
        <f>-(Données!I$48*1E-24*H48+Données!F$48)*Q48+Données!H$47*1E-24*H48*O48</f>
        <v>5.105878691745733E-8</v>
      </c>
      <c r="S48" s="42">
        <f t="shared" si="31"/>
        <v>50.692914220814075</v>
      </c>
      <c r="T48" s="22">
        <f>-(Données!I$49*1E-24*H48+Données!F$49)*S48+Données!F$47*O48</f>
        <v>-3.1043999755531094E-8</v>
      </c>
      <c r="U48" s="28">
        <f t="shared" si="32"/>
        <v>4843.8407412214565</v>
      </c>
      <c r="V48" s="19"/>
      <c r="W48" s="40">
        <f t="shared" si="33"/>
        <v>56.102768284473335</v>
      </c>
      <c r="X48" s="21">
        <f>-(Données!I$50*1E-24*H48+Données!F$50)*W48+Données!F$45*K48</f>
        <v>-4.1591654758820599E-7</v>
      </c>
      <c r="Y48" s="42">
        <f t="shared" si="34"/>
        <v>23570.677597727983</v>
      </c>
      <c r="Z48" s="23">
        <f>-(Données!I$51*1E-24*H48+Données!F$51)*Y48+Données!F$48*Q48</f>
        <v>-2.3445821190549046E-5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3169964366479092.5</v>
      </c>
      <c r="I49" s="40">
        <f t="shared" si="26"/>
        <v>9.2272701451598902</v>
      </c>
      <c r="J49" s="21">
        <f>-(Données!I$44*1E-24*H49+Données!F$44)*I49</f>
        <v>-5.3706476326445106E-8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9.589481224103465E-7</v>
      </c>
      <c r="O49" s="42">
        <f t="shared" si="29"/>
        <v>189.92651626634989</v>
      </c>
      <c r="P49" s="23">
        <f>-(Données!I$47*1E-24*H49+Données!F$47)*O49+(Données!H$46*1E-24*H49)*M49</f>
        <v>-1.0826239078529656E-7</v>
      </c>
      <c r="Q49" s="40">
        <f t="shared" si="30"/>
        <v>92.920003842025281</v>
      </c>
      <c r="R49" s="43">
        <f>-(Données!I$48*1E-24*H49+Données!F$48)*Q49+Données!H$47*1E-24*H49*O49</f>
        <v>5.0309272981888148E-8</v>
      </c>
      <c r="S49" s="42">
        <f t="shared" si="31"/>
        <v>50.611330589456536</v>
      </c>
      <c r="T49" s="22">
        <f>-(Données!I$49*1E-24*H49+Données!F$49)*S49+Données!F$47*O49</f>
        <v>-3.0988854027382259E-8</v>
      </c>
      <c r="U49" s="28">
        <f t="shared" si="32"/>
        <v>4839.2481585175474</v>
      </c>
      <c r="V49" s="19"/>
      <c r="W49" s="40">
        <f t="shared" si="33"/>
        <v>55.009739597411532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-2.3384531934916476E-5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3169964366479092.5</v>
      </c>
      <c r="I50" s="40">
        <f t="shared" si="26"/>
        <v>9.0861295253739929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9.4211971854133961E-7</v>
      </c>
      <c r="O50" s="42">
        <f t="shared" si="29"/>
        <v>189.64200270336613</v>
      </c>
      <c r="P50" s="23">
        <f>-(Données!I$47*1E-24*H50+Données!F$47)*O50+(Données!H$46*1E-24*H50)*M50</f>
        <v>-1.0157490381505716E-7</v>
      </c>
      <c r="Q50" s="40">
        <f t="shared" si="30"/>
        <v>93.052216611421684</v>
      </c>
      <c r="R50" s="43">
        <f>-(Données!I$48*1E-24*H50+Données!F$48)*Q50+Données!H$47*1E-24*H50*O50</f>
        <v>4.9590441198856199E-8</v>
      </c>
      <c r="S50" s="42">
        <f t="shared" si="31"/>
        <v>50.529891881072572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53.938137982725351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-2.3323402894404982E-5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3169964366479092.5</v>
      </c>
      <c r="I51" s="40">
        <f t="shared" si="26"/>
        <v>8.947147797030544</v>
      </c>
      <c r="J51" s="21">
        <f>-(Données!I$44*1E-24*H51+Données!F$44)*I51</f>
        <v>-5.2076049989983245E-8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9.2539773462120094E-7</v>
      </c>
      <c r="O51" s="42">
        <f t="shared" si="29"/>
        <v>189.37506385614017</v>
      </c>
      <c r="P51" s="23">
        <f>-(Données!I$47*1E-24*H51+Données!F$47)*O51+(Données!H$46*1E-24*H51)*M51</f>
        <v>-9.5139239074618821E-8</v>
      </c>
      <c r="Q51" s="40">
        <f t="shared" si="30"/>
        <v>93.182540290892277</v>
      </c>
      <c r="R51" s="43">
        <f>-(Données!I$48*1E-24*H51+Données!F$48)*Q51+Données!H$47*1E-24*H51*O51</f>
        <v>4.8901128675214891E-8</v>
      </c>
      <c r="S51" s="42">
        <f t="shared" si="31"/>
        <v>50.448669285567533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52.887543052517678</v>
      </c>
      <c r="X51" s="21">
        <f>-(Données!I$50*1E-24*H51+Données!F$50)*W51+Données!F$45*K51</f>
        <v>-3.9193317541707703E-7</v>
      </c>
      <c r="Y51" s="42">
        <f t="shared" si="34"/>
        <v>23386.313526907761</v>
      </c>
      <c r="Z51" s="23">
        <f>-(Données!I$51*1E-24*H51+Données!F$51)*Y51+Données!F$48*Q51</f>
        <v>-2.3262433650194725E-5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3169964366479092.5</v>
      </c>
      <c r="I52" s="40">
        <f t="shared" si="26"/>
        <v>8.8102919376568671</v>
      </c>
      <c r="J52" s="21">
        <f>-(Données!I$44*1E-24*H52+Données!F$44)*I52</f>
        <v>-5.1279493060798384E-8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189.12503793585208</v>
      </c>
      <c r="P52" s="23">
        <f>-(Données!I$47*1E-24*H52+Données!F$47)*O52+(Données!H$46*1E-24*H52)*M52</f>
        <v>-8.8947919178721815E-8</v>
      </c>
      <c r="Q52" s="40">
        <f t="shared" si="30"/>
        <v>93.311052457050735</v>
      </c>
      <c r="R52" s="43">
        <f>-(Données!I$48*1E-24*H52+Données!F$48)*Q52+Données!H$47*1E-24*H52*O52</f>
        <v>4.8240208569691544E-8</v>
      </c>
      <c r="S52" s="42">
        <f t="shared" si="31"/>
        <v>50.367730051036844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51.857542667521599</v>
      </c>
      <c r="X52" s="21">
        <f>-(Données!I$50*1E-24*H52+Données!F$50)*W52+Données!F$45*K52</f>
        <v>-3.8425033952530112E-7</v>
      </c>
      <c r="Y52" s="42">
        <f t="shared" si="34"/>
        <v>23325.17985127505</v>
      </c>
      <c r="Z52" s="23">
        <f>-(Données!I$51*1E-24*H52+Données!F$51)*Y52+Données!F$48*Q52</f>
        <v>-2.3201623784560877E-5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3169964366479092.5</v>
      </c>
      <c r="I53" s="40">
        <f t="shared" si="26"/>
        <v>8.6755294298930892</v>
      </c>
      <c r="J53" s="21">
        <f>-(Données!I$44*1E-24*H53+Données!F$44)*I53</f>
        <v>-5.0495120291924362E-8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8.9227318795345221E-7</v>
      </c>
      <c r="O53" s="42">
        <f t="shared" si="29"/>
        <v>188.89128280425041</v>
      </c>
      <c r="P53" s="23">
        <f>-(Données!I$47*1E-24*H53+Données!F$47)*O53+(Données!H$46*1E-24*H53)*M53</f>
        <v>-8.2993676582351481E-8</v>
      </c>
      <c r="Q53" s="40">
        <f t="shared" si="30"/>
        <v>93.437827725171886</v>
      </c>
      <c r="R53" s="43">
        <f>-(Données!I$48*1E-24*H53+Données!F$48)*Q53+Données!H$47*1E-24*H53*O53</f>
        <v>4.7606589060089975E-8</v>
      </c>
      <c r="S53" s="42">
        <f t="shared" si="31"/>
        <v>50.287137631278604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50.847732775249106</v>
      </c>
      <c r="X53" s="21">
        <f>-(Données!I$50*1E-24*H53+Données!F$50)*W53+Données!F$45*K53</f>
        <v>-3.7671823589555206E-7</v>
      </c>
      <c r="Y53" s="42">
        <f t="shared" si="34"/>
        <v>23264.205983969223</v>
      </c>
      <c r="Z53" s="23">
        <f>-(Données!I$51*1E-24*H53+Données!F$51)*Y53+Données!F$48*Q53</f>
        <v>-2.3140972880870742E-5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3169964366479092.5</v>
      </c>
      <c r="I54" s="40">
        <f t="shared" si="26"/>
        <v>8.5428282537659115</v>
      </c>
      <c r="J54" s="21">
        <f>-(Données!I$44*1E-24*H54+Données!F$44)*I54</f>
        <v>-4.9722745314054653E-8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8.7587066393711992E-7</v>
      </c>
      <c r="O54" s="42">
        <f t="shared" si="29"/>
        <v>188.673175422192</v>
      </c>
      <c r="P54" s="23">
        <f>-(Données!I$47*1E-24*H54+Données!F$47)*O54+(Données!H$46*1E-24*H54)*M54</f>
        <v>-7.7269447751619671E-8</v>
      </c>
      <c r="Q54" s="40">
        <f t="shared" si="30"/>
        <v>93.562937841221796</v>
      </c>
      <c r="R54" s="43">
        <f>-(Données!I$48*1E-24*H54+Données!F$48)*Q54+Données!H$47*1E-24*H54*O54</f>
        <v>4.6999212339379061E-8</v>
      </c>
      <c r="S54" s="42">
        <f t="shared" si="31"/>
        <v>50.206951828549492</v>
      </c>
      <c r="T54" s="22">
        <f>-(Données!I$49*1E-24*H54+Données!F$49)*S54+Données!F$47*O54</f>
        <v>-3.0335957702529805E-8</v>
      </c>
      <c r="U54" s="28">
        <f t="shared" si="32"/>
        <v>4815.7344673238595</v>
      </c>
      <c r="V54" s="19"/>
      <c r="W54" s="40">
        <f t="shared" si="33"/>
        <v>49.857717251315599</v>
      </c>
      <c r="X54" s="21">
        <f>-(Données!I$50*1E-24*H54+Données!F$50)*W54+Données!F$45*K54</f>
        <v>-3.6933390693980584E-7</v>
      </c>
      <c r="Y54" s="42">
        <f t="shared" si="34"/>
        <v>23203.391507238295</v>
      </c>
      <c r="Z54" s="23">
        <f>-(Données!I$51*1E-24*H54+Données!F$51)*Y54+Données!F$48*Q54</f>
        <v>-2.308048052358091E-5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3169964366479092.5</v>
      </c>
      <c r="I55" s="40">
        <f t="shared" si="26"/>
        <v>8.4121568790805767</v>
      </c>
      <c r="J55" s="21">
        <f>-(Données!I$44*1E-24*H55+Données!F$44)*I55</f>
        <v>-4.896218460859366E-8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-2.5991880261741559E-6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188.47011131350075</v>
      </c>
      <c r="P55" s="23">
        <f>-(Données!I$47*1E-24*H55+Données!F$47)*O55+(Données!H$46*1E-24*H55)*M55</f>
        <v>-7.1768367496699292E-8</v>
      </c>
      <c r="Q55" s="40">
        <f t="shared" si="30"/>
        <v>93.686451771249679</v>
      </c>
      <c r="R55" s="43">
        <f>-(Données!I$48*1E-24*H55+Données!F$48)*Q55+Données!H$47*1E-24*H55*O55</f>
        <v>4.6417053639862233E-8</v>
      </c>
      <c r="S55" s="42">
        <f t="shared" si="31"/>
        <v>50.127228931707243</v>
      </c>
      <c r="T55" s="22">
        <f>-(Données!I$49*1E-24*H55+Données!F$49)*S55+Données!F$47*O55</f>
        <v>-3.0139681061130882E-8</v>
      </c>
      <c r="U55" s="28">
        <f t="shared" si="32"/>
        <v>4810.923611419491</v>
      </c>
      <c r="V55" s="19"/>
      <c r="W55" s="40">
        <f t="shared" si="33"/>
        <v>48.887107743877792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-2.3020146298234391E-5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3169964366479092.5</v>
      </c>
      <c r="I56" s="40">
        <f t="shared" si="26"/>
        <v>8.2834842579291923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8.4338509009435075E-7</v>
      </c>
      <c r="O56" s="42">
        <f t="shared" si="29"/>
        <v>188.28150404371942</v>
      </c>
      <c r="P56" s="23">
        <f>-(Données!I$47*1E-24*H56+Données!F$47)*O56+(Données!H$46*1E-24*H56)*M56</f>
        <v>-6.6483763462300195E-8</v>
      </c>
      <c r="Q56" s="40">
        <f t="shared" si="30"/>
        <v>93.808435788215235</v>
      </c>
      <c r="R56" s="43">
        <f>-(Données!I$48*1E-24*H56+Données!F$48)*Q56+Données!H$47*1E-24*H56*O56</f>
        <v>4.5859120284647353E-8</v>
      </c>
      <c r="S56" s="42">
        <f t="shared" si="31"/>
        <v>50.048021849878594</v>
      </c>
      <c r="T56" s="22">
        <f>-(Données!I$49*1E-24*H56+Données!F$49)*S56+Données!F$47*O56</f>
        <v>-2.9924508405962073E-8</v>
      </c>
      <c r="U56" s="28">
        <f t="shared" si="32"/>
        <v>4806.0774044800892</v>
      </c>
      <c r="V56" s="19"/>
      <c r="W56" s="40">
        <f t="shared" si="33"/>
        <v>47.935523521124018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-2.2959969791457783E-5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3169964366479092.5</v>
      </c>
      <c r="I57" s="40">
        <f t="shared" si="26"/>
        <v>8.1567798173136641</v>
      </c>
      <c r="J57" s="21">
        <f>-(Données!I$44*1E-24*H57+Données!F$44)*I57</f>
        <v>-4.7475785933109324E-8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-2.6046788360853264E-6</v>
      </c>
      <c r="M57" s="40">
        <f t="shared" si="28"/>
        <v>1346.7919244392203</v>
      </c>
      <c r="N57" s="21">
        <f>-(Données!I$46*1E-24*H57+Données!F$46)*M57+Données!H$45*1E-24*H57*K57</f>
        <v>8.2730198373947734E-7</v>
      </c>
      <c r="O57" s="42">
        <f t="shared" si="29"/>
        <v>188.10678471334049</v>
      </c>
      <c r="P57" s="23">
        <f>-(Données!I$47*1E-24*H57+Données!F$47)*O57+(Données!H$46*1E-24*H57)*M57</f>
        <v>-6.1409150771289467E-8</v>
      </c>
      <c r="Q57" s="40">
        <f t="shared" si="30"/>
        <v>93.928953556323293</v>
      </c>
      <c r="R57" s="43">
        <f>-(Données!I$48*1E-24*H57+Données!F$48)*Q57+Données!H$47*1E-24*H57*O57</f>
        <v>4.5324450765655455E-8</v>
      </c>
      <c r="S57" s="42">
        <f t="shared" si="31"/>
        <v>49.969380241787725</v>
      </c>
      <c r="T57" s="22">
        <f>-(Données!I$49*1E-24*H57+Données!F$49)*S57+Données!F$47*O57</f>
        <v>-2.969162896175411E-8</v>
      </c>
      <c r="U57" s="28">
        <f t="shared" si="32"/>
        <v>4801.1961447337126</v>
      </c>
      <c r="V57" s="19"/>
      <c r="W57" s="40">
        <f t="shared" si="33"/>
        <v>47.002591321756974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-2.2899950590958429E-5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3169964366479092.5</v>
      </c>
      <c r="I58" s="40">
        <f t="shared" si="26"/>
        <v>8.0320134518814523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-2.6071460381266368E-6</v>
      </c>
      <c r="M58" s="40">
        <f t="shared" si="28"/>
        <v>1348.9660740524878</v>
      </c>
      <c r="N58" s="21">
        <f>-(Données!I$46*1E-24*H58+Données!F$46)*M58+Données!H$45*1E-24*H58*K58</f>
        <v>8.1132526838786818E-7</v>
      </c>
      <c r="O58" s="42">
        <f t="shared" si="29"/>
        <v>187.94540146511355</v>
      </c>
      <c r="P58" s="23">
        <f>-(Données!I$47*1E-24*H58+Données!F$47)*O58+(Données!H$46*1E-24*H58)*M58</f>
        <v>-5.6538226817195549E-8</v>
      </c>
      <c r="Q58" s="40">
        <f t="shared" si="30"/>
        <v>94.048066212935439</v>
      </c>
      <c r="R58" s="43">
        <f>-(Données!I$48*1E-24*H58+Données!F$48)*Q58+Données!H$47*1E-24*H58*O58</f>
        <v>4.4812113847431083E-8</v>
      </c>
      <c r="S58" s="42">
        <f t="shared" si="31"/>
        <v>49.891350640876233</v>
      </c>
      <c r="T58" s="22">
        <f>-(Données!I$49*1E-24*H58+Données!F$49)*S58+Données!F$47*O58</f>
        <v>-2.9442185895901576E-8</v>
      </c>
      <c r="U58" s="28">
        <f t="shared" si="32"/>
        <v>4796.28013180779</v>
      </c>
      <c r="V58" s="19"/>
      <c r="W58" s="40">
        <f t="shared" si="33"/>
        <v>46.087945208410233</v>
      </c>
      <c r="X58" s="21">
        <f>-(Données!I$50*1E-24*H58+Données!F$50)*W58+Données!F$45*K58</f>
        <v>-3.4121719348147932E-7</v>
      </c>
      <c r="Y58" s="42">
        <f t="shared" si="34"/>
        <v>22961.719189185576</v>
      </c>
      <c r="Z58" s="23">
        <f>-(Données!I$51*1E-24*H58+Données!F$51)*Y58+Données!F$48*Q58</f>
        <v>-2.2840088285521575E-5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3169964366479092.5</v>
      </c>
      <c r="I59" s="40">
        <f t="shared" si="26"/>
        <v>7.9091555167724579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-2.609432857331289E-6</v>
      </c>
      <c r="M59" s="40">
        <f t="shared" si="28"/>
        <v>1351.0982368578111</v>
      </c>
      <c r="N59" s="21">
        <f>-(Données!I$46*1E-24*H59+Données!F$46)*M59+Données!H$45*1E-24*H59*K59</f>
        <v>7.9545487883616155E-7</v>
      </c>
      <c r="O59" s="42">
        <f t="shared" si="29"/>
        <v>187.79681900503795</v>
      </c>
      <c r="P59" s="23">
        <f>-(Données!I$47*1E-24*H59+Données!F$47)*O59+(Données!H$46*1E-24*H59)*M59</f>
        <v>-5.1864866201441917E-8</v>
      </c>
      <c r="Q59" s="40">
        <f t="shared" si="30"/>
        <v>94.165832448126494</v>
      </c>
      <c r="R59" s="43">
        <f>-(Données!I$48*1E-24*H59+Données!F$48)*Q59+Données!H$47*1E-24*H59*O59</f>
        <v>4.432120769603474E-8</v>
      </c>
      <c r="S59" s="42">
        <f t="shared" si="31"/>
        <v>49.813976576341801</v>
      </c>
      <c r="T59" s="22">
        <f>-(Données!I$49*1E-24*H59+Données!F$49)*S59+Données!F$47*O59</f>
        <v>-2.9177277824464042E-8</v>
      </c>
      <c r="U59" s="28">
        <f t="shared" si="32"/>
        <v>4791.329666600388</v>
      </c>
      <c r="V59" s="19"/>
      <c r="W59" s="40">
        <f t="shared" si="33"/>
        <v>45.191226423940904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-2.2780382465007577E-5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3169964366479092.5</v>
      </c>
      <c r="I60" s="40">
        <f t="shared" si="26"/>
        <v>7.788176820575309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-2.611543017969707E-6</v>
      </c>
      <c r="M60" s="40">
        <f t="shared" si="28"/>
        <v>1353.1886922793926</v>
      </c>
      <c r="N60" s="21">
        <f>-(Données!I$46*1E-24*H60+Données!F$46)*M60+Données!H$45*1E-24*H60*K60</f>
        <v>7.796907358066645E-7</v>
      </c>
      <c r="O60" s="42">
        <f t="shared" si="29"/>
        <v>187.66051813666056</v>
      </c>
      <c r="P60" s="23">
        <f>-(Données!I$47*1E-24*H60+Données!F$47)*O60+(Données!H$46*1E-24*H60)*M60</f>
        <v>-4.7383115811272925E-8</v>
      </c>
      <c r="Q60" s="40">
        <f t="shared" si="30"/>
        <v>94.282308581951668</v>
      </c>
      <c r="R60" s="43">
        <f>-(Données!I$48*1E-24*H60+Données!F$48)*Q60+Données!H$47*1E-24*H60*O60</f>
        <v>4.3850859032320161E-8</v>
      </c>
      <c r="S60" s="42">
        <f t="shared" si="31"/>
        <v>49.737298690219113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44.312083250542102</v>
      </c>
      <c r="X60" s="21">
        <f>-(Données!I$50*1E-24*H60+Données!F$50)*W60+Données!F$45*K60</f>
        <v>-3.2797274692630316E-7</v>
      </c>
      <c r="Y60" s="42">
        <f t="shared" si="34"/>
        <v>22841.828592053189</v>
      </c>
      <c r="Z60" s="23">
        <f>-(Données!I$51*1E-24*H60+Données!F$51)*Y60+Données!F$48*Q60</f>
        <v>-2.2720832720349045E-5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3169964366479092.5</v>
      </c>
      <c r="I61" s="40">
        <f t="shared" si="26"/>
        <v>7.6690486183913995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-2.6134801738777714E-6</v>
      </c>
      <c r="M61" s="40">
        <f t="shared" si="28"/>
        <v>1355.2377195330926</v>
      </c>
      <c r="N61" s="21">
        <f>-(Données!I$46*1E-24*H61+Données!F$46)*M61+Données!H$45*1E-24*H61*K61</f>
        <v>7.6403274632439604E-7</v>
      </c>
      <c r="O61" s="42">
        <f t="shared" si="29"/>
        <v>187.53599530830854</v>
      </c>
      <c r="P61" s="23">
        <f>-(Données!I$47*1E-24*H61+Données!F$47)*O61+(Données!H$46*1E-24*H61)*M61</f>
        <v>-4.3087190034464469E-8</v>
      </c>
      <c r="Q61" s="40">
        <f t="shared" si="30"/>
        <v>94.397548639488605</v>
      </c>
      <c r="R61" s="43">
        <f>-(Données!I$48*1E-24*H61+Données!F$48)*Q61+Données!H$47*1E-24*H61*O61</f>
        <v>4.3400222308916744E-8</v>
      </c>
      <c r="S61" s="42">
        <f t="shared" si="31"/>
        <v>49.661354850622878</v>
      </c>
      <c r="T61" s="22">
        <f>-(Données!I$49*1E-24*H61+Données!F$49)*S61+Données!F$47*O61</f>
        <v>-2.8605247090347399E-8</v>
      </c>
      <c r="U61" s="28">
        <f t="shared" si="32"/>
        <v>4781.3265885459114</v>
      </c>
      <c r="V61" s="19"/>
      <c r="W61" s="40">
        <f t="shared" si="33"/>
        <v>43.450170871619775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-2.2661438643548074E-5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3169964366479092.5</v>
      </c>
      <c r="I62" s="40">
        <f t="shared" si="26"/>
        <v>7.5517426050050114</v>
      </c>
      <c r="J62" s="21">
        <f>-(Données!I$44*1E-24*H62+Données!F$44)*I62</f>
        <v>-4.3954222544557431E-8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7.4848080408625924E-7</v>
      </c>
      <c r="O62" s="42">
        <f t="shared" si="29"/>
        <v>187.42276217289796</v>
      </c>
      <c r="P62" s="23">
        <f>-(Données!I$47*1E-24*H62+Données!F$47)*O62+(Données!H$46*1E-24*H62)*M62</f>
        <v>-3.8971466106993822E-8</v>
      </c>
      <c r="Q62" s="40">
        <f t="shared" si="30"/>
        <v>94.511604423716435</v>
      </c>
      <c r="R62" s="43">
        <f>-(Données!I$48*1E-24*H62+Données!F$48)*Q62+Données!H$47*1E-24*H62*O62</f>
        <v>4.2968478910258694E-8</v>
      </c>
      <c r="S62" s="42">
        <f t="shared" si="31"/>
        <v>49.586180261269448</v>
      </c>
      <c r="T62" s="22">
        <f>-(Données!I$49*1E-24*H62+Données!F$49)*S62+Données!F$47*O62</f>
        <v>-2.8300111826300268E-8</v>
      </c>
      <c r="U62" s="28">
        <f t="shared" si="32"/>
        <v>4776.2745827523786</v>
      </c>
      <c r="V62" s="19"/>
      <c r="W62" s="40">
        <f t="shared" si="33"/>
        <v>42.605151236379783</v>
      </c>
      <c r="X62" s="21">
        <f>-(Données!I$50*1E-24*H62+Données!F$50)*W62+Données!F$45*K62</f>
        <v>-3.15242887864485E-7</v>
      </c>
      <c r="Y62" s="42">
        <f t="shared" si="34"/>
        <v>22722.563982908865</v>
      </c>
      <c r="Z62" s="23">
        <f>-(Données!I$51*1E-24*H62+Données!F$51)*Y62+Données!F$48*Q62</f>
        <v>-2.2602199827673429E-5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3169964366479092.5</v>
      </c>
      <c r="I63" s="40">
        <f t="shared" si="26"/>
        <v>7.4362309081579143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-2.6168497425381271E-6</v>
      </c>
      <c r="M63" s="40">
        <f t="shared" si="28"/>
        <v>1359.2126051435719</v>
      </c>
      <c r="N63" s="21">
        <f>-(Données!I$46*1E-24*H63+Données!F$46)*M63+Données!H$45*1E-24*H63*K63</f>
        <v>7.3303478982250065E-7</v>
      </c>
      <c r="O63" s="42">
        <f t="shared" si="29"/>
        <v>187.32034515996878</v>
      </c>
      <c r="P63" s="23">
        <f>-(Données!I$47*1E-24*H63+Données!F$47)*O63+(Données!H$46*1E-24*H63)*M63</f>
        <v>-3.5030479589976878E-8</v>
      </c>
      <c r="Q63" s="40">
        <f t="shared" si="30"/>
        <v>94.624525586292592</v>
      </c>
      <c r="R63" s="43">
        <f>-(Données!I$48*1E-24*H63+Données!F$48)*Q63+Données!H$47*1E-24*H63*O63</f>
        <v>4.2554836375017895E-8</v>
      </c>
      <c r="S63" s="42">
        <f t="shared" si="31"/>
        <v>49.51180756738993</v>
      </c>
      <c r="T63" s="22">
        <f>-(Données!I$49*1E-24*H63+Données!F$49)*S63+Données!F$47*O63</f>
        <v>-2.7983489058341691E-8</v>
      </c>
      <c r="U63" s="28">
        <f t="shared" si="32"/>
        <v>4771.1893385575568</v>
      </c>
      <c r="V63" s="19"/>
      <c r="W63" s="40">
        <f t="shared" si="33"/>
        <v>41.776692927071913</v>
      </c>
      <c r="X63" s="21">
        <f>-(Données!I$50*1E-24*H63+Données!F$50)*W63+Données!F$45*K63</f>
        <v>-3.090646492515553E-7</v>
      </c>
      <c r="Y63" s="42">
        <f t="shared" si="34"/>
        <v>22663.16540176174</v>
      </c>
      <c r="Z63" s="23">
        <f>-(Données!I$51*1E-24*H63+Données!F$51)*Y63+Données!F$48*Q63</f>
        <v>-2.2543115866857739E-5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3169964366479092.5</v>
      </c>
      <c r="I64" s="40">
        <f t="shared" si="26"/>
        <v>7.3224860819268329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7.176945716506109E-7</v>
      </c>
      <c r="O64" s="42">
        <f t="shared" si="29"/>
        <v>187.22828505960632</v>
      </c>
      <c r="P64" s="23">
        <f>-(Données!I$47*1E-24*H64+Données!F$47)*O64+(Données!H$46*1E-24*H64)*M64</f>
        <v>-3.1258919972256789E-8</v>
      </c>
      <c r="Q64" s="40">
        <f t="shared" si="30"/>
        <v>94.736359696286144</v>
      </c>
      <c r="R64" s="43">
        <f>-(Données!I$48*1E-24*H64+Données!F$48)*Q64+Données!H$47*1E-24*H64*O64</f>
        <v>4.2158527640317368E-8</v>
      </c>
      <c r="S64" s="42">
        <f t="shared" si="31"/>
        <v>49.438266958144609</v>
      </c>
      <c r="T64" s="22">
        <f>-(Données!I$49*1E-24*H64+Données!F$49)*S64+Données!F$47*O64</f>
        <v>-2.765627568474944E-8</v>
      </c>
      <c r="U64" s="28">
        <f t="shared" si="32"/>
        <v>4766.0711614359752</v>
      </c>
      <c r="V64" s="19"/>
      <c r="W64" s="40">
        <f t="shared" si="33"/>
        <v>40.964471028838823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-2.2484186356294742E-5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3169964366479092.5</v>
      </c>
      <c r="I65" s="40">
        <f t="shared" si="26"/>
        <v>7.2104811002022133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-2.6195694346642739E-6</v>
      </c>
      <c r="M65" s="40">
        <f t="shared" si="28"/>
        <v>1363.0251219055233</v>
      </c>
      <c r="N65" s="21">
        <f>-(Données!I$46*1E-24*H65+Données!F$46)*M65+Données!H$45*1E-24*H65*K65</f>
        <v>7.0246000542179924E-7</v>
      </c>
      <c r="O65" s="42">
        <f t="shared" si="29"/>
        <v>187.14613661791924</v>
      </c>
      <c r="P65" s="23">
        <f>-(Données!I$47*1E-24*H65+Données!F$47)*O65+(Données!H$46*1E-24*H65)*M65</f>
        <v>-2.765162639516441E-8</v>
      </c>
      <c r="Q65" s="40">
        <f t="shared" si="30"/>
        <v>94.847152306924897</v>
      </c>
      <c r="R65" s="43">
        <f>-(Données!I$48*1E-24*H65+Données!F$48)*Q65+Données!H$47*1E-24*H65*O65</f>
        <v>4.1778810307120375E-8</v>
      </c>
      <c r="S65" s="42">
        <f t="shared" si="31"/>
        <v>49.365586265645085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40.168167002118707</v>
      </c>
      <c r="X65" s="21">
        <f>-(Données!I$50*1E-24*H65+Données!F$50)*W65+Données!F$45*K65</f>
        <v>-2.970694233512523E-7</v>
      </c>
      <c r="Y65" s="42">
        <f t="shared" si="34"/>
        <v>22544.833651519297</v>
      </c>
      <c r="Z65" s="23">
        <f>-(Données!I$51*1E-24*H65+Données!F$51)*Y65+Données!F$48*Q65</f>
        <v>-2.2425410892236478E-5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3169964366479092.5</v>
      </c>
      <c r="I66" s="40">
        <f t="shared" si="26"/>
        <v>7.1001893502667395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-2.6206939999307775E-6</v>
      </c>
      <c r="M66" s="40">
        <f t="shared" si="28"/>
        <v>1364.8711867997717</v>
      </c>
      <c r="N66" s="21">
        <f>-(Données!I$46*1E-24*H66+Données!F$46)*M66+Données!H$45*1E-24*H66*K66</f>
        <v>6.8733093506020102E-7</v>
      </c>
      <c r="O66" s="42">
        <f t="shared" si="29"/>
        <v>187.07346814375273</v>
      </c>
      <c r="P66" s="23">
        <f>-(Données!I$47*1E-24*H66+Données!F$47)*O66+(Données!H$46*1E-24*H66)*M66</f>
        <v>-2.4203583496022169E-8</v>
      </c>
      <c r="Q66" s="40">
        <f t="shared" si="30"/>
        <v>94.956947020412017</v>
      </c>
      <c r="R66" s="43">
        <f>-(Données!I$48*1E-24*H66+Données!F$48)*Q66+Données!H$47*1E-24*H66*O66</f>
        <v>4.1414965926203353E-8</v>
      </c>
      <c r="S66" s="42">
        <f t="shared" si="31"/>
        <v>49.293791060687603</v>
      </c>
      <c r="T66" s="22">
        <f>-(Données!I$49*1E-24*H66+Données!F$49)*S66+Données!F$47*O66</f>
        <v>-2.6973483786052734E-8</v>
      </c>
      <c r="U66" s="28">
        <f t="shared" si="32"/>
        <v>4755.7372331554461</v>
      </c>
      <c r="V66" s="19"/>
      <c r="W66" s="40">
        <f t="shared" si="33"/>
        <v>39.387468557551614</v>
      </c>
      <c r="X66" s="21">
        <f>-(Données!I$50*1E-24*H66+Données!F$50)*W66+Données!F$45*K66</f>
        <v>-2.9124772610779492E-7</v>
      </c>
      <c r="Y66" s="42">
        <f t="shared" si="34"/>
        <v>22485.8996716945</v>
      </c>
      <c r="Z66" s="23">
        <f>-(Données!I$51*1E-24*H66+Données!F$51)*Y66+Données!F$48*Q66</f>
        <v>-2.2366789071990527E-5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3169964366479092.5</v>
      </c>
      <c r="I67" s="40">
        <f t="shared" si="26"/>
        <v>6.9915846264720711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-2.6216660763002156E-6</v>
      </c>
      <c r="M67" s="40">
        <f t="shared" si="28"/>
        <v>1366.6774924971101</v>
      </c>
      <c r="N67" s="21">
        <f>-(Données!I$46*1E-24*H67+Données!F$46)*M67+Données!H$45*1E-24*H67*K67</f>
        <v>6.7230719289494975E-7</v>
      </c>
      <c r="O67" s="42">
        <f t="shared" si="29"/>
        <v>187.00986112632518</v>
      </c>
      <c r="P67" s="23">
        <f>-(Données!I$47*1E-24*H67+Données!F$47)*O67+(Données!H$46*1E-24*H67)*M67</f>
        <v>-2.0909917367107848E-8</v>
      </c>
      <c r="Q67" s="40">
        <f t="shared" si="30"/>
        <v>95.065785550866082</v>
      </c>
      <c r="R67" s="43">
        <f>-(Données!I$48*1E-24*H67+Données!F$48)*Q67+Données!H$47*1E-24*H67*O67</f>
        <v>4.106629930414214E-8</v>
      </c>
      <c r="S67" s="42">
        <f t="shared" si="31"/>
        <v>49.222904745297853</v>
      </c>
      <c r="T67" s="22">
        <f>-(Données!I$49*1E-24*H67+Données!F$49)*S67+Données!F$47*O67</f>
        <v>-2.6619521732538146E-8</v>
      </c>
      <c r="U67" s="28">
        <f t="shared" si="32"/>
        <v>4750.5220954948072</v>
      </c>
      <c r="V67" s="19"/>
      <c r="W67" s="40">
        <f t="shared" si="33"/>
        <v>38.62206953334033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-2.2308320493917267E-5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3169964366479092.5</v>
      </c>
      <c r="I68" s="40">
        <f t="shared" si="26"/>
        <v>6.8846411240123064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-2.622488860043317E-6</v>
      </c>
      <c r="M68" s="40">
        <f t="shared" si="28"/>
        <v>1368.4443158000379</v>
      </c>
      <c r="N68" s="21">
        <f>-(Données!I$46*1E-24*H68+Données!F$46)*M68+Données!H$45*1E-24*H68*K68</f>
        <v>6.5738859998526077E-7</v>
      </c>
      <c r="O68" s="42">
        <f t="shared" si="29"/>
        <v>186.95490986348443</v>
      </c>
      <c r="P68" s="23">
        <f>-(Données!I$47*1E-24*H68+Données!F$47)*O68+(Données!H$46*1E-24*H68)*M68</f>
        <v>-1.7765891626847265E-8</v>
      </c>
      <c r="Q68" s="40">
        <f t="shared" si="30"/>
        <v>95.173707785437372</v>
      </c>
      <c r="R68" s="43">
        <f>-(Données!I$48*1E-24*H68+Données!F$48)*Q68+Données!H$47*1E-24*H68*O68</f>
        <v>4.0732137828753332E-8</v>
      </c>
      <c r="S68" s="42">
        <f t="shared" si="31"/>
        <v>49.152948642184747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37.871669775017573</v>
      </c>
      <c r="X68" s="21">
        <f>-(Données!I$50*1E-24*H68+Données!F$50)*W68+Données!F$45*K68</f>
        <v>-2.7994473266559946E-7</v>
      </c>
      <c r="Y68" s="42">
        <f t="shared" si="34"/>
        <v>22368.493483755294</v>
      </c>
      <c r="Z68" s="23">
        <f>-(Données!I$51*1E-24*H68+Données!F$51)*Y68+Données!F$48*Q68</f>
        <v>-2.2250004757427087E-5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3169964366479092.5</v>
      </c>
      <c r="I69" s="40">
        <f t="shared" si="26"/>
        <v>6.7793334327926802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6.4257496643864663E-7</v>
      </c>
      <c r="O69" s="42">
        <f t="shared" si="29"/>
        <v>186.90822110028907</v>
      </c>
      <c r="P69" s="23">
        <f>-(Données!I$47*1E-24*H69+Données!F$47)*O69+(Données!H$46*1E-24*H69)*M69</f>
        <v>-1.4766903600113269E-8</v>
      </c>
      <c r="Q69" s="40">
        <f t="shared" si="30"/>
        <v>95.280751843651331</v>
      </c>
      <c r="R69" s="43">
        <f>-(Données!I$48*1E-24*H69+Données!F$48)*Q69+Données!H$47*1E-24*H69*O69</f>
        <v>4.0411830813449014E-8</v>
      </c>
      <c r="S69" s="42">
        <f t="shared" si="31"/>
        <v>49.083942081197641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37.135975017572378</v>
      </c>
      <c r="X69" s="21">
        <f>-(Données!I$50*1E-24*H69+Données!F$50)*W69+Données!F$45*K69</f>
        <v>-2.7445899835732779E-7</v>
      </c>
      <c r="Y69" s="42">
        <f t="shared" si="34"/>
        <v>22310.020471252774</v>
      </c>
      <c r="Z69" s="23">
        <f>-(Données!I$51*1E-24*H69+Données!F$51)*Y69+Données!F$48*Q69</f>
        <v>-2.219184146297765E-5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3169964366479092.5</v>
      </c>
      <c r="I70" s="40">
        <f t="shared" si="26"/>
        <v>6.6756365313920512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6.278660917224258E-7</v>
      </c>
      <c r="O70" s="42">
        <f t="shared" si="29"/>
        <v>186.86941367762796</v>
      </c>
      <c r="P70" s="23">
        <f>-(Données!I$47*1E-24*H70+Données!F$47)*O70+(Données!H$46*1E-24*H70)*M70</f>
        <v>-1.190848060460121E-8</v>
      </c>
      <c r="Q70" s="40">
        <f t="shared" si="30"/>
        <v>95.386954135029072</v>
      </c>
      <c r="R70" s="43">
        <f>-(Données!I$48*1E-24*H70+Données!F$48)*Q70+Données!H$47*1E-24*H70*O70</f>
        <v>4.0104748859979356E-8</v>
      </c>
      <c r="S70" s="42">
        <f t="shared" si="31"/>
        <v>49.015902482878921</v>
      </c>
      <c r="T70" s="22">
        <f>-(Données!I$49*1E-24*H70+Données!F$49)*S70+Données!F$47*O70</f>
        <v>-2.5516378872897492E-8</v>
      </c>
      <c r="U70" s="28">
        <f t="shared" si="32"/>
        <v>4734.6876757560985</v>
      </c>
      <c r="V70" s="19"/>
      <c r="W70" s="40">
        <f t="shared" si="33"/>
        <v>36.414696769889318</v>
      </c>
      <c r="X70" s="21">
        <f>-(Données!I$50*1E-24*H70+Données!F$50)*W70+Données!F$45*K70</f>
        <v>-2.6908088600992951E-7</v>
      </c>
      <c r="Y70" s="42">
        <f t="shared" si="34"/>
        <v>22251.700311888068</v>
      </c>
      <c r="Z70" s="23">
        <f>-(Données!I$51*1E-24*H70+Données!F$51)*Y70+Données!F$48*Q70</f>
        <v>-2.2133830212071168E-5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3169964366479092.5</v>
      </c>
      <c r="I71" s="40">
        <f t="shared" si="26"/>
        <v>6.5735257811177368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6.1326176496861936E-7</v>
      </c>
      <c r="O71" s="42">
        <f t="shared" si="29"/>
        <v>186.83811819059906</v>
      </c>
      <c r="P71" s="23">
        <f>-(Données!I$47*1E-24*H71+Données!F$47)*O71+(Données!H$46*1E-24*H71)*M71</f>
        <v>-9.1862763403128861E-9</v>
      </c>
      <c r="Q71" s="40">
        <f t="shared" si="30"/>
        <v>95.492349415033104</v>
      </c>
      <c r="R71" s="43">
        <f>-(Données!I$48*1E-24*H71+Données!F$48)*Q71+Données!H$47*1E-24*H71*O71</f>
        <v>3.9810283239051231E-8</v>
      </c>
      <c r="S71" s="42">
        <f t="shared" si="31"/>
        <v>48.948845439200944</v>
      </c>
      <c r="T71" s="22">
        <f>-(Données!I$49*1E-24*H71+Données!F$49)*S71+Données!F$47*O71</f>
        <v>-2.5137232734793131E-8</v>
      </c>
      <c r="U71" s="28">
        <f t="shared" si="32"/>
        <v>4729.3475587854864</v>
      </c>
      <c r="V71" s="19"/>
      <c r="W71" s="40">
        <f t="shared" si="33"/>
        <v>35.707552201455222</v>
      </c>
      <c r="X71" s="21">
        <f>-(Données!I$50*1E-24*H71+Données!F$50)*W71+Données!F$45*K71</f>
        <v>-2.6380828392936238E-7</v>
      </c>
      <c r="Y71" s="42">
        <f t="shared" si="34"/>
        <v>22193.532606090743</v>
      </c>
      <c r="Z71" s="23">
        <f>-(Données!I$51*1E-24*H71+Données!F$51)*Y71+Données!F$48*Q71</f>
        <v>-2.2075970607251643E-5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3169964366479092.5</v>
      </c>
      <c r="I72" s="40">
        <f t="shared" si="26"/>
        <v>6.4729769201512894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5.9876176527240007E-7</v>
      </c>
      <c r="O72" s="42">
        <f t="shared" si="29"/>
        <v>186.81397665637672</v>
      </c>
      <c r="P72" s="23">
        <f>-(Données!I$47*1E-24*H72+Données!F$47)*O72+(Données!H$46*1E-24*H72)*M72</f>
        <v>-6.5960673792915002E-9</v>
      </c>
      <c r="Q72" s="40">
        <f t="shared" si="30"/>
        <v>95.596970839385335</v>
      </c>
      <c r="R72" s="43">
        <f>-(Données!I$48*1E-24*H72+Données!F$48)*Q72+Données!H$47*1E-24*H72*O72</f>
        <v>3.9527845288324458E-8</v>
      </c>
      <c r="S72" s="42">
        <f t="shared" si="31"/>
        <v>48.882784791573911</v>
      </c>
      <c r="T72" s="22">
        <f>-(Données!I$49*1E-24*H72+Données!F$49)*S72+Données!F$47*O72</f>
        <v>-2.4753457140560512E-8</v>
      </c>
      <c r="U72" s="28">
        <f t="shared" si="32"/>
        <v>4723.9769659523972</v>
      </c>
      <c r="V72" s="19"/>
      <c r="W72" s="40">
        <f t="shared" si="33"/>
        <v>35.01426403128886</v>
      </c>
      <c r="X72" s="21">
        <f>-(Données!I$50*1E-24*H72+Données!F$50)*W72+Données!F$45*K72</f>
        <v>-2.5863912185649174E-7</v>
      </c>
      <c r="Y72" s="42">
        <f t="shared" si="34"/>
        <v>22135.516955334886</v>
      </c>
      <c r="Z72" s="23">
        <f>-(Données!I$51*1E-24*H72+Données!F$51)*Y72+Données!F$48*Q72</f>
        <v>-2.2018262252102167E-5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3169964366479092.5</v>
      </c>
      <c r="I73" s="40">
        <f t="shared" si="26"/>
        <v>6.3739660577838118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-2.6244710812829476E-6</v>
      </c>
      <c r="M73" s="40">
        <f t="shared" si="28"/>
        <v>1376.6958499791197</v>
      </c>
      <c r="N73" s="21">
        <f>-(Données!I$46*1E-24*H73+Données!F$46)*M73+Données!H$45*1E-24*H73*K73</f>
        <v>5.8436586198419046E-7</v>
      </c>
      <c r="O73" s="42">
        <f t="shared" si="29"/>
        <v>186.79664219130396</v>
      </c>
      <c r="P73" s="23">
        <f>-(Données!I$47*1E-24*H73+Données!F$47)*O73+(Données!H$46*1E-24*H73)*M73</f>
        <v>-4.1337497528081736E-9</v>
      </c>
      <c r="Q73" s="40">
        <f t="shared" si="30"/>
        <v>95.700850016803045</v>
      </c>
      <c r="R73" s="43">
        <f>-(Données!I$48*1E-24*H73+Données!F$48)*Q73+Données!H$47*1E-24*H73*O73</f>
        <v>3.9256865827302829E-8</v>
      </c>
      <c r="S73" s="42">
        <f t="shared" si="31"/>
        <v>48.817732706208517</v>
      </c>
      <c r="T73" s="22">
        <f>-(Données!I$49*1E-24*H73+Données!F$49)*S73+Données!F$47*O73</f>
        <v>-2.43656618316299E-8</v>
      </c>
      <c r="U73" s="28">
        <f t="shared" si="32"/>
        <v>4718.5762047332128</v>
      </c>
      <c r="V73" s="19"/>
      <c r="W73" s="40">
        <f t="shared" si="33"/>
        <v>34.33456041905</v>
      </c>
      <c r="X73" s="21">
        <f>-(Données!I$50*1E-24*H73+Données!F$50)*W73+Données!F$45*K73</f>
        <v>-2.5357137015407403E-7</v>
      </c>
      <c r="Y73" s="42">
        <f t="shared" si="34"/>
        <v>22077.652962136362</v>
      </c>
      <c r="Z73" s="23">
        <f>-(Données!I$51*1E-24*H73+Données!F$51)*Y73+Données!F$48*Q73</f>
        <v>-2.1960704751242177E-5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3169964366479092.5</v>
      </c>
      <c r="I74" s="40">
        <f t="shared" si="26"/>
        <v>6.2764696687394554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-2.6244619167192508E-6</v>
      </c>
      <c r="M74" s="40">
        <f t="shared" si="28"/>
        <v>1378.2315634644142</v>
      </c>
      <c r="N74" s="21">
        <f>-(Données!I$46*1E-24*H74+Données!F$46)*M74+Données!H$45*1E-24*H74*K74</f>
        <v>5.700738149955546E-7</v>
      </c>
      <c r="O74" s="42">
        <f t="shared" si="29"/>
        <v>186.78577869695357</v>
      </c>
      <c r="P74" s="23">
        <f>-(Données!I$47*1E-24*H74+Données!F$47)*O74+(Données!H$46*1E-24*H74)*M74</f>
        <v>-1.7953356332899482E-9</v>
      </c>
      <c r="Q74" s="40">
        <f t="shared" si="30"/>
        <v>95.804017060197197</v>
      </c>
      <c r="R74" s="43">
        <f>-(Données!I$48*1E-24*H74+Données!F$48)*Q74+Données!H$47*1E-24*H74*O74</f>
        <v>3.899679458864995E-8</v>
      </c>
      <c r="S74" s="42">
        <f t="shared" si="31"/>
        <v>48.753699746914997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33.668174858285091</v>
      </c>
      <c r="X74" s="21">
        <f>-(Données!I$50*1E-24*H74+Données!F$50)*W74+Données!F$45*K74</f>
        <v>-2.4860303900969334E-7</v>
      </c>
      <c r="Y74" s="42">
        <f t="shared" si="34"/>
        <v>22019.940230050099</v>
      </c>
      <c r="Z74" s="23">
        <f>-(Données!I$51*1E-24*H74+Données!F$51)*Y74+Données!F$48*Q74</f>
        <v>-2.1903297710324746E-5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3169964366479092.5</v>
      </c>
      <c r="I75" s="40">
        <f t="shared" si="26"/>
        <v>6.180464587585746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5.5588537501899391E-7</v>
      </c>
      <c r="O75" s="42">
        <f t="shared" si="29"/>
        <v>186.78106055490929</v>
      </c>
      <c r="P75" s="23">
        <f>-(Données!I$47*1E-24*H75+Données!F$47)*O75+(Données!H$46*1E-24*H75)*M75</f>
        <v>4.2304989164542708E-10</v>
      </c>
      <c r="Q75" s="40">
        <f t="shared" si="30"/>
        <v>95.906500636376165</v>
      </c>
      <c r="R75" s="43">
        <f>-(Données!I$48*1E-24*H75+Données!F$48)*Q75+Données!H$47*1E-24*H75*O75</f>
        <v>3.8747099665472161E-8</v>
      </c>
      <c r="S75" s="42">
        <f t="shared" si="31"/>
        <v>48.690694945417498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33.014846071767614</v>
      </c>
      <c r="X75" s="21">
        <f>-(Données!I$50*1E-24*H75+Données!F$50)*W75+Données!F$45*K75</f>
        <v>-2.4373217765433701E-7</v>
      </c>
      <c r="Y75" s="42">
        <f t="shared" si="34"/>
        <v>21962.378363667365</v>
      </c>
      <c r="Z75" s="23">
        <f>-(Données!I$51*1E-24*H75+Données!F$51)*Y75+Données!F$48*Q75</f>
        <v>-2.1846040736033904E-5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3169964366479092.5</v>
      </c>
      <c r="I76" s="40">
        <f t="shared" si="26"/>
        <v>6.0859280032294061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-2.6240606709052544E-6</v>
      </c>
      <c r="M76" s="40">
        <f t="shared" si="28"/>
        <v>1381.1905842157726</v>
      </c>
      <c r="N76" s="21">
        <f>-(Données!I$46*1E-24*H76+Données!F$46)*M76+Données!H$45*1E-24*H76*K76</f>
        <v>5.418002838617653E-7</v>
      </c>
      <c r="O76" s="42">
        <f t="shared" si="29"/>
        <v>186.78217233002454</v>
      </c>
      <c r="P76" s="23">
        <f>-(Données!I$47*1E-24*H76+Données!F$47)*O76+(Données!H$46*1E-24*H76)*M76</f>
        <v>2.525171955619093E-9</v>
      </c>
      <c r="Q76" s="40">
        <f t="shared" si="30"/>
        <v>96.008328014297021</v>
      </c>
      <c r="R76" s="43">
        <f>-(Données!I$48*1E-24*H76+Données!F$48)*Q76+Données!H$47*1E-24*H76*O76</f>
        <v>3.8507266974124445E-8</v>
      </c>
      <c r="S76" s="42">
        <f t="shared" si="31"/>
        <v>48.62872586926067</v>
      </c>
      <c r="T76" s="22">
        <f>-(Données!I$49*1E-24*H76+Données!F$49)*S76+Données!F$47*O76</f>
        <v>-2.3183859162028928E-8</v>
      </c>
      <c r="U76" s="28">
        <f t="shared" si="32"/>
        <v>4702.1959823003372</v>
      </c>
      <c r="V76" s="19"/>
      <c r="W76" s="40">
        <f t="shared" si="33"/>
        <v>32.374317908892017</v>
      </c>
      <c r="X76" s="21">
        <f>-(Données!I$50*1E-24*H76+Données!F$50)*W76+Données!F$45*K76</f>
        <v>-2.3895687359630389E-7</v>
      </c>
      <c r="Y76" s="42">
        <f t="shared" si="34"/>
        <v>21904.966968613069</v>
      </c>
      <c r="Z76" s="23">
        <f>-(Données!I$51*1E-24*H76+Données!F$51)*Y76+Données!F$48*Q76</f>
        <v>-2.1788933436081917E-5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3169964366479092.5</v>
      </c>
      <c r="I77" s="40">
        <f t="shared" si="26"/>
        <v>5.9928374534963718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-2.623674021936702E-6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186.78880848192389</v>
      </c>
      <c r="P77" s="23">
        <f>-(Données!I$47*1E-24*H77+Données!F$47)*O77+(Données!H$46*1E-24*H77)*M77</f>
        <v>4.5146889628689818E-9</v>
      </c>
      <c r="Q77" s="40">
        <f t="shared" si="30"/>
        <v>96.109525111905015</v>
      </c>
      <c r="R77" s="43">
        <f>-(Données!I$48*1E-24*H77+Données!F$48)*Q77+Données!H$47*1E-24*H77*O77</f>
        <v>3.827679973210731E-8</v>
      </c>
      <c r="S77" s="42">
        <f t="shared" si="31"/>
        <v>48.567798687382854</v>
      </c>
      <c r="T77" s="22">
        <f>-(Données!I$49*1E-24*H77+Données!F$49)*S77+Données!F$47*O77</f>
        <v>-2.2785560865517107E-8</v>
      </c>
      <c r="U77" s="28">
        <f t="shared" si="32"/>
        <v>4696.6776175210825</v>
      </c>
      <c r="V77" s="19"/>
      <c r="W77" s="40">
        <f t="shared" si="33"/>
        <v>31.746339245080932</v>
      </c>
      <c r="X77" s="21">
        <f>-(Données!I$50*1E-24*H77+Données!F$50)*W77+Données!F$45*K77</f>
        <v>-2.3427525187014438E-7</v>
      </c>
      <c r="Y77" s="42">
        <f t="shared" si="34"/>
        <v>21847.705651543045</v>
      </c>
      <c r="Z77" s="23">
        <f>-(Données!I$51*1E-24*H77+Données!F$51)*Y77+Données!F$48*Q77</f>
        <v>-2.173197541920659E-5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3169964366479092.5</v>
      </c>
      <c r="I78" s="40">
        <f t="shared" si="26"/>
        <v>5.9011708197947135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186.80067308451831</v>
      </c>
      <c r="P78" s="23">
        <f>-(Données!I$47*1E-24*H78+Données!F$47)*O78+(Données!H$46*1E-24*H78)*M78</f>
        <v>6.3951555530002348E-9</v>
      </c>
      <c r="Q78" s="40">
        <f t="shared" si="30"/>
        <v>96.210116541600996</v>
      </c>
      <c r="R78" s="43">
        <f>-(Données!I$48*1E-24*H78+Données!F$48)*Q78+Données!H$47*1E-24*H78*O78</f>
        <v>3.8055217950635107E-8</v>
      </c>
      <c r="S78" s="42">
        <f t="shared" si="31"/>
        <v>48.507918233428278</v>
      </c>
      <c r="T78" s="22">
        <f>-(Données!I$49*1E-24*H78+Données!F$49)*S78+Données!F$47*O78</f>
        <v>-2.2385908127850157E-8</v>
      </c>
      <c r="U78" s="28">
        <f t="shared" si="32"/>
        <v>4691.130617561962</v>
      </c>
      <c r="V78" s="19"/>
      <c r="W78" s="40">
        <f t="shared" si="33"/>
        <v>31.130663883166193</v>
      </c>
      <c r="X78" s="21">
        <f>-(Données!I$50*1E-24*H78+Données!F$50)*W78+Données!F$45*K78</f>
        <v>-2.2968547430033769E-7</v>
      </c>
      <c r="Y78" s="42">
        <f t="shared" si="34"/>
        <v>21790.594020141369</v>
      </c>
      <c r="Z78" s="23">
        <f>-(Données!I$51*1E-24*H78+Données!F$51)*Y78+Données!F$48*Q78</f>
        <v>-2.1675166295168609E-5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3169964366479092.5</v>
      </c>
      <c r="I79" s="40">
        <f t="shared" si="26"/>
        <v>5.8109063218591928</v>
      </c>
      <c r="J79" s="21">
        <f>-(Données!I$44*1E-24*H79+Données!F$44)*I79</f>
        <v>-3.3821845237057718E-8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5.0016239338717299E-7</v>
      </c>
      <c r="O79" s="42">
        <f t="shared" si="29"/>
        <v>186.81747955331159</v>
      </c>
      <c r="P79" s="23">
        <f>-(Données!I$47*1E-24*H79+Données!F$47)*O79+(Données!H$46*1E-24*H79)*M79</f>
        <v>8.1700254834700854E-9</v>
      </c>
      <c r="Q79" s="40">
        <f t="shared" si="30"/>
        <v>96.31012565437527</v>
      </c>
      <c r="R79" s="43">
        <f>-(Données!I$48*1E-24*H79+Données!F$48)*Q79+Données!H$47*1E-24*H79*O79</f>
        <v>3.7842057941466557E-8</v>
      </c>
      <c r="S79" s="42">
        <f t="shared" si="31"/>
        <v>48.449088066868285</v>
      </c>
      <c r="T79" s="22">
        <f>-(Données!I$49*1E-24*H79+Données!F$49)*S79+Données!F$47*O79</f>
        <v>-2.1985363344148019E-8</v>
      </c>
      <c r="U79" s="28">
        <f t="shared" si="32"/>
        <v>4685.5552877708187</v>
      </c>
      <c r="V79" s="19"/>
      <c r="W79" s="40">
        <f t="shared" si="33"/>
        <v>30.527050456704906</v>
      </c>
      <c r="X79" s="21">
        <f>-(Données!I$50*1E-24*H79+Données!F$50)*W79+Données!F$45*K79</f>
        <v>-2.2518573877941626E-7</v>
      </c>
      <c r="Y79" s="42">
        <f t="shared" si="34"/>
        <v>21733.631683117666</v>
      </c>
      <c r="Z79" s="23">
        <f>-(Données!I$51*1E-24*H79+Données!F$51)*Y79+Données!F$48*Q79</f>
        <v>-2.1618505674748845E-5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3169964366479092.5</v>
      </c>
      <c r="I80" s="40">
        <f t="shared" si="26"/>
        <v>5.7220225125762054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-2.6218014908269855E-6</v>
      </c>
      <c r="M80" s="40">
        <f t="shared" si="28"/>
        <v>1386.6666004395092</v>
      </c>
      <c r="N80" s="21">
        <f>-(Données!I$46*1E-24*H80+Données!F$46)*M80+Données!H$45*1E-24*H80*K80</f>
        <v>4.8648794673392146E-7</v>
      </c>
      <c r="O80" s="42">
        <f t="shared" si="29"/>
        <v>186.83895038028214</v>
      </c>
      <c r="P80" s="23">
        <f>-(Données!I$47*1E-24*H80+Données!F$47)*O80+(Données!H$46*1E-24*H80)*M80</f>
        <v>9.8426544320878446E-9</v>
      </c>
      <c r="Q80" s="40">
        <f t="shared" si="30"/>
        <v>96.409574582645448</v>
      </c>
      <c r="R80" s="43">
        <f>-(Données!I$48*1E-24*H80+Données!F$48)*Q80+Données!H$47*1E-24*H80*O80</f>
        <v>3.7636871837601543E-8</v>
      </c>
      <c r="S80" s="42">
        <f t="shared" si="31"/>
        <v>48.391310531999864</v>
      </c>
      <c r="T80" s="22">
        <f>-(Données!I$49*1E-24*H80+Données!F$49)*S80+Données!F$47*O80</f>
        <v>-2.1584367242189243E-8</v>
      </c>
      <c r="U80" s="28">
        <f t="shared" si="32"/>
        <v>4679.9519329234081</v>
      </c>
      <c r="V80" s="19"/>
      <c r="W80" s="40">
        <f t="shared" si="33"/>
        <v>29.935262335192601</v>
      </c>
      <c r="X80" s="21">
        <f>-(Données!I$50*1E-24*H80+Données!F$50)*W80+Données!F$45*K80</f>
        <v>-2.2077427856025456E-7</v>
      </c>
      <c r="Y80" s="42">
        <f t="shared" si="34"/>
        <v>21676.818250204426</v>
      </c>
      <c r="Z80" s="23">
        <f>-(Données!I$51*1E-24*H80+Données!F$51)*Y80+Données!F$48*Q80</f>
        <v>-2.1561993169745689E-5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3169964366479092.5</v>
      </c>
      <c r="I81" s="40">
        <f t="shared" si="26"/>
        <v>5.6344982728878845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-2.6209482519157489E-6</v>
      </c>
      <c r="M81" s="40">
        <f t="shared" si="28"/>
        <v>1387.945090763526</v>
      </c>
      <c r="N81" s="21">
        <f>-(Données!I$46*1E-24*H81+Données!F$46)*M81+Données!H$45*1E-24*H81*K81</f>
        <v>4.7291543353772672E-7</v>
      </c>
      <c r="O81" s="42">
        <f t="shared" si="29"/>
        <v>186.86481687612968</v>
      </c>
      <c r="P81" s="23">
        <f>-(Données!I$47*1E-24*H81+Données!F$47)*O81+(Données!H$46*1E-24*H81)*M81</f>
        <v>1.1416302721758109E-8</v>
      </c>
      <c r="Q81" s="40">
        <f t="shared" si="30"/>
        <v>96.508484281834669</v>
      </c>
      <c r="R81" s="43">
        <f>-(Données!I$48*1E-24*H81+Données!F$48)*Q81+Données!H$47*1E-24*H81*O81</f>
        <v>3.7439227127457731E-8</v>
      </c>
      <c r="S81" s="42">
        <f t="shared" si="31"/>
        <v>48.334586814887388</v>
      </c>
      <c r="T81" s="22">
        <f>-(Données!I$49*1E-24*H81+Données!F$49)*S81+Données!F$47*O81</f>
        <v>-2.1183339640622583E-8</v>
      </c>
      <c r="U81" s="28">
        <f t="shared" si="32"/>
        <v>4674.3208571677696</v>
      </c>
      <c r="V81" s="19"/>
      <c r="W81" s="40">
        <f t="shared" si="33"/>
        <v>29.355067531136253</v>
      </c>
      <c r="X81" s="21">
        <f>-(Données!I$50*1E-24*H81+Données!F$50)*W81+Données!F$45*K81</f>
        <v>-2.1644936156224432E-7</v>
      </c>
      <c r="Y81" s="42">
        <f t="shared" si="34"/>
        <v>21620.153332154336</v>
      </c>
      <c r="Z81" s="23">
        <f>-(Données!I$51*1E-24*H81+Données!F$51)*Y81+Données!F$48*Q81</f>
        <v>-2.1505628392972397E-5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3169964366479092.5</v>
      </c>
      <c r="I82" s="40">
        <f t="shared" si="26"/>
        <v>5.5483128067741481</v>
      </c>
      <c r="J82" s="21">
        <f>-(Données!I$44*1E-24*H82+Données!F$44)*I82</f>
        <v>-3.2293443859453033E-8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186.89481891968245</v>
      </c>
      <c r="P82" s="23">
        <f>-(Données!I$47*1E-24*H82+Données!F$47)*O82+(Données!H$46*1E-24*H82)*M82</f>
        <v>1.2894137969632632E-8</v>
      </c>
      <c r="Q82" s="40">
        <f t="shared" si="30"/>
        <v>96.606874570725623</v>
      </c>
      <c r="R82" s="43">
        <f>-(Données!I$48*1E-24*H82+Données!F$48)*Q82+Données!H$47*1E-24*H82*O82</f>
        <v>3.7248706202151941E-8</v>
      </c>
      <c r="S82" s="42">
        <f t="shared" si="31"/>
        <v>48.278916998311828</v>
      </c>
      <c r="T82" s="22">
        <f>-(Données!I$49*1E-24*H82+Données!F$49)*S82+Données!F$47*O82</f>
        <v>-2.0782680183499403E-8</v>
      </c>
      <c r="U82" s="28">
        <f t="shared" si="32"/>
        <v>4668.662363970825</v>
      </c>
      <c r="V82" s="19"/>
      <c r="W82" s="40">
        <f t="shared" si="33"/>
        <v>28.786238608950676</v>
      </c>
      <c r="X82" s="21">
        <f>-(Données!I$50*1E-24*H82+Données!F$50)*W82+Données!F$45*K82</f>
        <v>-2.1220928969108336E-7</v>
      </c>
      <c r="Y82" s="42">
        <f t="shared" si="34"/>
        <v>21563.636540737603</v>
      </c>
      <c r="Z82" s="23">
        <f>-(Données!I$51*1E-24*H82+Données!F$51)*Y82+Données!F$48*Q82</f>
        <v>-2.1449410958254423E-5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3169964366479092.5</v>
      </c>
      <c r="I83" s="40">
        <f t="shared" si="26"/>
        <v>5.4634456363115058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4.4607497559397446E-7</v>
      </c>
      <c r="O83" s="42">
        <f t="shared" si="29"/>
        <v>186.92870471426664</v>
      </c>
      <c r="P83" s="23">
        <f>-(Données!I$47*1E-24*H83+Données!F$47)*O83+(Données!H$46*1E-24*H83)*M83</f>
        <v>1.427923766277319E-8</v>
      </c>
      <c r="Q83" s="40">
        <f t="shared" si="30"/>
        <v>96.704764170624884</v>
      </c>
      <c r="R83" s="43">
        <f>-(Données!I$48*1E-24*H83+Données!F$48)*Q83+Données!H$47*1E-24*H83*O83</f>
        <v>3.7064905915521855E-8</v>
      </c>
      <c r="S83" s="42">
        <f t="shared" si="31"/>
        <v>48.224300114789592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28.228552595642508</v>
      </c>
      <c r="X83" s="21">
        <f>-(Données!I$50*1E-24*H83+Données!F$50)*W83+Données!F$45*K83</f>
        <v>-2.0805239817191124E-7</v>
      </c>
      <c r="Y83" s="42">
        <f t="shared" si="34"/>
        <v>21507.267488739311</v>
      </c>
      <c r="Z83" s="23">
        <f>-(Données!I$51*1E-24*H83+Données!F$51)*Y83+Données!F$48*Q83</f>
        <v>-2.1393340480426774E-5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3169964366479092.5</v>
      </c>
      <c r="I84" s="40">
        <f t="shared" si="26"/>
        <v>5.3798765968074385</v>
      </c>
      <c r="J84" s="21">
        <f>-(Données!I$44*1E-24*H84+Données!F$44)*I84</f>
        <v>-3.1313076407239844E-8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-2.6177355699484627E-6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186.96623055084441</v>
      </c>
      <c r="P84" s="23">
        <f>-(Données!I$47*1E-24*H84+Données!F$47)*O84+(Données!H$46*1E-24*H84)*M84</f>
        <v>1.5574591662364258E-8</v>
      </c>
      <c r="Q84" s="40">
        <f t="shared" si="30"/>
        <v>96.80217074337088</v>
      </c>
      <c r="R84" s="43">
        <f>-(Données!I$48*1E-24*H84+Données!F$48)*Q84+Données!H$47*1E-24*H84*O84</f>
        <v>3.6887437156533173E-8</v>
      </c>
      <c r="S84" s="42">
        <f t="shared" si="31"/>
        <v>48.170734197721394</v>
      </c>
      <c r="T84" s="22">
        <f>-(Données!I$49*1E-24*H84+Données!F$49)*S84+Données!F$47*O84</f>
        <v>-1.9983967652823051E-8</v>
      </c>
      <c r="U84" s="28">
        <f t="shared" si="32"/>
        <v>4657.2643354100646</v>
      </c>
      <c r="V84" s="19"/>
      <c r="W84" s="40">
        <f t="shared" si="33"/>
        <v>27.681790893246724</v>
      </c>
      <c r="X84" s="21">
        <f>-(Données!I$50*1E-24*H84+Données!F$50)*W84+Données!F$45*K84</f>
        <v>-2.0397705489552975E-7</v>
      </c>
      <c r="Y84" s="42">
        <f t="shared" si="34"/>
        <v>21451.045789956748</v>
      </c>
      <c r="Z84" s="23">
        <f>-(Données!I$51*1E-24*H84+Données!F$51)*Y84+Données!F$48*Q84</f>
        <v>-2.1337416575331382E-5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3169964366479092.5</v>
      </c>
      <c r="I85" s="40">
        <f t="shared" si="26"/>
        <v>5.2975858320092124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187.00716057773312</v>
      </c>
      <c r="P85" s="23">
        <f>-(Données!I$47*1E-24*H85+Données!F$47)*O85+(Données!H$46*1E-24*H85)*M85</f>
        <v>1.6783104638473218E-8</v>
      </c>
      <c r="Q85" s="40">
        <f t="shared" si="30"/>
        <v>96.899110928218249</v>
      </c>
      <c r="R85" s="43">
        <f>-(Données!I$48*1E-24*H85+Données!F$48)*Q85+Données!H$47*1E-24*H85*O85</f>
        <v>3.6715924433727706E-8</v>
      </c>
      <c r="S85" s="42">
        <f t="shared" si="31"/>
        <v>48.118216330729773</v>
      </c>
      <c r="T85" s="22">
        <f>-(Données!I$49*1E-24*H85+Données!F$49)*S85+Données!F$47*O85</f>
        <v>-1.9586619287537348E-8</v>
      </c>
      <c r="U85" s="28">
        <f t="shared" si="32"/>
        <v>4651.5254031241566</v>
      </c>
      <c r="V85" s="19"/>
      <c r="W85" s="40">
        <f t="shared" si="33"/>
        <v>27.145739192981271</v>
      </c>
      <c r="X85" s="21">
        <f>-(Données!I$50*1E-24*H85+Données!F$50)*W85+Données!F$45*K85</f>
        <v>-1.9998165977745137E-7</v>
      </c>
      <c r="Y85" s="42">
        <f t="shared" si="34"/>
        <v>21394.971059196778</v>
      </c>
      <c r="Z85" s="23">
        <f>-(Données!I$51*1E-24*H85+Données!F$51)*Y85+Données!F$48*Q85</f>
        <v>-2.1281638859814448E-5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3169964366479092.5</v>
      </c>
      <c r="I86" s="40">
        <f t="shared" si="26"/>
        <v>5.2165537893859701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-2.6150730522972178E-6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187.05126657672304</v>
      </c>
      <c r="P86" s="23">
        <f>-(Données!I$47*1E-24*H86+Données!F$47)*O86+(Données!H$46*1E-24*H86)*M86</f>
        <v>1.7907598437278749E-8</v>
      </c>
      <c r="Q86" s="40">
        <f t="shared" si="30"/>
        <v>96.995600377630083</v>
      </c>
      <c r="R86" s="43">
        <f>-(Données!I$48*1E-24*H86+Données!F$48)*Q86+Données!H$47*1E-24*H86*O86</f>
        <v>3.6550005471377314E-8</v>
      </c>
      <c r="S86" s="42">
        <f t="shared" si="31"/>
        <v>48.066742695242127</v>
      </c>
      <c r="T86" s="22">
        <f>-(Données!I$49*1E-24*H86+Données!F$49)*S86+Données!F$47*O86</f>
        <v>-1.9191049797474368E-8</v>
      </c>
      <c r="U86" s="28">
        <f t="shared" si="32"/>
        <v>4645.7602594606224</v>
      </c>
      <c r="V86" s="19"/>
      <c r="W86" s="40">
        <f t="shared" si="33"/>
        <v>26.62018739108613</v>
      </c>
      <c r="X86" s="21">
        <f>-(Données!I$50*1E-24*H86+Données!F$50)*W86+Données!F$45*K86</f>
        <v>-1.9606464412952397E-7</v>
      </c>
      <c r="Y86" s="42">
        <f t="shared" si="34"/>
        <v>21339.042912273184</v>
      </c>
      <c r="Z86" s="23">
        <f>-(Données!I$51*1E-24*H86+Données!F$51)*Y86+Données!F$48*Q86</f>
        <v>-2.1226006951723824E-5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3169964366479092.5</v>
      </c>
      <c r="I87" s="40">
        <f t="shared" si="26"/>
        <v>5.1367612154829922</v>
      </c>
      <c r="J87" s="21">
        <f>-(Données!I$44*1E-24*H87+Données!F$44)*I87</f>
        <v>-2.9898045713839702E-8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3.9360332259751473E-7</v>
      </c>
      <c r="O87" s="42">
        <f t="shared" si="29"/>
        <v>187.09832774541621</v>
      </c>
      <c r="P87" s="23">
        <f>-(Données!I$47*1E-24*H87+Données!F$47)*O87+(Données!H$46*1E-24*H87)*M87</f>
        <v>1.8950814382653734E-8</v>
      </c>
      <c r="Q87" s="40">
        <f t="shared" si="30"/>
        <v>97.091653792008856</v>
      </c>
      <c r="R87" s="43">
        <f>-(Données!I$48*1E-24*H87+Données!F$48)*Q87+Données!H$47*1E-24*H87*O87</f>
        <v>3.6389330817017595E-8</v>
      </c>
      <c r="S87" s="42">
        <f t="shared" si="31"/>
        <v>48.016308616374367</v>
      </c>
      <c r="T87" s="22">
        <f>-(Données!I$49*1E-24*H87+Données!F$49)*S87+Données!F$47*O87</f>
        <v>-1.8797568190849495E-8</v>
      </c>
      <c r="U87" s="28">
        <f t="shared" si="32"/>
        <v>4639.9692037538671</v>
      </c>
      <c r="V87" s="19"/>
      <c r="W87" s="40">
        <f t="shared" si="33"/>
        <v>26.104929506313741</v>
      </c>
      <c r="X87" s="21">
        <f>-(Données!I$50*1E-24*H87+Données!F$50)*W87+Données!F$45*K87</f>
        <v>-1.922244700438857E-7</v>
      </c>
      <c r="Y87" s="42">
        <f t="shared" si="34"/>
        <v>21283.260966004054</v>
      </c>
      <c r="Z87" s="23">
        <f>-(Données!I$51*1E-24*H87+Données!F$51)*Y87+Données!F$48*Q87</f>
        <v>-2.117052046990641E-5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3169964366479092.5</v>
      </c>
      <c r="I88" s="40">
        <f t="shared" si="26"/>
        <v>5.0581891513470216</v>
      </c>
      <c r="J88" s="21">
        <f>-(Données!I$44*1E-24*H88+Données!F$44)*I88</f>
        <v>-2.9440724248655124E-8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-2.6120149745798729E-6</v>
      </c>
      <c r="M88" s="40">
        <f t="shared" si="28"/>
        <v>1395.910700858185</v>
      </c>
      <c r="N88" s="21">
        <f>-(Données!I$46*1E-24*H88+Données!F$46)*M88+Données!H$45*1E-24*H88*K88</f>
        <v>3.8073538580354834E-7</v>
      </c>
      <c r="O88" s="42">
        <f t="shared" si="29"/>
        <v>187.14813048561382</v>
      </c>
      <c r="P88" s="23">
        <f>-(Données!I$47*1E-24*H88+Données!F$47)*O88+(Données!H$46*1E-24*H88)*M88</f>
        <v>1.991541551392382E-8</v>
      </c>
      <c r="Q88" s="40">
        <f t="shared" si="30"/>
        <v>97.187284953395974</v>
      </c>
      <c r="R88" s="43">
        <f>-(Données!I$48*1E-24*H88+Données!F$48)*Q88+Données!H$47*1E-24*H88*O88</f>
        <v>3.6233563460045281E-8</v>
      </c>
      <c r="S88" s="42">
        <f t="shared" si="31"/>
        <v>47.966908607168811</v>
      </c>
      <c r="T88" s="22">
        <f>-(Données!I$49*1E-24*H88+Données!F$49)*S88+Données!F$47*O88</f>
        <v>-1.8406467249078892E-8</v>
      </c>
      <c r="U88" s="28">
        <f t="shared" si="32"/>
        <v>4634.1525343802195</v>
      </c>
      <c r="V88" s="19"/>
      <c r="W88" s="40">
        <f t="shared" si="33"/>
        <v>25.599763599038411</v>
      </c>
      <c r="X88" s="21">
        <f>-(Données!I$50*1E-24*H88+Données!F$50)*W88+Données!F$45*K88</f>
        <v>-1.8845962978900676E-7</v>
      </c>
      <c r="Y88" s="42">
        <f t="shared" si="34"/>
        <v>21227.62483820914</v>
      </c>
      <c r="Z88" s="23">
        <f>-(Données!I$51*1E-24*H88+Données!F$51)*Y88+Données!F$48*Q88</f>
        <v>-2.1115179034205504E-5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3169964366479092.5</v>
      </c>
      <c r="I89" s="40">
        <f t="shared" si="26"/>
        <v>4.9808189280215558</v>
      </c>
      <c r="J89" s="21">
        <f>-(Données!I$44*1E-24*H89+Données!F$44)*I89</f>
        <v>-2.8990397987254776E-8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187.2004681975844</v>
      </c>
      <c r="P89" s="23">
        <f>-(Données!I$47*1E-24*H89+Données!F$47)*O89+(Données!H$46*1E-24*H89)*M89</f>
        <v>2.0803988761575305E-8</v>
      </c>
      <c r="Q89" s="40">
        <f t="shared" si="30"/>
        <v>97.282506758168978</v>
      </c>
      <c r="R89" s="43">
        <f>-(Données!I$48*1E-24*H89+Données!F$48)*Q89+Données!H$47*1E-24*H89*O89</f>
        <v>3.6082378461070884E-8</v>
      </c>
      <c r="S89" s="42">
        <f t="shared" si="31"/>
        <v>47.918536411238229</v>
      </c>
      <c r="T89" s="22">
        <f>-(Données!I$49*1E-24*H89+Données!F$49)*S89+Données!F$47*O89</f>
        <v>-1.8018024114093357E-8</v>
      </c>
      <c r="U89" s="28">
        <f t="shared" si="32"/>
        <v>4628.3105487184021</v>
      </c>
      <c r="V89" s="19"/>
      <c r="W89" s="40">
        <f t="shared" si="33"/>
        <v>25.104491691952902</v>
      </c>
      <c r="X89" s="21">
        <f>-(Données!I$50*1E-24*H89+Données!F$50)*W89+Données!F$45*K89</f>
        <v>-1.8476864521758224E-7</v>
      </c>
      <c r="Y89" s="42">
        <f t="shared" si="34"/>
        <v>21172.134147707249</v>
      </c>
      <c r="Z89" s="23">
        <f>-(Données!I$51*1E-24*H89+Données!F$51)*Y89+Données!F$48*Q89</f>
        <v>-2.1059982265458241E-5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3169964366479092.5</v>
      </c>
      <c r="I90" s="40">
        <f t="shared" si="26"/>
        <v>4.9046321621110502</v>
      </c>
      <c r="J90" s="21">
        <f>-(Données!I$44*1E-24*H90+Données!F$44)*I90</f>
        <v>-2.8546959930777448E-8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-2.6085785921063545E-6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187.25514108004981</v>
      </c>
      <c r="P90" s="23">
        <f>-(Données!I$47*1E-24*H90+Données!F$47)*O90+(Données!H$46*1E-24*H90)*M90</f>
        <v>2.1619047062645381E-8</v>
      </c>
      <c r="Q90" s="40">
        <f t="shared" si="30"/>
        <v>97.377331248764676</v>
      </c>
      <c r="R90" s="43">
        <f>-(Données!I$48*1E-24*H90+Données!F$48)*Q90+Données!H$47*1E-24*H90*O90</f>
        <v>3.5935462591727071E-8</v>
      </c>
      <c r="S90" s="42">
        <f t="shared" si="31"/>
        <v>47.87118504386639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24.618919692321096</v>
      </c>
      <c r="X90" s="21">
        <f>-(Données!I$50*1E-24*H90+Données!F$50)*W90+Données!F$45*K90</f>
        <v>-1.8115006718604288E-7</v>
      </c>
      <c r="Y90" s="42">
        <f t="shared" si="34"/>
        <v>21116.788514313626</v>
      </c>
      <c r="Z90" s="23">
        <f>-(Données!I$51*1E-24*H90+Données!F$51)*Y90+Données!F$48*Q90</f>
        <v>-2.1004929785492933E-5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3169964366479092.5</v>
      </c>
      <c r="I91" s="40">
        <f t="shared" si="26"/>
        <v>4.8296107514129671</v>
      </c>
      <c r="J91" s="21">
        <f>-(Données!I$44*1E-24*H91+Données!F$44)*I91</f>
        <v>-2.8110304717019934E-8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3.4272591928644433E-7</v>
      </c>
      <c r="O91" s="42">
        <f t="shared" si="29"/>
        <v>187.31195593573045</v>
      </c>
      <c r="P91" s="23">
        <f>-(Données!I$47*1E-24*H91+Données!F$47)*O91+(Données!H$46*1E-24*H91)*M91</f>
        <v>2.2363031417457468E-8</v>
      </c>
      <c r="Q91" s="40">
        <f t="shared" si="30"/>
        <v>97.471769644455733</v>
      </c>
      <c r="R91" s="43">
        <f>-(Données!I$48*1E-24*H91+Données!F$48)*Q91+Données!H$47*1E-24*H91*O91</f>
        <v>3.5792513984642597E-8</v>
      </c>
      <c r="S91" s="42">
        <f t="shared" si="31"/>
        <v>47.824846831614067</v>
      </c>
      <c r="T91" s="22">
        <f>-(Données!I$49*1E-24*H91+Données!F$49)*S91+Données!F$47*O91</f>
        <v>-1.7250145028975749E-8</v>
      </c>
      <c r="U91" s="28">
        <f t="shared" si="32"/>
        <v>4616.5518128318763</v>
      </c>
      <c r="V91" s="19"/>
      <c r="W91" s="40">
        <f t="shared" si="33"/>
        <v>24.142857315756174</v>
      </c>
      <c r="X91" s="21">
        <f>-(Données!I$50*1E-24*H91+Données!F$50)*W91+Données!F$45*K91</f>
        <v>-1.7760247498545558E-7</v>
      </c>
      <c r="Y91" s="42">
        <f t="shared" si="34"/>
        <v>21061.587558837349</v>
      </c>
      <c r="Z91" s="23">
        <f>-(Données!I$51*1E-24*H91+Données!F$51)*Y91+Données!F$48*Q91</f>
        <v>-2.0950021217126537E-5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3169964366479092.5</v>
      </c>
      <c r="I92" s="40">
        <f t="shared" si="26"/>
        <v>4.755736870616639</v>
      </c>
      <c r="J92" s="21">
        <f>-(Données!I$44*1E-24*H92+Données!F$44)*I92</f>
        <v>-2.7680328595402668E-8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-2.6047805079012817E-6</v>
      </c>
      <c r="M92" s="40">
        <f t="shared" si="28"/>
        <v>1399.7126944065617</v>
      </c>
      <c r="N92" s="21">
        <f>-(Données!I$46*1E-24*H92+Données!F$46)*M92+Données!H$45*1E-24*H92*K92</f>
        <v>3.3025300314092926E-7</v>
      </c>
      <c r="O92" s="42">
        <f t="shared" si="29"/>
        <v>187.37072598229554</v>
      </c>
      <c r="P92" s="23">
        <f>-(Données!I$47*1E-24*H92+Données!F$47)*O92+(Données!H$46*1E-24*H92)*M92</f>
        <v>2.3038312889346999E-8</v>
      </c>
      <c r="Q92" s="40">
        <f t="shared" si="30"/>
        <v>97.565832371207378</v>
      </c>
      <c r="R92" s="43">
        <f>-(Données!I$48*1E-24*H92+Données!F$48)*Q92+Données!H$47*1E-24*H92*O92</f>
        <v>3.5653241793297583E-8</v>
      </c>
      <c r="S92" s="42">
        <f t="shared" si="31"/>
        <v>47.779513450477921</v>
      </c>
      <c r="T92" s="22">
        <f>-(Données!I$49*1E-24*H92+Données!F$49)*S92+Données!F$47*O92</f>
        <v>-1.6871190193943592E-8</v>
      </c>
      <c r="U92" s="28">
        <f t="shared" si="32"/>
        <v>4610.6356520445561</v>
      </c>
      <c r="V92" s="19"/>
      <c r="W92" s="40">
        <f t="shared" si="33"/>
        <v>23.676118011494395</v>
      </c>
      <c r="X92" s="21">
        <f>-(Données!I$50*1E-24*H92+Données!F$50)*W92+Données!F$45*K92</f>
        <v>-1.7412447578359074E-7</v>
      </c>
      <c r="Y92" s="42">
        <f t="shared" si="34"/>
        <v>21006.530903078739</v>
      </c>
      <c r="Z92" s="23">
        <f>-(Données!I$51*1E-24*H92+Données!F$51)*Y92+Données!F$48*Q92</f>
        <v>-2.0895256184162048E-5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3169964366479092.5</v>
      </c>
      <c r="I93" s="40">
        <f t="shared" si="26"/>
        <v>4.6829929670679205</v>
      </c>
      <c r="J93" s="21">
        <f>-(Données!I$44*1E-24*H93+Données!F$44)*I93</f>
        <v>-2.7256929402318271E-8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3.1787792268418506E-7</v>
      </c>
      <c r="O93" s="42">
        <f t="shared" si="29"/>
        <v>187.43127066856874</v>
      </c>
      <c r="P93" s="23">
        <f>-(Données!I$47*1E-24*H93+Données!F$47)*O93+(Données!H$46*1E-24*H93)*M93</f>
        <v>2.3647194548955239E-8</v>
      </c>
      <c r="Q93" s="40">
        <f t="shared" si="30"/>
        <v>97.659529090640163</v>
      </c>
      <c r="R93" s="43">
        <f>-(Données!I$48*1E-24*H93+Données!F$48)*Q93+Données!H$47*1E-24*H93*O93</f>
        <v>3.5517365861486916E-8</v>
      </c>
      <c r="S93" s="42">
        <f t="shared" si="31"/>
        <v>47.735175962648235</v>
      </c>
      <c r="T93" s="22">
        <f>-(Données!I$49*1E-24*H93+Données!F$49)*S93+Données!F$47*O93</f>
        <v>-1.649585644520033E-8</v>
      </c>
      <c r="U93" s="28">
        <f t="shared" si="32"/>
        <v>4604.695353776372</v>
      </c>
      <c r="V93" s="19"/>
      <c r="W93" s="40">
        <f t="shared" si="33"/>
        <v>23.218518889135119</v>
      </c>
      <c r="X93" s="21">
        <f>-(Données!I$50*1E-24*H93+Données!F$50)*W93+Données!F$45*K93</f>
        <v>-1.7071470407793708E-7</v>
      </c>
      <c r="Y93" s="42">
        <f t="shared" si="34"/>
        <v>20951.618169826761</v>
      </c>
      <c r="Z93" s="23">
        <f>-(Données!I$51*1E-24*H93+Données!F$51)*Y93+Données!F$48*Q93</f>
        <v>-2.0840634311385891E-5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3169964366479092.5</v>
      </c>
      <c r="I94" s="40">
        <f t="shared" si="26"/>
        <v>4.6113617565986278</v>
      </c>
      <c r="J94" s="21">
        <f>-(Données!I$44*1E-24*H94+Données!F$44)*I94</f>
        <v>-2.6840006536857177E-8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3.0560030009787372E-7</v>
      </c>
      <c r="O94" s="42">
        <f t="shared" si="29"/>
        <v>187.49341549584341</v>
      </c>
      <c r="P94" s="23">
        <f>-(Données!I$47*1E-24*H94+Données!F$47)*O94+(Données!H$46*1E-24*H94)*M94</f>
        <v>2.4191913364629378E-8</v>
      </c>
      <c r="Q94" s="40">
        <f t="shared" si="30"/>
        <v>97.752868728124156</v>
      </c>
      <c r="R94" s="43">
        <f>-(Données!I$48*1E-24*H94+Données!F$48)*Q94+Données!H$47*1E-24*H94*O94</f>
        <v>3.5384616402122147E-8</v>
      </c>
      <c r="S94" s="42">
        <f t="shared" si="31"/>
        <v>47.691824851910248</v>
      </c>
      <c r="T94" s="22">
        <f>-(Données!I$49*1E-24*H94+Données!F$49)*S94+Données!F$47*O94</f>
        <v>-1.6124350904858793E-8</v>
      </c>
      <c r="U94" s="28">
        <f t="shared" si="32"/>
        <v>4598.7312098834882</v>
      </c>
      <c r="V94" s="19"/>
      <c r="W94" s="40">
        <f t="shared" si="33"/>
        <v>22.769880646818301</v>
      </c>
      <c r="X94" s="21">
        <f>-(Données!I$50*1E-24*H94+Données!F$50)*W94+Données!F$45*K94</f>
        <v>-1.6737182115944856E-7</v>
      </c>
      <c r="Y94" s="42">
        <f t="shared" si="34"/>
        <v>20896.848982856438</v>
      </c>
      <c r="Z94" s="23">
        <f>-(Données!I$51*1E-24*H94+Données!F$51)*Y94+Données!F$48*Q94</f>
        <v>-2.078615522456539E-5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3169964366479092.5</v>
      </c>
      <c r="I95" s="40">
        <f t="shared" ref="I95:I136" si="38">I94+J94*D$5</f>
        <v>4.5408262194197668</v>
      </c>
      <c r="J95" s="21">
        <f>-(Données!I$44*1E-24*H95+Données!F$44)*I95</f>
        <v>-2.6429460936904555E-8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-2.5984399699659953E-6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187.55699184416565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97.845859500028936</v>
      </c>
      <c r="R95" s="43">
        <f>-(Données!I$48*1E-24*H95+Données!F$48)*Q95+Données!H$47*1E-24*H95*O95</f>
        <v>3.5254733685113538E-8</v>
      </c>
      <c r="S95" s="42">
        <f t="shared" ref="S95:S136" si="43">S94+T94*D$5</f>
        <v>47.649450057732281</v>
      </c>
      <c r="T95" s="22">
        <f>-(Données!I$49*1E-24*H95+Données!F$49)*S95+Données!F$47*O95</f>
        <v>-1.5756868207583897E-8</v>
      </c>
      <c r="U95" s="28">
        <f t="shared" ref="U95:U136" si="44">I95+K95+M95+O95+Q95+S95</f>
        <v>4592.743511021622</v>
      </c>
      <c r="V95" s="19"/>
      <c r="W95" s="40">
        <f t="shared" ref="W95:W136" si="45">W94+X94*D$5</f>
        <v>22.330027500811269</v>
      </c>
      <c r="X95" s="21">
        <f>-(Données!I$50*1E-24*H95+Données!F$50)*W95+Données!F$45*K95</f>
        <v>-1.6409451458681418E-7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-2.073181855044618E-5</v>
      </c>
      <c r="AA95" s="15">
        <f t="shared" ref="AA95:AA136" si="47">W95+Y95</f>
        <v>20864.552994427093</v>
      </c>
      <c r="AB95" s="2"/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3169964366479092.5</v>
      </c>
      <c r="I96" s="40">
        <f t="shared" si="38"/>
        <v>4.4713695960775812</v>
      </c>
      <c r="J96" s="21">
        <f>-(Données!I$44*1E-24*H96+Données!F$44)*I96</f>
        <v>-2.6025195055602858E-8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2.8133589396491858E-7</v>
      </c>
      <c r="O96" s="42">
        <f t="shared" si="41"/>
        <v>187.62183680344791</v>
      </c>
      <c r="P96" s="23">
        <f>-(Données!I$47*1E-24*H96+Données!F$47)*O96+(Données!H$46*1E-24*H96)*M96</f>
        <v>2.5097490803204055E-8</v>
      </c>
      <c r="Q96" s="40">
        <f t="shared" si="42"/>
        <v>97.938508940153412</v>
      </c>
      <c r="R96" s="43">
        <f>-(Données!I$48*1E-24*H96+Données!F$48)*Q96+Données!H$47*1E-24*H96*O96</f>
        <v>3.5127467734079324E-8</v>
      </c>
      <c r="S96" s="42">
        <f t="shared" si="43"/>
        <v>47.608041008082751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21.89878711647712</v>
      </c>
      <c r="X96" s="21">
        <f>-(Données!I$50*1E-24*H96+Données!F$50)*W96+Données!F$45*K96</f>
        <v>-1.6088149767104261E-7</v>
      </c>
      <c r="Y96" s="42">
        <f t="shared" si="46"/>
        <v>20787.739747775708</v>
      </c>
      <c r="Z96" s="23">
        <f>-(Données!I$51*1E-24*H96+Données!F$51)*Y96+Données!F$48*Q96</f>
        <v>-2.067762391674965E-5</v>
      </c>
      <c r="AA96" s="15">
        <f t="shared" si="47"/>
        <v>20809.638534892183</v>
      </c>
      <c r="AB96" s="2"/>
    </row>
    <row r="97" spans="3:28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3169964366479092.5</v>
      </c>
      <c r="I97" s="40">
        <f t="shared" si="38"/>
        <v>4.4029753834714569</v>
      </c>
      <c r="J97" s="21">
        <f>-(Données!I$44*1E-24*H97+Données!F$44)*I97</f>
        <v>-2.5627112838174397E-8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187.68779300927872</v>
      </c>
      <c r="P97" s="23">
        <f>-(Données!I$47*1E-24*H97+Données!F$47)*O97+(Données!H$46*1E-24*H97)*M97</f>
        <v>2.5462509140134679E-8</v>
      </c>
      <c r="Q97" s="40">
        <f t="shared" si="42"/>
        <v>98.030823925358575</v>
      </c>
      <c r="R97" s="43">
        <f>-(Données!I$48*1E-24*H97+Données!F$48)*Q97+Données!H$47*1E-24*H97*O97</f>
        <v>3.5002578031635295E-8</v>
      </c>
      <c r="S97" s="42">
        <f t="shared" si="43"/>
        <v>47.567586651016811</v>
      </c>
      <c r="T97" s="22">
        <f>-(Données!I$49*1E-24*H97+Données!F$49)*S97+Données!F$47*O97</f>
        <v>-1.503469023769546E-8</v>
      </c>
      <c r="U97" s="28">
        <f t="shared" si="44"/>
        <v>4580.698604841692</v>
      </c>
      <c r="V97" s="19"/>
      <c r="W97" s="40">
        <f t="shared" si="45"/>
        <v>21.475990540597621</v>
      </c>
      <c r="X97" s="21">
        <f>-(Données!I$50*1E-24*H97+Données!F$50)*W97+Données!F$45*K97</f>
        <v>-1.5773150897016056E-7</v>
      </c>
      <c r="Y97" s="42">
        <f t="shared" si="46"/>
        <v>20733.39895212249</v>
      </c>
      <c r="Z97" s="23">
        <f>-(Données!I$51*1E-24*H97+Données!F$51)*Y97+Données!F$48*Q97</f>
        <v>-2.0623570952170402E-5</v>
      </c>
      <c r="AA97" s="15">
        <f t="shared" si="47"/>
        <v>20754.874942663089</v>
      </c>
      <c r="AB97" s="2"/>
    </row>
    <row r="98" spans="3:28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3169964366479092.5</v>
      </c>
      <c r="I98" s="40">
        <f t="shared" si="38"/>
        <v>4.3356273309327342</v>
      </c>
      <c r="J98" s="21">
        <f>-(Données!I$44*1E-24*H98+Données!F$44)*I98</f>
        <v>-2.523511969909844E-8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-2.591372792289669E-6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187.754708483299</v>
      </c>
      <c r="P98" s="23">
        <f>-(Données!I$47*1E-24*H98+Données!F$47)*O98+(Données!H$46*1E-24*H98)*M98</f>
        <v>2.5771687488143953E-8</v>
      </c>
      <c r="Q98" s="40">
        <f t="shared" si="42"/>
        <v>98.122810700425717</v>
      </c>
      <c r="R98" s="43">
        <f>-(Données!I$48*1E-24*H98+Données!F$48)*Q98+Données!H$47*1E-24*H98*O98</f>
        <v>3.4879833233027534E-8</v>
      </c>
      <c r="S98" s="42">
        <f t="shared" si="43"/>
        <v>47.528075485072144</v>
      </c>
      <c r="T98" s="22">
        <f>-(Données!I$49*1E-24*H98+Données!F$49)*S98+Données!F$47*O98</f>
        <v>-1.468032593603243E-8</v>
      </c>
      <c r="U98" s="28">
        <f t="shared" si="44"/>
        <v>4574.6419725827009</v>
      </c>
      <c r="V98" s="19"/>
      <c r="W98" s="40">
        <f t="shared" si="45"/>
        <v>21.06147213502404</v>
      </c>
      <c r="X98" s="21">
        <f>-(Données!I$50*1E-24*H98+Données!F$50)*W98+Données!F$45*K98</f>
        <v>-1.5464331179382557E-7</v>
      </c>
      <c r="Y98" s="42">
        <f t="shared" si="46"/>
        <v>20679.200207660186</v>
      </c>
      <c r="Z98" s="23">
        <f>-(Données!I$51*1E-24*H98+Données!F$51)*Y98+Données!F$48*Q98</f>
        <v>-2.0569659286373686E-5</v>
      </c>
      <c r="AA98" s="15">
        <f t="shared" si="47"/>
        <v>20700.261679795211</v>
      </c>
      <c r="AB98" s="2"/>
    </row>
    <row r="99" spans="3:28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3169964366479092.5</v>
      </c>
      <c r="I99" s="40">
        <f t="shared" si="38"/>
        <v>4.2693094363635034</v>
      </c>
      <c r="J99" s="21">
        <f>-(Données!I$44*1E-24*H99+Données!F$44)*I99</f>
        <v>-2.4849122499637411E-8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-2.5888640527030707E-6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187.82243647801783</v>
      </c>
      <c r="P99" s="23">
        <f>-(Données!I$47*1E-24*H99+Données!F$47)*O99+(Données!H$46*1E-24*H99)*M99</f>
        <v>2.6026958876488523E-8</v>
      </c>
      <c r="Q99" s="40">
        <f t="shared" si="42"/>
        <v>98.21447490216211</v>
      </c>
      <c r="R99" s="43">
        <f>-(Données!I$48*1E-24*H99+Données!F$48)*Q99+Données!H$47*1E-24*H99*O99</f>
        <v>3.475901088787453E-8</v>
      </c>
      <c r="S99" s="42">
        <f t="shared" si="43"/>
        <v>47.489495588512249</v>
      </c>
      <c r="T99" s="22">
        <f>-(Données!I$49*1E-24*H99+Données!F$49)*S99+Données!F$47*O99</f>
        <v>-1.4330647282273003E-8</v>
      </c>
      <c r="U99" s="28">
        <f t="shared" si="44"/>
        <v>4568.5629354224366</v>
      </c>
      <c r="V99" s="19"/>
      <c r="W99" s="40">
        <f t="shared" si="45"/>
        <v>20.655069511629865</v>
      </c>
      <c r="X99" s="21">
        <f>-(Données!I$50*1E-24*H99+Données!F$50)*W99+Données!F$45*K99</f>
        <v>-1.5161569371765909E-7</v>
      </c>
      <c r="Y99" s="42">
        <f t="shared" si="46"/>
        <v>20625.143143055597</v>
      </c>
      <c r="Z99" s="23">
        <f>-(Données!I$51*1E-24*H99+Données!F$51)*Y99+Données!F$48*Q99</f>
        <v>-2.0515888549992877E-5</v>
      </c>
      <c r="AA99" s="15">
        <f t="shared" si="47"/>
        <v>20645.798212567228</v>
      </c>
      <c r="AB99" s="2"/>
    </row>
    <row r="100" spans="3:28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3169964366479092.5</v>
      </c>
      <c r="I100" s="40">
        <f t="shared" si="38"/>
        <v>4.2040059424344562</v>
      </c>
      <c r="J100" s="21">
        <f>-(Données!I$44*1E-24*H100+Données!F$44)*I100</f>
        <v>-2.4469029525706848E-8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-2.586281713256115E-6</v>
      </c>
      <c r="M100" s="40">
        <f t="shared" si="40"/>
        <v>1405.7595972845886</v>
      </c>
      <c r="N100" s="21">
        <f>-(Données!I$46*1E-24*H100+Données!F$46)*M100+Données!H$45*1E-24*H100*K100</f>
        <v>2.3395945234361637E-7</v>
      </c>
      <c r="O100" s="42">
        <f t="shared" si="41"/>
        <v>187.89083532594523</v>
      </c>
      <c r="P100" s="23">
        <f>-(Données!I$47*1E-24*H100+Données!F$47)*O100+(Données!H$46*1E-24*H100)*M100</f>
        <v>2.6230200523848084E-8</v>
      </c>
      <c r="Q100" s="40">
        <f t="shared" si="42"/>
        <v>98.305821582775437</v>
      </c>
      <c r="R100" s="43">
        <f>-(Données!I$48*1E-24*H100+Données!F$48)*Q100+Données!H$47*1E-24*H100*O100</f>
        <v>3.4639897169793731E-8</v>
      </c>
      <c r="S100" s="42">
        <f t="shared" si="43"/>
        <v>47.451834647454433</v>
      </c>
      <c r="T100" s="22">
        <f>-(Données!I$49*1E-24*H100+Données!F$49)*S100+Données!F$47*O100</f>
        <v>-1.398579320237472E-8</v>
      </c>
      <c r="U100" s="28">
        <f t="shared" si="44"/>
        <v>4562.4617776128453</v>
      </c>
      <c r="V100" s="19"/>
      <c r="W100" s="40">
        <f t="shared" si="45"/>
        <v>20.256623468539857</v>
      </c>
      <c r="X100" s="21">
        <f>-(Données!I$50*1E-24*H100+Données!F$50)*W100+Données!F$45*K100</f>
        <v>-1.4864746610710919E-7</v>
      </c>
      <c r="Y100" s="42">
        <f t="shared" si="46"/>
        <v>20571.227387946215</v>
      </c>
      <c r="Z100" s="23">
        <f>-(Données!I$51*1E-24*H100+Données!F$51)*Y100+Données!F$48*Q100</f>
        <v>-2.0462258374626942E-5</v>
      </c>
      <c r="AA100" s="15">
        <f t="shared" si="47"/>
        <v>20591.484011414756</v>
      </c>
      <c r="AB100" s="2"/>
    </row>
    <row r="101" spans="3:28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3169964366479092.5</v>
      </c>
      <c r="I101" s="40">
        <f t="shared" si="38"/>
        <v>4.1397013328408985</v>
      </c>
      <c r="J101" s="21">
        <f>-(Données!I$44*1E-24*H101+Données!F$44)*I101</f>
        <v>-2.4094750466083861E-8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2.2235308327188142E-7</v>
      </c>
      <c r="O101" s="42">
        <f t="shared" si="41"/>
        <v>187.95976829292189</v>
      </c>
      <c r="P101" s="23">
        <f>-(Données!I$47*1E-24*H101+Données!F$47)*O101+(Données!H$46*1E-24*H101)*M101</f>
        <v>2.6383235391166311E-8</v>
      </c>
      <c r="Q101" s="40">
        <f t="shared" si="42"/>
        <v>98.396855232537661</v>
      </c>
      <c r="R101" s="43">
        <f>-(Données!I$48*1E-24*H101+Données!F$48)*Q101+Données!H$47*1E-24*H101*O101</f>
        <v>3.4522286613692974E-8</v>
      </c>
      <c r="S101" s="42">
        <f t="shared" si="43"/>
        <v>47.415079982918591</v>
      </c>
      <c r="T101" s="22">
        <f>-(Données!I$49*1E-24*H101+Données!F$49)*S101+Données!F$47*O101</f>
        <v>-1.3645892727112822E-8</v>
      </c>
      <c r="U101" s="28">
        <f t="shared" si="44"/>
        <v>4556.3387820537773</v>
      </c>
      <c r="V101" s="19"/>
      <c r="W101" s="40">
        <f t="shared" si="45"/>
        <v>19.865977927610373</v>
      </c>
      <c r="X101" s="21">
        <f>-(Données!I$50*1E-24*H101+Données!F$50)*W101+Données!F$45*K101</f>
        <v>-1.4573746365065563E-7</v>
      </c>
      <c r="Y101" s="42">
        <f t="shared" si="46"/>
        <v>20517.452572937695</v>
      </c>
      <c r="Z101" s="23">
        <f>-(Données!I$51*1E-24*H101+Données!F$51)*Y101+Données!F$48*Q101</f>
        <v>-2.0408768392837902E-5</v>
      </c>
      <c r="AA101" s="15">
        <f t="shared" si="47"/>
        <v>20537.318550865304</v>
      </c>
      <c r="AB101" s="2"/>
    </row>
    <row r="102" spans="3:28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3169964366479092.5</v>
      </c>
      <c r="I102" s="40">
        <f t="shared" si="38"/>
        <v>4.0763803286160298</v>
      </c>
      <c r="J102" s="21">
        <f>-(Données!I$44*1E-24*H102+Données!F$44)*I102</f>
        <v>-2.3726196390948923E-8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-2.5809029788546246E-6</v>
      </c>
      <c r="M102" s="40">
        <f t="shared" si="40"/>
        <v>1406.9587866281861</v>
      </c>
      <c r="N102" s="21">
        <f>-(Données!I$46*1E-24*H102+Données!F$46)*M102+Données!H$45*1E-24*H102*K102</f>
        <v>2.1084099481830922E-7</v>
      </c>
      <c r="O102" s="42">
        <f t="shared" si="41"/>
        <v>188.02910343552989</v>
      </c>
      <c r="P102" s="23">
        <f>-(Données!I$47*1E-24*H102+Données!F$47)*O102+(Données!H$46*1E-24*H102)*M102</f>
        <v>2.6487833691482012E-8</v>
      </c>
      <c r="Q102" s="40">
        <f t="shared" si="42"/>
        <v>98.487579801758443</v>
      </c>
      <c r="R102" s="43">
        <f>-(Données!I$48*1E-24*H102+Données!F$48)*Q102+Données!H$47*1E-24*H102*O102</f>
        <v>3.4405981860512875E-8</v>
      </c>
      <c r="S102" s="42">
        <f t="shared" si="43"/>
        <v>47.37921857683174</v>
      </c>
      <c r="T102" s="22">
        <f>-(Données!I$49*1E-24*H102+Données!F$49)*S102+Données!F$47*O102</f>
        <v>-1.3311065376514778E-8</v>
      </c>
      <c r="U102" s="28">
        <f t="shared" si="44"/>
        <v>4550.1942302719908</v>
      </c>
      <c r="V102" s="19"/>
      <c r="W102" s="40">
        <f t="shared" si="45"/>
        <v>19.482979873136451</v>
      </c>
      <c r="X102" s="21">
        <f>-(Données!I$50*1E-24*H102+Données!F$50)*W102+Données!F$45*K102</f>
        <v>-1.4288454390217403E-7</v>
      </c>
      <c r="Y102" s="42">
        <f t="shared" si="46"/>
        <v>20463.818329601316</v>
      </c>
      <c r="Z102" s="23">
        <f>-(Données!I$51*1E-24*H102+Données!F$51)*Y102+Données!F$48*Q102</f>
        <v>-2.0355418238148328E-5</v>
      </c>
      <c r="AA102" s="15">
        <f t="shared" si="47"/>
        <v>20483.301309474453</v>
      </c>
      <c r="AB102" s="2"/>
    </row>
    <row r="103" spans="3:28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3169964366479092.5</v>
      </c>
      <c r="I103" s="40">
        <f t="shared" si="38"/>
        <v>4.0140278845006163</v>
      </c>
      <c r="J103" s="21">
        <f>-(Données!I$44*1E-24*H103+Données!F$44)*I103</f>
        <v>-2.3363279730755876E-8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-2.5781098753113959E-6</v>
      </c>
      <c r="M103" s="40">
        <f t="shared" si="40"/>
        <v>1407.5128767625686</v>
      </c>
      <c r="N103" s="21">
        <f>-(Données!I$46*1E-24*H103+Données!F$46)*M103+Données!H$45*1E-24*H103*K103</f>
        <v>1.994227729309868E-7</v>
      </c>
      <c r="O103" s="42">
        <f t="shared" si="41"/>
        <v>188.0987134624711</v>
      </c>
      <c r="P103" s="23">
        <f>-(Données!I$47*1E-24*H103+Données!F$47)*O103+(Données!H$46*1E-24*H103)*M103</f>
        <v>2.6545714357935053E-8</v>
      </c>
      <c r="Q103" s="40">
        <f t="shared" si="42"/>
        <v>98.57799872208787</v>
      </c>
      <c r="R103" s="43">
        <f>-(Données!I$48*1E-24*H103+Données!F$48)*Q103+Données!H$47*1E-24*H103*O103</f>
        <v>3.4290793409212935E-8</v>
      </c>
      <c r="S103" s="42">
        <f t="shared" si="43"/>
        <v>47.344237097022258</v>
      </c>
      <c r="T103" s="22">
        <f>-(Données!I$49*1E-24*H103+Données!F$49)*S103+Données!F$47*O103</f>
        <v>-1.2981421531772069E-8</v>
      </c>
      <c r="U103" s="28">
        <f t="shared" si="44"/>
        <v>4544.0284024012899</v>
      </c>
      <c r="V103" s="19"/>
      <c r="W103" s="40">
        <f t="shared" si="45"/>
        <v>19.107479291761535</v>
      </c>
      <c r="X103" s="21">
        <f>-(Données!I$50*1E-24*H103+Données!F$50)*W103+Données!F$45*K103</f>
        <v>-1.4008758683228E-7</v>
      </c>
      <c r="Y103" s="42">
        <f t="shared" si="46"/>
        <v>20410.324290471461</v>
      </c>
      <c r="Z103" s="23">
        <f>-(Données!I$51*1E-24*H103+Données!F$51)*Y103+Données!F$48*Q103</f>
        <v>-2.0302207545038823E-5</v>
      </c>
      <c r="AA103" s="15">
        <f t="shared" si="47"/>
        <v>20429.431769763221</v>
      </c>
      <c r="AB103" s="2"/>
    </row>
    <row r="104" spans="3:28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3169964366479092.5</v>
      </c>
      <c r="I104" s="40">
        <f t="shared" si="38"/>
        <v>3.9526291853681901</v>
      </c>
      <c r="J104" s="21">
        <f>-(Données!I$44*1E-24*H104+Données!F$44)*I104</f>
        <v>-2.3005914255425138E-8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-2.5752497559357864E-6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188.16847559980374</v>
      </c>
      <c r="P104" s="23">
        <f>-(Données!I$47*1E-24*H104+Données!F$47)*O104+(Données!H$46*1E-24*H104)*M104</f>
        <v>2.6558546471113863E-8</v>
      </c>
      <c r="Q104" s="40">
        <f t="shared" si="42"/>
        <v>98.668114927167281</v>
      </c>
      <c r="R104" s="43">
        <f>-(Données!I$48*1E-24*H104+Données!F$48)*Q104+Données!H$47*1E-24*H104*O104</f>
        <v>3.4176539375800379E-8</v>
      </c>
      <c r="S104" s="42">
        <f t="shared" si="43"/>
        <v>47.310121921236764</v>
      </c>
      <c r="T104" s="22">
        <f>-(Données!I$49*1E-24*H104+Données!F$49)*S104+Données!F$47*O104</f>
        <v>-1.265706279500537E-8</v>
      </c>
      <c r="U104" s="28">
        <f t="shared" si="44"/>
        <v>4537.8415771637283</v>
      </c>
      <c r="V104" s="19"/>
      <c r="W104" s="40">
        <f t="shared" si="45"/>
        <v>18.739329113566303</v>
      </c>
      <c r="X104" s="21">
        <f>-(Données!I$50*1E-24*H104+Données!F$50)*W104+Données!F$45*K104</f>
        <v>-1.3734549438847589E-7</v>
      </c>
      <c r="Y104" s="42">
        <f t="shared" si="46"/>
        <v>20356.970089043098</v>
      </c>
      <c r="Z104" s="23">
        <f>-(Données!I$51*1E-24*H104+Données!F$51)*Y104+Données!F$48*Q104</f>
        <v>-2.024913594894552E-5</v>
      </c>
      <c r="AA104" s="15">
        <f t="shared" si="47"/>
        <v>20375.709418156664</v>
      </c>
      <c r="AB104" s="2"/>
    </row>
    <row r="105" spans="3:28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3169964366479092.5</v>
      </c>
      <c r="I105" s="40">
        <f t="shared" si="38"/>
        <v>3.8921696427049328</v>
      </c>
      <c r="J105" s="21">
        <f>-(Données!I$44*1E-24*H105+Données!F$44)*I105</f>
        <v>-2.2654015053855196E-8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-2.5723241885005228E-6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188.23827145992982</v>
      </c>
      <c r="P105" s="23">
        <f>-(Données!I$47*1E-24*H105+Données!F$47)*O105+(Données!H$46*1E-24*H105)*M105</f>
        <v>2.6527950646876986E-8</v>
      </c>
      <c r="Q105" s="40">
        <f t="shared" si="42"/>
        <v>98.757930872646881</v>
      </c>
      <c r="R105" s="43">
        <f>-(Données!I$48*1E-24*H105+Données!F$48)*Q105+Données!H$47*1E-24*H105*O105</f>
        <v>3.4063045259204003E-8</v>
      </c>
      <c r="S105" s="42">
        <f t="shared" si="43"/>
        <v>47.276859160211487</v>
      </c>
      <c r="T105" s="22">
        <f>-(Données!I$49*1E-24*H105+Données!F$49)*S105+Données!F$47*O105</f>
        <v>-1.2338082337252356E-8</v>
      </c>
      <c r="U105" s="28">
        <f t="shared" si="44"/>
        <v>4531.6340318518696</v>
      </c>
      <c r="V105" s="19"/>
      <c r="W105" s="40">
        <f t="shared" si="45"/>
        <v>18.378385154313388</v>
      </c>
      <c r="X105" s="21">
        <f>-(Données!I$50*1E-24*H105+Données!F$50)*W105+Données!F$45*K105</f>
        <v>-1.3465719006392861E-7</v>
      </c>
      <c r="Y105" s="42">
        <f t="shared" si="46"/>
        <v>20303.755359769268</v>
      </c>
      <c r="Z105" s="23">
        <f>-(Données!I$51*1E-24*H105+Données!F$51)*Y105+Données!F$48*Q105</f>
        <v>-2.0196203086257563E-5</v>
      </c>
      <c r="AA105" s="15">
        <f t="shared" si="47"/>
        <v>20322.13374492358</v>
      </c>
      <c r="AB105" s="2"/>
    </row>
    <row r="106" spans="3:28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3169964366479092.5</v>
      </c>
      <c r="I106" s="40">
        <f t="shared" si="38"/>
        <v>3.8326348911434014</v>
      </c>
      <c r="J106" s="21">
        <f>-(Données!I$44*1E-24*H106+Données!F$44)*I106</f>
        <v>-2.2307498513747465E-8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188.30798691422982</v>
      </c>
      <c r="P106" s="23">
        <f>-(Données!I$47*1E-24*H106+Données!F$47)*O106+(Données!H$46*1E-24*H106)*M106</f>
        <v>2.6455500385732473E-8</v>
      </c>
      <c r="Q106" s="40">
        <f t="shared" si="42"/>
        <v>98.847448555588073</v>
      </c>
      <c r="R106" s="43">
        <f>-(Données!I$48*1E-24*H106+Données!F$48)*Q106+Données!H$47*1E-24*H106*O106</f>
        <v>3.3950143713803875E-8</v>
      </c>
      <c r="S106" s="42">
        <f t="shared" si="43"/>
        <v>47.24443467982919</v>
      </c>
      <c r="T106" s="22">
        <f>-(Données!I$49*1E-24*H106+Données!F$49)*S106+Données!F$47*O106</f>
        <v>-1.2024565235033498E-8</v>
      </c>
      <c r="U106" s="28">
        <f t="shared" si="44"/>
        <v>4525.4060423120445</v>
      </c>
      <c r="V106" s="19"/>
      <c r="W106" s="40">
        <f t="shared" si="45"/>
        <v>18.024506058825384</v>
      </c>
      <c r="X106" s="21">
        <f>-(Données!I$50*1E-24*H106+Données!F$50)*W106+Données!F$45*K106</f>
        <v>-1.3202161847470845E-7</v>
      </c>
      <c r="Y106" s="42">
        <f t="shared" si="46"/>
        <v>20250.679738058581</v>
      </c>
      <c r="Z106" s="23">
        <f>-(Données!I$51*1E-24*H106+Données!F$51)*Y106+Données!F$48*Q106</f>
        <v>-2.0143408594314646E-5</v>
      </c>
      <c r="AA106" s="15">
        <f t="shared" si="47"/>
        <v>20268.704244117405</v>
      </c>
      <c r="AB106" s="2"/>
    </row>
    <row r="107" spans="3:28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3169964366479092.5</v>
      </c>
      <c r="I107" s="40">
        <f t="shared" si="38"/>
        <v>3.7740107850492732</v>
      </c>
      <c r="J107" s="21">
        <f>-(Données!I$44*1E-24*H107+Données!F$44)*I107</f>
        <v>-2.1966282301739755E-8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188.37751196924353</v>
      </c>
      <c r="P107" s="23">
        <f>-(Données!I$47*1E-24*H107+Données!F$47)*O107+(Données!H$46*1E-24*H107)*M107</f>
        <v>2.6342723384862695E-8</v>
      </c>
      <c r="Q107" s="40">
        <f t="shared" si="42"/>
        <v>98.936669533267946</v>
      </c>
      <c r="R107" s="43">
        <f>-(Données!I$48*1E-24*H107+Données!F$48)*Q107+Données!H$47*1E-24*H107*O107</f>
        <v>3.3837674328430855E-8</v>
      </c>
      <c r="S107" s="42">
        <f t="shared" si="43"/>
        <v>47.21283412239152</v>
      </c>
      <c r="T107" s="22">
        <f>-(Données!I$49*1E-24*H107+Données!F$49)*S107+Données!F$47*O107</f>
        <v>-1.1716588795842524E-8</v>
      </c>
      <c r="U107" s="28">
        <f t="shared" si="44"/>
        <v>4519.1578829285909</v>
      </c>
      <c r="V107" s="19"/>
      <c r="W107" s="40">
        <f t="shared" si="45"/>
        <v>17.677553245473849</v>
      </c>
      <c r="X107" s="21">
        <f>-(Données!I$50*1E-24*H107+Données!F$50)*W107+Données!F$45*K107</f>
        <v>-1.2943774494532318E-7</v>
      </c>
      <c r="Y107" s="42">
        <f t="shared" si="46"/>
        <v>20197.742860272723</v>
      </c>
      <c r="Z107" s="23">
        <f>-(Données!I$51*1E-24*H107+Données!F$51)*Y107+Données!F$48*Q107</f>
        <v>-2.009075211140451E-5</v>
      </c>
      <c r="AA107" s="15">
        <f t="shared" si="47"/>
        <v>20215.420413518197</v>
      </c>
      <c r="AB107" s="2"/>
    </row>
    <row r="108" spans="3:28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3169964366479092.5</v>
      </c>
      <c r="I108" s="40">
        <f t="shared" si="38"/>
        <v>3.7162833951603012</v>
      </c>
      <c r="J108" s="21">
        <f>-(Données!I$44*1E-24*H108+Données!F$44)*I108</f>
        <v>-2.1630285343843619E-8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-2.5631700270302858E-6</v>
      </c>
      <c r="M108" s="40">
        <f t="shared" si="40"/>
        <v>1409.8381162028538</v>
      </c>
      <c r="N108" s="21">
        <f>-(Données!I$46*1E-24*H108+Données!F$46)*M108+Données!H$45*1E-24*H108*K108</f>
        <v>1.4372495097032545E-7</v>
      </c>
      <c r="O108" s="42">
        <f t="shared" si="41"/>
        <v>188.44674064629893</v>
      </c>
      <c r="P108" s="23">
        <f>-(Données!I$47*1E-24*H108+Données!F$47)*O108+(Données!H$46*1E-24*H108)*M108</f>
        <v>2.6191102813811864E-8</v>
      </c>
      <c r="Q108" s="40">
        <f t="shared" si="42"/>
        <v>99.025594941403057</v>
      </c>
      <c r="R108" s="43">
        <f>-(Données!I$48*1E-24*H108+Données!F$48)*Q108+Données!H$47*1E-24*H108*O108</f>
        <v>3.3725483411655469E-8</v>
      </c>
      <c r="S108" s="42">
        <f t="shared" si="43"/>
        <v>47.182042927036044</v>
      </c>
      <c r="T108" s="22">
        <f>-(Données!I$49*1E-24*H108+Données!F$49)*S108+Données!F$47*O108</f>
        <v>-1.1414222872897452E-8</v>
      </c>
      <c r="U108" s="28">
        <f t="shared" si="44"/>
        <v>4512.8898266090291</v>
      </c>
      <c r="V108" s="19"/>
      <c r="W108" s="40">
        <f t="shared" si="45"/>
        <v>17.33739085175754</v>
      </c>
      <c r="X108" s="21">
        <f>-(Données!I$50*1E-24*H108+Données!F$50)*W108+Données!F$45*K108</f>
        <v>-1.2690455510238454E-7</v>
      </c>
      <c r="Y108" s="42">
        <f t="shared" si="46"/>
        <v>20144.944363723953</v>
      </c>
      <c r="Z108" s="23">
        <f>-(Données!I$51*1E-24*H108+Données!F$51)*Y108+Données!F$48*Q108</f>
        <v>-2.0038233276760461E-5</v>
      </c>
      <c r="AA108" s="15">
        <f t="shared" si="47"/>
        <v>20162.28175457571</v>
      </c>
      <c r="AB108" s="2"/>
    </row>
    <row r="109" spans="3:28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3169964366479092.5</v>
      </c>
      <c r="I109" s="40">
        <f t="shared" si="38"/>
        <v>3.6594390052766803</v>
      </c>
      <c r="J109" s="21">
        <f>-(Données!I$44*1E-24*H109+Données!F$44)*I109</f>
        <v>-2.1299427806180947E-8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-2.5599977509397269E-6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188.51557086449364</v>
      </c>
      <c r="P109" s="23">
        <f>-(Données!I$47*1E-24*H109+Données!F$47)*O109+(Données!H$46*1E-24*H109)*M109</f>
        <v>2.6002078554856094E-8</v>
      </c>
      <c r="Q109" s="40">
        <f t="shared" si="42"/>
        <v>99.114225511808883</v>
      </c>
      <c r="R109" s="43">
        <f>-(Données!I$48*1E-24*H109+Données!F$48)*Q109+Données!H$47*1E-24*H109*O109</f>
        <v>3.3613423783191674E-8</v>
      </c>
      <c r="S109" s="42">
        <f t="shared" si="43"/>
        <v>47.152046349326071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17.003885680948475</v>
      </c>
      <c r="X109" s="21">
        <f>-(Données!I$50*1E-24*H109+Données!F$50)*W109+Données!F$45*K109</f>
        <v>-1.2442105447624754E-7</v>
      </c>
      <c r="Y109" s="42">
        <f t="shared" si="46"/>
        <v>20092.283886672627</v>
      </c>
      <c r="Z109" s="23">
        <f>-(Données!I$51*1E-24*H109+Données!F$51)*Y109+Données!F$48*Q109</f>
        <v>-1.9985851730558904E-5</v>
      </c>
      <c r="AA109" s="15">
        <f t="shared" si="47"/>
        <v>20109.287772353575</v>
      </c>
      <c r="AB109" s="2"/>
    </row>
    <row r="110" spans="3:28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3169964366479092.5</v>
      </c>
      <c r="I110" s="40">
        <f t="shared" si="38"/>
        <v>3.603464109002037</v>
      </c>
      <c r="J110" s="21">
        <f>-(Données!I$44*1E-24*H110+Données!F$44)*I110</f>
        <v>-2.0973631076015173E-8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-2.5567674248732056E-6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188.58390432693579</v>
      </c>
      <c r="P110" s="23">
        <f>-(Données!I$47*1E-24*H110+Données!F$47)*O110+(Données!H$46*1E-24*H110)*M110</f>
        <v>2.5777048409036017E-8</v>
      </c>
      <c r="Q110" s="40">
        <f t="shared" si="42"/>
        <v>99.202561589511106</v>
      </c>
      <c r="R110" s="43">
        <f>-(Données!I$48*1E-24*H110+Données!F$48)*Q110+Données!H$47*1E-24*H110*O110</f>
        <v>3.3501354571244489E-8</v>
      </c>
      <c r="S110" s="42">
        <f t="shared" si="43"/>
        <v>47.122829480040679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16.676907149784896</v>
      </c>
      <c r="X110" s="21">
        <f>-(Données!I$50*1E-24*H110+Données!F$50)*W110+Données!F$45*K110</f>
        <v>-1.2198626811046639E-7</v>
      </c>
      <c r="Y110" s="42">
        <f t="shared" si="46"/>
        <v>20039.761068324719</v>
      </c>
      <c r="Z110" s="23">
        <f>-(Données!I$51*1E-24*H110+Données!F$51)*Y110+Données!F$48*Q110</f>
        <v>-1.9933607113916866E-5</v>
      </c>
      <c r="AA110" s="15">
        <f t="shared" si="47"/>
        <v>20056.437975474502</v>
      </c>
      <c r="AB110" s="2"/>
    </row>
    <row r="111" spans="3:28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3169964366479092.5</v>
      </c>
      <c r="I111" s="40">
        <f t="shared" si="38"/>
        <v>3.5483454065342692</v>
      </c>
      <c r="J111" s="21">
        <f>-(Données!I$44*1E-24*H111+Données!F$44)*I111</f>
        <v>-2.0652817743072677E-8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-2.5534804440965965E-6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188.65164641015474</v>
      </c>
      <c r="P111" s="23">
        <f>-(Données!I$47*1E-24*H111+Données!F$47)*O111+(Données!H$46*1E-24*H111)*M111</f>
        <v>2.5517369268796818E-8</v>
      </c>
      <c r="Q111" s="40">
        <f t="shared" si="42"/>
        <v>99.29060314932434</v>
      </c>
      <c r="R111" s="43">
        <f>-(Données!I$48*1E-24*H111+Données!F$48)*Q111+Données!H$47*1E-24*H111*O111</f>
        <v>3.3389141015636007E-8</v>
      </c>
      <c r="S111" s="42">
        <f t="shared" si="43"/>
        <v>47.094377263191511</v>
      </c>
      <c r="T111" s="22">
        <f>-(Données!I$49*1E-24*H111+Données!F$49)*S111+Données!F$47*O111</f>
        <v>-1.0541381240309673E-8</v>
      </c>
      <c r="U111" s="28">
        <f t="shared" si="44"/>
        <v>4493.9689826705817</v>
      </c>
      <c r="V111" s="19"/>
      <c r="W111" s="40">
        <f t="shared" si="45"/>
        <v>16.356327237190591</v>
      </c>
      <c r="X111" s="21">
        <f>-(Données!I$50*1E-24*H111+Données!F$50)*W111+Données!F$45*K111</f>
        <v>-1.1959924017891325E-7</v>
      </c>
      <c r="Y111" s="42">
        <f t="shared" si="46"/>
        <v>19987.375548829346</v>
      </c>
      <c r="Z111" s="23">
        <f>-(Données!I$51*1E-24*H111+Données!F$51)*Y111+Données!F$48*Q111</f>
        <v>-1.9881499068889562E-5</v>
      </c>
      <c r="AA111" s="15">
        <f t="shared" si="47"/>
        <v>20003.731876066537</v>
      </c>
      <c r="AB111" s="2"/>
    </row>
    <row r="112" spans="3:28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3169964366479092.5</v>
      </c>
      <c r="I112" s="40">
        <f t="shared" si="38"/>
        <v>3.4940698015054741</v>
      </c>
      <c r="J112" s="21">
        <f>-(Données!I$44*1E-24*H112+Données!F$44)*I112</f>
        <v>-2.0336911581149858E-8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-2.5501381769802686E-6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188.71870605659313</v>
      </c>
      <c r="P112" s="23">
        <f>-(Données!I$47*1E-24*H112+Données!F$47)*O112+(Données!H$46*1E-24*H112)*M112</f>
        <v>2.5224358258170815E-8</v>
      </c>
      <c r="Q112" s="40">
        <f t="shared" si="42"/>
        <v>99.378349811913438</v>
      </c>
      <c r="R112" s="43">
        <f>-(Données!I$48*1E-24*H112+Données!F$48)*Q112+Données!H$47*1E-24*H112*O112</f>
        <v>3.3276654276549034E-8</v>
      </c>
      <c r="S112" s="42">
        <f t="shared" si="43"/>
        <v>47.066674513291979</v>
      </c>
      <c r="T112" s="22">
        <f>-(Données!I$49*1E-24*H112+Données!F$49)*S112+Données!F$47*O112</f>
        <v>-1.0262017270959274E-8</v>
      </c>
      <c r="U112" s="28">
        <f t="shared" si="44"/>
        <v>4487.6240376767028</v>
      </c>
      <c r="V112" s="19"/>
      <c r="W112" s="40">
        <f t="shared" si="45"/>
        <v>16.042020434000406</v>
      </c>
      <c r="X112" s="21">
        <f>-(Données!I$50*1E-24*H112+Données!F$50)*W112+Données!F$45*K112</f>
        <v>-1.1725903361040979E-7</v>
      </c>
      <c r="Y112" s="42">
        <f t="shared" si="46"/>
        <v>19935.126969276305</v>
      </c>
      <c r="Z112" s="23">
        <f>-(Données!I$51*1E-24*H112+Données!F$51)*Y112+Données!F$48*Q112</f>
        <v>-1.9829527238467904E-5</v>
      </c>
      <c r="AA112" s="15">
        <f t="shared" si="47"/>
        <v>19951.168989710306</v>
      </c>
      <c r="AB112" s="2"/>
    </row>
    <row r="113" spans="1:28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3169964366479092.5</v>
      </c>
      <c r="I113" s="40">
        <f t="shared" si="38"/>
        <v>3.4406243978702125</v>
      </c>
      <c r="J113" s="21">
        <f>-(Données!I$44*1E-24*H113+Données!F$44)*I113</f>
        <v>-2.0025837530001576E-8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-2.5467419655031115E-6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188.78499567009561</v>
      </c>
      <c r="P113" s="23">
        <f>-(Données!I$47*1E-24*H113+Données!F$47)*O113+(Données!H$46*1E-24*H113)*M113</f>
        <v>2.4899293841401284E-8</v>
      </c>
      <c r="Q113" s="40">
        <f t="shared" si="42"/>
        <v>99.465800859352214</v>
      </c>
      <c r="R113" s="43">
        <f>-(Données!I$48*1E-24*H113+Données!F$48)*Q113+Données!H$47*1E-24*H113*O113</f>
        <v>3.3163771248731604E-8</v>
      </c>
      <c r="S113" s="42">
        <f t="shared" si="43"/>
        <v>47.039705931903896</v>
      </c>
      <c r="T113" s="22">
        <f>-(Données!I$49*1E-24*H113+Données!F$49)*S113+Données!F$47*O113</f>
        <v>-9.9885115746569537E-9</v>
      </c>
      <c r="U113" s="28">
        <f t="shared" si="44"/>
        <v>4481.2605376751771</v>
      </c>
      <c r="V113" s="19"/>
      <c r="W113" s="40">
        <f t="shared" si="45"/>
        <v>15.73386369367225</v>
      </c>
      <c r="X113" s="21">
        <f>-(Données!I$50*1E-24*H113+Données!F$50)*W113+Données!F$45*K113</f>
        <v>-1.1496472972072409E-7</v>
      </c>
      <c r="Y113" s="42">
        <f t="shared" si="46"/>
        <v>19883.01497169361</v>
      </c>
      <c r="Z113" s="23">
        <f>-(Données!I$51*1E-24*H113+Données!F$51)*Y113+Données!F$48*Q113</f>
        <v>-1.9777691266576089E-5</v>
      </c>
      <c r="AA113" s="15">
        <f t="shared" si="47"/>
        <v>19898.748835387283</v>
      </c>
      <c r="AB113" s="2"/>
    </row>
    <row r="114" spans="1:28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3169964366479092.5</v>
      </c>
      <c r="I114" s="40">
        <f t="shared" si="38"/>
        <v>3.3879964968413683</v>
      </c>
      <c r="J114" s="21">
        <f>-(Données!I$44*1E-24*H114+Données!F$44)*I114</f>
        <v>-1.9719521677506595E-8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188.8504310143108</v>
      </c>
      <c r="P114" s="23">
        <f>-(Données!I$47*1E-24*H114+Données!F$47)*O114+(Données!H$46*1E-24*H114)*M114</f>
        <v>2.4543416900879133E-8</v>
      </c>
      <c r="Q114" s="40">
        <f t="shared" si="42"/>
        <v>99.552955250193875</v>
      </c>
      <c r="R114" s="43">
        <f>-(Données!I$48*1E-24*H114+Données!F$48)*Q114+Données!H$47*1E-24*H114*O114</f>
        <v>3.3050374381010324E-8</v>
      </c>
      <c r="S114" s="42">
        <f t="shared" si="43"/>
        <v>47.013456123485696</v>
      </c>
      <c r="T114" s="22">
        <f>-(Données!I$49*1E-24*H114+Données!F$49)*S114+Données!F$47*O114</f>
        <v>-9.7208953272648122E-9</v>
      </c>
      <c r="U114" s="28">
        <f t="shared" si="44"/>
        <v>4474.8787464501129</v>
      </c>
      <c r="V114" s="19"/>
      <c r="W114" s="40">
        <f t="shared" si="45"/>
        <v>15.431736383966188</v>
      </c>
      <c r="X114" s="21">
        <f>-(Données!I$50*1E-24*H114+Données!F$50)*W114+Données!F$45*K114</f>
        <v>-1.1271542785178827E-7</v>
      </c>
      <c r="Y114" s="42">
        <f t="shared" si="46"/>
        <v>19831.039199045048</v>
      </c>
      <c r="Z114" s="23">
        <f>-(Données!I$51*1E-24*H114+Données!F$51)*Y114+Données!F$48*Q114</f>
        <v>-1.972599079806914E-5</v>
      </c>
      <c r="AA114" s="15">
        <f t="shared" si="47"/>
        <v>19846.470935429013</v>
      </c>
      <c r="AB114" s="2"/>
    </row>
    <row r="115" spans="1:28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3169964366479092.5</v>
      </c>
      <c r="I115" s="40">
        <f t="shared" si="38"/>
        <v>3.3361735938728811</v>
      </c>
      <c r="J115" s="21">
        <f>-(Données!I$44*1E-24*H115+Données!F$44)*I115</f>
        <v>-1.9417891242105869E-8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-2.5397929483830487E-6</v>
      </c>
      <c r="M115" s="40">
        <f t="shared" si="40"/>
        <v>1411.8908434491714</v>
      </c>
      <c r="N115" s="21">
        <f>-(Données!I$46*1E-24*H115+Données!F$46)*M115+Données!H$45*1E-24*H115*K115</f>
        <v>6.9570972961173481E-8</v>
      </c>
      <c r="O115" s="42">
        <f t="shared" si="41"/>
        <v>188.91493111392631</v>
      </c>
      <c r="P115" s="23">
        <f>-(Données!I$47*1E-24*H115+Données!F$47)*O115+(Données!H$46*1E-24*H115)*M115</f>
        <v>2.4157931785245796E-8</v>
      </c>
      <c r="Q115" s="40">
        <f t="shared" si="42"/>
        <v>99.639811634067172</v>
      </c>
      <c r="R115" s="43">
        <f>-(Données!I$48*1E-24*H115+Données!F$48)*Q115+Données!H$47*1E-24*H115*O115</f>
        <v>3.2936351500964111E-8</v>
      </c>
      <c r="S115" s="42">
        <f t="shared" si="43"/>
        <v>46.987909610565644</v>
      </c>
      <c r="T115" s="22">
        <f>-(Données!I$49*1E-24*H115+Données!F$49)*S115+Données!F$47*O115</f>
        <v>-9.4591941791636359E-9</v>
      </c>
      <c r="U115" s="28">
        <f t="shared" si="44"/>
        <v>4468.4789262288123</v>
      </c>
      <c r="V115" s="19"/>
      <c r="W115" s="40">
        <f t="shared" si="45"/>
        <v>15.135520239571688</v>
      </c>
      <c r="X115" s="21">
        <f>-(Données!I$50*1E-24*H115+Données!F$50)*W115+Données!F$45*K115</f>
        <v>-1.1051024501799514E-7</v>
      </c>
      <c r="Y115" s="42">
        <f t="shared" si="46"/>
        <v>19779.199295227721</v>
      </c>
      <c r="Z115" s="23">
        <f>-(Données!I$51*1E-24*H115+Données!F$51)*Y115+Données!F$48*Q115</f>
        <v>-1.967442547873047E-5</v>
      </c>
      <c r="AA115" s="15">
        <f t="shared" si="47"/>
        <v>19794.334815467293</v>
      </c>
      <c r="AB115" s="2"/>
    </row>
    <row r="116" spans="1:28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3169964366479092.5</v>
      </c>
      <c r="I116" s="40">
        <f t="shared" si="38"/>
        <v>3.285143375688627</v>
      </c>
      <c r="J116" s="21">
        <f>-(Données!I$44*1E-24*H116+Données!F$44)*I116</f>
        <v>-1.9120874555509392E-8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5.9334047514853683E-8</v>
      </c>
      <c r="O116" s="42">
        <f t="shared" si="41"/>
        <v>188.97841815865795</v>
      </c>
      <c r="P116" s="23">
        <f>-(Données!I$47*1E-24*H116+Données!F$47)*O116+(Données!H$46*1E-24*H116)*M116</f>
        <v>2.3744007328494997E-8</v>
      </c>
      <c r="Q116" s="40">
        <f t="shared" si="42"/>
        <v>99.726368365811709</v>
      </c>
      <c r="R116" s="43">
        <f>-(Données!I$48*1E-24*H116+Données!F$48)*Q116+Données!H$47*1E-24*H116*O116</f>
        <v>3.2821595644615354E-8</v>
      </c>
      <c r="S116" s="42">
        <f t="shared" si="43"/>
        <v>46.963050848262803</v>
      </c>
      <c r="T116" s="22">
        <f>-(Données!I$49*1E-24*H116+Données!F$49)*S116+Données!F$47*O116</f>
        <v>-9.2034284950679909E-9</v>
      </c>
      <c r="U116" s="28">
        <f t="shared" si="44"/>
        <v>4462.0613376733936</v>
      </c>
      <c r="V116" s="19"/>
      <c r="W116" s="40">
        <f t="shared" si="45"/>
        <v>14.845099315664397</v>
      </c>
      <c r="X116" s="21">
        <f>-(Données!I$50*1E-24*H116+Données!F$50)*W116+Données!F$45*K116</f>
        <v>-1.0834831555943512E-7</v>
      </c>
      <c r="Y116" s="42">
        <f t="shared" si="46"/>
        <v>19727.49490506962</v>
      </c>
      <c r="Z116" s="23">
        <f>-(Données!I$51*1E-24*H116+Données!F$51)*Y116+Données!F$48*Q116</f>
        <v>-1.9622994955269465E-5</v>
      </c>
      <c r="AA116" s="15">
        <f t="shared" si="47"/>
        <v>19742.340004385285</v>
      </c>
      <c r="AB116" s="2"/>
    </row>
    <row r="117" spans="1:28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3169964366479092.5</v>
      </c>
      <c r="I117" s="40">
        <f t="shared" si="38"/>
        <v>3.2348937173567482</v>
      </c>
      <c r="J117" s="21">
        <f>-(Données!I$44*1E-24*H117+Données!F$44)*I117</f>
        <v>-1.8828401045667633E-8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-2.532643619305081E-6</v>
      </c>
      <c r="M117" s="40">
        <f t="shared" si="40"/>
        <v>1412.2296058429824</v>
      </c>
      <c r="N117" s="21">
        <f>-(Données!I$46*1E-24*H117+Données!F$46)*M117+Données!H$45*1E-24*H117*K117</f>
        <v>4.9184912158235706E-8</v>
      </c>
      <c r="O117" s="42">
        <f t="shared" si="41"/>
        <v>189.04081740991722</v>
      </c>
      <c r="P117" s="23">
        <f>-(Données!I$47*1E-24*H117+Données!F$47)*O117+(Données!H$46*1E-24*H117)*M117</f>
        <v>2.3302777840864925E-8</v>
      </c>
      <c r="Q117" s="40">
        <f t="shared" si="42"/>
        <v>99.812623519165754</v>
      </c>
      <c r="R117" s="43">
        <f>-(Données!I$48*1E-24*H117+Données!F$48)*Q117+Données!H$47*1E-24*H117*O117</f>
        <v>3.2706004890997521E-8</v>
      </c>
      <c r="S117" s="42">
        <f t="shared" si="43"/>
        <v>46.938864238177764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14.560359942374202</v>
      </c>
      <c r="X117" s="21">
        <f>-(Données!I$50*1E-24*H117+Données!F$50)*W117+Données!F$45*K117</f>
        <v>-1.062287908019372E-7</v>
      </c>
      <c r="Y117" s="42">
        <f t="shared" si="46"/>
        <v>19675.925674327173</v>
      </c>
      <c r="Z117" s="23">
        <f>-(Données!I$51*1E-24*H117+Données!F$51)*Y117+Données!F$48*Q117</f>
        <v>-1.9571698875319059E-5</v>
      </c>
      <c r="AA117" s="15">
        <f t="shared" si="47"/>
        <v>19690.486034269547</v>
      </c>
      <c r="AB117" s="2"/>
    </row>
    <row r="118" spans="1:28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3169964366479092.5</v>
      </c>
      <c r="I118" s="40">
        <f t="shared" si="38"/>
        <v>3.1854126794087336</v>
      </c>
      <c r="J118" s="21">
        <f>-(Données!I$44*1E-24*H118+Données!F$44)*I118</f>
        <v>-1.8540401220003383E-8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189.10205711008302</v>
      </c>
      <c r="P118" s="23">
        <f>-(Données!I$47*1E-24*H118+Données!F$47)*O118+(Données!H$46*1E-24*H118)*M118</f>
        <v>2.2835344072319153E-8</v>
      </c>
      <c r="Q118" s="40">
        <f t="shared" si="42"/>
        <v>99.898574900019298</v>
      </c>
      <c r="R118" s="43">
        <f>-(Données!I$48*1E-24*H118+Données!F$48)*Q118+Données!H$47*1E-24*H118*O118</f>
        <v>3.2589482201464248E-8</v>
      </c>
      <c r="S118" s="42">
        <f t="shared" si="43"/>
        <v>46.915334141674499</v>
      </c>
      <c r="T118" s="22">
        <f>-(Données!I$49*1E-24*H118+Données!F$49)*S118+Données!F$47*O118</f>
        <v>-8.7097599316907694E-9</v>
      </c>
      <c r="U118" s="28">
        <f t="shared" si="44"/>
        <v>4449.173890337288</v>
      </c>
      <c r="V118" s="19"/>
      <c r="W118" s="40">
        <f t="shared" si="45"/>
        <v>14.281190680146711</v>
      </c>
      <c r="X118" s="21">
        <f>-(Données!I$50*1E-24*H118+Données!F$50)*W118+Données!F$45*K118</f>
        <v>-1.0415083872378037E-7</v>
      </c>
      <c r="Y118" s="42">
        <f t="shared" si="46"/>
        <v>19624.491249682833</v>
      </c>
      <c r="Z118" s="23">
        <f>-(Données!I$51*1E-24*H118+Données!F$51)*Y118+Données!F$48*Q118</f>
        <v>-1.9520536887433308E-5</v>
      </c>
      <c r="AA118" s="15">
        <f t="shared" si="47"/>
        <v>19638.77244036298</v>
      </c>
      <c r="AB118" s="2"/>
    </row>
    <row r="119" spans="1:28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3169964366479092.5</v>
      </c>
      <c r="I119" s="40">
        <f t="shared" si="38"/>
        <v>3.1366885050025646</v>
      </c>
      <c r="J119" s="21">
        <f>-(Données!I$44*1E-24*H119+Données!F$44)*I119</f>
        <v>-1.8256806648900126E-8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-2.5253038132871268E-6</v>
      </c>
      <c r="M119" s="40">
        <f t="shared" si="40"/>
        <v>1412.4616793457558</v>
      </c>
      <c r="N119" s="21">
        <f>-(Données!I$46*1E-24*H119+Données!F$46)*M119+Données!H$45*1E-24*H119*K119</f>
        <v>2.9148214004199642E-8</v>
      </c>
      <c r="O119" s="42">
        <f t="shared" si="41"/>
        <v>189.16206839430507</v>
      </c>
      <c r="P119" s="23">
        <f>-(Données!I$47*1E-24*H119+Données!F$47)*O119+(Données!H$46*1E-24*H119)*M119</f>
        <v>2.2342774149364233E-8</v>
      </c>
      <c r="Q119" s="40">
        <f t="shared" si="42"/>
        <v>99.984220059244748</v>
      </c>
      <c r="R119" s="43">
        <f>-(Données!I$48*1E-24*H119+Données!F$48)*Q119+Données!H$47*1E-24*H119*O119</f>
        <v>3.2471935263607139E-8</v>
      </c>
      <c r="S119" s="42">
        <f t="shared" si="43"/>
        <v>46.892444892574019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14.007482275980616</v>
      </c>
      <c r="X119" s="21">
        <f>-(Données!I$50*1E-24*H119+Données!F$50)*W119+Données!F$45*K119</f>
        <v>-1.0211364362894463E-7</v>
      </c>
      <c r="Y119" s="42">
        <f t="shared" si="46"/>
        <v>19573.191278742659</v>
      </c>
      <c r="Z119" s="23">
        <f>-(Données!I$51*1E-24*H119+Données!F$51)*Y119+Données!F$48*Q119</f>
        <v>-1.9469508641085E-5</v>
      </c>
      <c r="AA119" s="15">
        <f t="shared" si="47"/>
        <v>19587.198761018641</v>
      </c>
      <c r="AB119" s="2"/>
    </row>
    <row r="120" spans="1:28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3169964366479092.5</v>
      </c>
      <c r="I120" s="40">
        <f t="shared" si="38"/>
        <v>3.088709617129255</v>
      </c>
      <c r="J120" s="21">
        <f>-(Données!I$44*1E-24*H120+Données!F$44)*I120</f>
        <v>-1.7977549949442952E-8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189.22078520476958</v>
      </c>
      <c r="P120" s="23">
        <f>-(Données!I$47*1E-24*H120+Données!F$47)*O120+(Données!H$46*1E-24*H120)*M120</f>
        <v>2.1826104485948499E-8</v>
      </c>
      <c r="Q120" s="40">
        <f t="shared" si="42"/>
        <v>100.0695563051175</v>
      </c>
      <c r="R120" s="43">
        <f>-(Données!I$48*1E-24*H120+Données!F$48)*Q120+Données!H$47*1E-24*H120*O120</f>
        <v>3.2353276339653615E-8</v>
      </c>
      <c r="S120" s="42">
        <f t="shared" si="43"/>
        <v>46.87018080927988</v>
      </c>
      <c r="T120" s="22">
        <f>-(Données!I$49*1E-24*H120+Données!F$49)*S120+Données!F$47*O120</f>
        <v>-8.2399554508522073E-9</v>
      </c>
      <c r="U120" s="28">
        <f t="shared" si="44"/>
        <v>4436.2184581592655</v>
      </c>
      <c r="V120" s="19"/>
      <c r="W120" s="40">
        <f t="shared" si="45"/>
        <v>13.73912762052375</v>
      </c>
      <c r="X120" s="21">
        <f>-(Données!I$50*1E-24*H120+Données!F$50)*W120+Données!F$45*K120</f>
        <v>-1.0011640582677344E-7</v>
      </c>
      <c r="Y120" s="42">
        <f t="shared" si="46"/>
        <v>19522.025410033886</v>
      </c>
      <c r="Z120" s="23">
        <f>-(Données!I$51*1E-24*H120+Données!F$51)*Y120+Données!F$48*Q120</f>
        <v>-1.9418613786663242E-5</v>
      </c>
      <c r="AA120" s="15">
        <f t="shared" si="47"/>
        <v>19535.76453765441</v>
      </c>
      <c r="AB120" s="2"/>
    </row>
    <row r="121" spans="1:28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3169964366479092.5</v>
      </c>
      <c r="I121" s="40">
        <f t="shared" si="38"/>
        <v>3.041464615862119</v>
      </c>
      <c r="J121" s="21">
        <f>-(Données!I$44*1E-24*H121+Données!F$44)*I121</f>
        <v>-1.7702564769408178E-8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9.4572695767917173E-9</v>
      </c>
      <c r="O121" s="42">
        <f t="shared" si="41"/>
        <v>189.27814420735865</v>
      </c>
      <c r="P121" s="23">
        <f>-(Données!I$47*1E-24*H121+Données!F$47)*O121+(Données!H$46*1E-24*H121)*M121</f>
        <v>2.1286340669159111E-8</v>
      </c>
      <c r="Q121" s="40">
        <f t="shared" si="42"/>
        <v>100.15458071533811</v>
      </c>
      <c r="R121" s="43">
        <f>-(Données!I$48*1E-24*H121+Données!F$48)*Q121+Données!H$47*1E-24*H121*O121</f>
        <v>3.2233422119220513E-8</v>
      </c>
      <c r="S121" s="42">
        <f t="shared" si="43"/>
        <v>46.848526206355039</v>
      </c>
      <c r="T121" s="22">
        <f>-(Données!I$49*1E-24*H121+Données!F$49)*S121+Données!F$47*O121</f>
        <v>-8.0140033433145163E-9</v>
      </c>
      <c r="U121" s="28">
        <f t="shared" si="44"/>
        <v>4429.7158825817951</v>
      </c>
      <c r="V121" s="19"/>
      <c r="W121" s="40">
        <f t="shared" si="45"/>
        <v>13.476021706010989</v>
      </c>
      <c r="X121" s="21">
        <f>-(Données!I$50*1E-24*H121+Données!F$50)*W121+Données!F$45*K121</f>
        <v>-9.8158341317921512E-8</v>
      </c>
      <c r="Y121" s="42">
        <f t="shared" si="46"/>
        <v>19470.993293002535</v>
      </c>
      <c r="Z121" s="23">
        <f>-(Données!I$51*1E-24*H121+Données!F$51)*Y121+Données!F$48*Q121</f>
        <v>-1.9367851975471058E-5</v>
      </c>
      <c r="AA121" s="15">
        <f t="shared" si="47"/>
        <v>19484.469314708545</v>
      </c>
      <c r="AB121" s="2"/>
    </row>
    <row r="122" spans="1:28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3169964366479092.5</v>
      </c>
      <c r="I122" s="40">
        <f t="shared" si="38"/>
        <v>2.9949422756481145</v>
      </c>
      <c r="J122" s="21">
        <f>-(Données!I$44*1E-24*H122+Données!F$44)*I122</f>
        <v>-1.7431785771497852E-8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-2.5139575497735842E-6</v>
      </c>
      <c r="M122" s="40">
        <f t="shared" si="40"/>
        <v>1412.6137491767856</v>
      </c>
      <c r="N122" s="21">
        <f>-(Données!I$46*1E-24*H122+Données!F$46)*M122+Données!H$45*1E-24*H122*K122</f>
        <v>-2.5967816788137455E-10</v>
      </c>
      <c r="O122" s="42">
        <f t="shared" si="41"/>
        <v>189.3340847106372</v>
      </c>
      <c r="P122" s="23">
        <f>-(Données!I$47*1E-24*H122+Données!F$47)*O122+(Données!H$46*1E-24*H122)*M122</f>
        <v>2.0724458320416961E-8</v>
      </c>
      <c r="Q122" s="40">
        <f t="shared" si="42"/>
        <v>100.23929014866742</v>
      </c>
      <c r="R122" s="43">
        <f>-(Données!I$48*1E-24*H122+Données!F$48)*Q122+Données!H$47*1E-24*H122*O122</f>
        <v>3.2112293576301121E-8</v>
      </c>
      <c r="S122" s="42">
        <f t="shared" si="43"/>
        <v>46.827465405568809</v>
      </c>
      <c r="T122" s="22">
        <f>-(Données!I$49*1E-24*H122+Données!F$49)*S122+Données!F$47*O122</f>
        <v>-7.7940103259441346E-9</v>
      </c>
      <c r="U122" s="28">
        <f t="shared" si="44"/>
        <v>4423.1970693884859</v>
      </c>
      <c r="V122" s="19"/>
      <c r="W122" s="40">
        <f t="shared" si="45"/>
        <v>13.218061585027492</v>
      </c>
      <c r="X122" s="21">
        <f>-(Données!I$50*1E-24*H122+Données!F$50)*W122+Données!F$45*K122</f>
        <v>-9.6238681486464971E-8</v>
      </c>
      <c r="Y122" s="42">
        <f t="shared" si="46"/>
        <v>19420.094578010998</v>
      </c>
      <c r="Z122" s="23">
        <f>-(Données!I$51*1E-24*H122+Données!F$51)*Y122+Données!F$48*Q122</f>
        <v>-1.9317222859723021E-5</v>
      </c>
      <c r="AA122" s="15">
        <f t="shared" si="47"/>
        <v>19433.312639596024</v>
      </c>
      <c r="AB122" s="2"/>
    </row>
    <row r="123" spans="1:28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3169964366479092.5</v>
      </c>
      <c r="I123" s="40">
        <f t="shared" si="38"/>
        <v>2.9491315426406182</v>
      </c>
      <c r="J123" s="21">
        <f>-(Données!I$44*1E-24*H123+Données!F$44)*I123</f>
        <v>-1.7165148617815432E-8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-2.5100902394903776E-6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189.38854858710326</v>
      </c>
      <c r="P123" s="23">
        <f>-(Données!I$47*1E-24*H123+Données!F$47)*O123+(Données!H$46*1E-24*H123)*M123</f>
        <v>2.0141403932847524E-8</v>
      </c>
      <c r="Q123" s="40">
        <f t="shared" si="42"/>
        <v>100.32368125618594</v>
      </c>
      <c r="R123" s="43">
        <f>-(Données!I$48*1E-24*H123+Données!F$48)*Q123+Données!H$47*1E-24*H123*O123</f>
        <v>3.1989815830368078E-8</v>
      </c>
      <c r="S123" s="42">
        <f t="shared" si="43"/>
        <v>46.806982746432226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12.965146330081062</v>
      </c>
      <c r="X123" s="21">
        <f>-(Données!I$50*1E-24*H123+Données!F$50)*W123+Données!F$45*K123</f>
        <v>-9.4356672798052596E-8</v>
      </c>
      <c r="Y123" s="42">
        <f t="shared" si="46"/>
        <v>19369.328916335646</v>
      </c>
      <c r="Z123" s="23">
        <f>-(Données!I$51*1E-24*H123+Données!F$51)*Y123+Données!F$48*Q123</f>
        <v>-1.926672609254284E-5</v>
      </c>
      <c r="AA123" s="15">
        <f t="shared" si="47"/>
        <v>19382.294062665726</v>
      </c>
      <c r="AB123" s="2"/>
    </row>
    <row r="124" spans="1:28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3169964366479092.5</v>
      </c>
      <c r="I124" s="40">
        <f t="shared" si="38"/>
        <v>2.9040215320729992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-2.5061821398658315E-6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189.44148019663879</v>
      </c>
      <c r="P124" s="23">
        <f>-(Données!I$47*1E-24*H124+Données!F$47)*O124+(Données!H$46*1E-24*H124)*M124</f>
        <v>1.9538095685488306E-8</v>
      </c>
      <c r="Q124" s="40">
        <f t="shared" si="42"/>
        <v>100.40775049218814</v>
      </c>
      <c r="R124" s="43">
        <f>-(Données!I$48*1E-24*H124+Données!F$48)*Q124+Données!H$47*1E-24*H124*O124</f>
        <v>3.1865918011477107E-8</v>
      </c>
      <c r="S124" s="42">
        <f t="shared" si="43"/>
        <v>46.787062596239522</v>
      </c>
      <c r="T124" s="22">
        <f>-(Données!I$49*1E-24*H124+Données!F$49)*S124+Données!F$47*O124</f>
        <v>-7.3718556342153351E-9</v>
      </c>
      <c r="U124" s="28">
        <f t="shared" si="44"/>
        <v>4410.1117266487308</v>
      </c>
      <c r="V124" s="19"/>
      <c r="W124" s="40">
        <f t="shared" si="45"/>
        <v>12.717176993967779</v>
      </c>
      <c r="X124" s="21">
        <f>-(Données!I$50*1E-24*H124+Données!F$50)*W124+Données!F$45*K124</f>
        <v>-9.251157650398001E-8</v>
      </c>
      <c r="Y124" s="42">
        <f t="shared" si="46"/>
        <v>19318.695960164445</v>
      </c>
      <c r="Z124" s="23">
        <f>-(Données!I$51*1E-24*H124+Données!F$51)*Y124+Données!F$48*Q124</f>
        <v>-1.9216361327961004E-5</v>
      </c>
      <c r="AA124" s="15">
        <f t="shared" si="47"/>
        <v>19331.413137158412</v>
      </c>
      <c r="AB124" s="2"/>
    </row>
    <row r="125" spans="1:28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3169964366479092.5</v>
      </c>
      <c r="I125" s="40">
        <f t="shared" si="38"/>
        <v>2.8596015256723657</v>
      </c>
      <c r="J125" s="21">
        <f>-(Données!I$44*1E-24*H125+Données!F$44)*I125</f>
        <v>-1.6644047397067726E-8</v>
      </c>
      <c r="K125" s="42">
        <f t="shared" si="39"/>
        <v>2651.398093417426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189.49282631210025</v>
      </c>
      <c r="P125" s="23">
        <f>-(Données!I$47*1E-24*H125+Données!F$47)*O125+(Données!H$46*1E-24*H125)*M125</f>
        <v>1.8915424234977935E-8</v>
      </c>
      <c r="Q125" s="40">
        <f t="shared" si="42"/>
        <v>100.49149412472231</v>
      </c>
      <c r="R125" s="43">
        <f>-(Données!I$48*1E-24*H125+Données!F$48)*Q125+Données!H$47*1E-24*H125*O125</f>
        <v>3.1740533129259973E-8</v>
      </c>
      <c r="S125" s="42">
        <f t="shared" si="43"/>
        <v>46.767689359632804</v>
      </c>
      <c r="T125" s="22">
        <f>-(Données!I$49*1E-24*H125+Données!F$49)*S125+Données!F$47*O125</f>
        <v>-7.1696620723799932E-9</v>
      </c>
      <c r="U125" s="28">
        <f t="shared" si="44"/>
        <v>4403.545691322819</v>
      </c>
      <c r="V125" s="19"/>
      <c r="W125" s="40">
        <f t="shared" si="45"/>
        <v>12.474056570915319</v>
      </c>
      <c r="X125" s="21">
        <f>-(Données!I$50*1E-24*H125+Données!F$50)*W125+Données!F$45*K125</f>
        <v>-9.0702668351070131E-8</v>
      </c>
      <c r="Y125" s="42">
        <f t="shared" si="46"/>
        <v>19268.195362594564</v>
      </c>
      <c r="Z125" s="23">
        <f>-(Données!I$51*1E-24*H125+Données!F$51)*Y125+Données!F$48*Q125</f>
        <v>-1.9166128220912406E-5</v>
      </c>
      <c r="AA125" s="15">
        <f t="shared" si="47"/>
        <v>19280.669419165479</v>
      </c>
      <c r="AB125" s="2"/>
    </row>
    <row r="126" spans="1:28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3169964366479092.5</v>
      </c>
      <c r="I126" s="40">
        <f t="shared" si="38"/>
        <v>2.8158609691128715</v>
      </c>
      <c r="J126" s="21">
        <f>-(Données!I$44*1E-24*H126+Données!F$44)*I126</f>
        <v>-1.6389459514800052E-8</v>
      </c>
      <c r="K126" s="42">
        <f t="shared" si="39"/>
        <v>2644.8222216448476</v>
      </c>
      <c r="L126" s="23">
        <f>-(Données!I$45*1E-24*H126+Données!F$45)*K126+(I126*Données!H$44*1E-24*H126)+(Données!H$51*1E-24*H126)*Y126</f>
        <v>-2.4982477973371629E-6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189.54253604698977</v>
      </c>
      <c r="P126" s="23">
        <f>-(Données!I$47*1E-24*H126+Données!F$47)*O126+(Données!H$46*1E-24*H126)*M126</f>
        <v>1.8274253485340548E-8</v>
      </c>
      <c r="Q126" s="40">
        <f t="shared" si="42"/>
        <v>100.57490824578601</v>
      </c>
      <c r="R126" s="43">
        <f>-(Données!I$48*1E-24*H126+Données!F$48)*Q126+Données!H$47*1E-24*H126*O126</f>
        <v>3.1613597945698232E-8</v>
      </c>
      <c r="S126" s="42">
        <f t="shared" si="43"/>
        <v>46.748847487706591</v>
      </c>
      <c r="T126" s="22">
        <f>-(Données!I$49*1E-24*H126+Données!F$49)*S126+Données!F$47*O126</f>
        <v>-6.9733641698319481E-9</v>
      </c>
      <c r="U126" s="28">
        <f t="shared" si="44"/>
        <v>4396.9644068165853</v>
      </c>
      <c r="V126" s="19"/>
      <c r="W126" s="40">
        <f t="shared" si="45"/>
        <v>12.235689958488708</v>
      </c>
      <c r="X126" s="21">
        <f>-(Données!I$50*1E-24*H126+Données!F$50)*W126+Données!F$45*K126</f>
        <v>-8.8929238297246511E-8</v>
      </c>
      <c r="Y126" s="42">
        <f t="shared" si="46"/>
        <v>19217.826777630005</v>
      </c>
      <c r="Z126" s="23">
        <f>-(Données!I$51*1E-24*H126+Données!F$51)*Y126+Données!F$48*Q126</f>
        <v>-1.9116026427233972E-5</v>
      </c>
      <c r="AA126" s="15">
        <f t="shared" si="47"/>
        <v>19230.062467588494</v>
      </c>
      <c r="AB126" s="2"/>
    </row>
    <row r="127" spans="1:28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3169964366479092.5</v>
      </c>
      <c r="I127" s="40">
        <f t="shared" si="38"/>
        <v>2.7727894695079769</v>
      </c>
      <c r="J127" s="21">
        <f>-(Données!I$44*1E-24*H127+Données!F$44)*I127</f>
        <v>-1.6138765816936643E-8</v>
      </c>
      <c r="K127" s="42">
        <f t="shared" si="39"/>
        <v>2638.2568264334454</v>
      </c>
      <c r="L127" s="23">
        <f>-(Données!I$45*1E-24*H127+Données!F$45)*K127+(I127*Données!H$44*1E-24*H127)+(Données!H$51*1E-24*H127)*Y127</f>
        <v>-2.4942236156086927E-6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189.59056078514925</v>
      </c>
      <c r="P127" s="23">
        <f>-(Données!I$47*1E-24*H127+Données!F$47)*O127+(Données!H$46*1E-24*H127)*M127</f>
        <v>1.7615421336489325E-8</v>
      </c>
      <c r="Q127" s="40">
        <f t="shared" si="42"/>
        <v>100.6579887811873</v>
      </c>
      <c r="R127" s="43">
        <f>-(Données!I$48*1E-24*H127+Données!F$48)*Q127+Données!H$47*1E-24*H127*O127</f>
        <v>3.148505285157132E-8</v>
      </c>
      <c r="S127" s="42">
        <f t="shared" si="43"/>
        <v>46.730521486668273</v>
      </c>
      <c r="T127" s="22">
        <f>-(Données!I$49*1E-24*H127+Données!F$49)*S127+Données!F$47*O127</f>
        <v>-6.7829378227414965E-9</v>
      </c>
      <c r="U127" s="28">
        <f t="shared" si="44"/>
        <v>4390.3681162019993</v>
      </c>
      <c r="V127" s="19"/>
      <c r="W127" s="40">
        <f t="shared" si="45"/>
        <v>12.001983920243545</v>
      </c>
      <c r="X127" s="21">
        <f>-(Données!I$50*1E-24*H127+Données!F$50)*W127+Données!F$45*K127</f>
        <v>-8.7190590232687307E-8</v>
      </c>
      <c r="Y127" s="42">
        <f t="shared" si="46"/>
        <v>19167.589860179236</v>
      </c>
      <c r="Z127" s="23">
        <f>-(Données!I$51*1E-24*H127+Données!F$51)*Y127+Données!F$48*Q127</f>
        <v>-1.9066055603662317E-5</v>
      </c>
      <c r="AA127" s="15">
        <f t="shared" si="47"/>
        <v>19179.591844099479</v>
      </c>
      <c r="AB127" s="2"/>
    </row>
    <row r="128" spans="1:28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3169964366479092.5</v>
      </c>
      <c r="I128" s="40">
        <f t="shared" si="38"/>
        <v>2.7303767929410672</v>
      </c>
      <c r="J128" s="21">
        <f>-(Données!I$44*1E-24*H128+Données!F$44)*I128</f>
        <v>-1.5891906737908082E-8</v>
      </c>
      <c r="K128" s="42">
        <f t="shared" si="39"/>
        <v>2631.7020067716257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-5.6790749361885759E-8</v>
      </c>
      <c r="O128" s="42">
        <f t="shared" si="41"/>
        <v>189.63685411242153</v>
      </c>
      <c r="P128" s="23">
        <f>-(Données!I$47*1E-24*H128+Données!F$47)*O128+(Données!H$46*1E-24*H128)*M128</f>
        <v>1.6939740412020914E-8</v>
      </c>
      <c r="Q128" s="40">
        <f t="shared" si="42"/>
        <v>100.74073150008122</v>
      </c>
      <c r="R128" s="43">
        <f>-(Données!I$48*1E-24*H128+Données!F$48)*Q128+Données!H$47*1E-24*H128*O128</f>
        <v>3.1354841746478236E-8</v>
      </c>
      <c r="S128" s="42">
        <f t="shared" si="43"/>
        <v>46.712695926070111</v>
      </c>
      <c r="T128" s="22">
        <f>-(Données!I$49*1E-24*H128+Données!F$49)*S128+Données!F$47*O128</f>
        <v>-6.5983559521575525E-9</v>
      </c>
      <c r="U128" s="28">
        <f t="shared" si="44"/>
        <v>4383.757060932372</v>
      </c>
      <c r="V128" s="19"/>
      <c r="W128" s="40">
        <f t="shared" si="45"/>
        <v>11.772847049112043</v>
      </c>
      <c r="X128" s="21">
        <f>-(Données!I$50*1E-24*H128+Données!F$50)*W128+Données!F$45*K128</f>
        <v>-8.5486041706450722E-8</v>
      </c>
      <c r="Y128" s="42">
        <f t="shared" si="46"/>
        <v>19117.484266052812</v>
      </c>
      <c r="Z128" s="23">
        <f>-(Données!I$51*1E-24*H128+Données!F$51)*Y128+Données!F$48*Q128</f>
        <v>-1.9016215407831372E-5</v>
      </c>
      <c r="AA128" s="15">
        <f t="shared" si="47"/>
        <v>19129.257113101925</v>
      </c>
      <c r="AB128" s="2"/>
    </row>
    <row r="129" spans="1:28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3169964366479092.5</v>
      </c>
      <c r="I129" s="40">
        <f t="shared" si="38"/>
        <v>2.6886128620338448</v>
      </c>
      <c r="J129" s="21">
        <f>-(Données!I$44*1E-24*H129+Données!F$44)*I129</f>
        <v>-1.5648823623261808E-8</v>
      </c>
      <c r="K129" s="42">
        <f t="shared" si="39"/>
        <v>2625.1578590182216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-6.5921766007621653E-8</v>
      </c>
      <c r="O129" s="42">
        <f t="shared" si="41"/>
        <v>189.68137175022432</v>
      </c>
      <c r="P129" s="23">
        <f>-(Données!I$47*1E-24*H129+Données!F$47)*O129+(Données!H$46*1E-24*H129)*M129</f>
        <v>1.6247998766887319E-8</v>
      </c>
      <c r="Q129" s="40">
        <f t="shared" si="42"/>
        <v>100.82313202419097</v>
      </c>
      <c r="R129" s="43">
        <f>-(Données!I$48*1E-24*H129+Données!F$48)*Q129+Données!H$47*1E-24*H129*O129</f>
        <v>3.1222911922331062E-8</v>
      </c>
      <c r="S129" s="42">
        <f t="shared" si="43"/>
        <v>46.695355446627843</v>
      </c>
      <c r="T129" s="22">
        <f>-(Données!I$49*1E-24*H129+Données!F$49)*S129+Données!F$47*O129</f>
        <v>-6.4195886557344885E-9</v>
      </c>
      <c r="U129" s="28">
        <f t="shared" si="44"/>
        <v>4377.1314808412089</v>
      </c>
      <c r="V129" s="19"/>
      <c r="W129" s="40">
        <f t="shared" si="45"/>
        <v>11.54818973150749</v>
      </c>
      <c r="X129" s="21">
        <f>-(Données!I$50*1E-24*H129+Données!F$50)*W129+Données!F$45*K129</f>
        <v>-8.3814923658464592E-8</v>
      </c>
      <c r="Y129" s="42">
        <f t="shared" si="46"/>
        <v>19067.509651961031</v>
      </c>
      <c r="Z129" s="23">
        <f>-(Données!I$51*1E-24*H129+Données!F$51)*Y129+Données!F$48*Q129</f>
        <v>-1.8966505498270061E-5</v>
      </c>
      <c r="AA129" s="15">
        <f t="shared" si="47"/>
        <v>19079.057841692538</v>
      </c>
      <c r="AB129" s="2"/>
    </row>
    <row r="130" spans="1:28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3169964366479092.5</v>
      </c>
      <c r="I130" s="40">
        <f t="shared" si="38"/>
        <v>2.6474877535519128</v>
      </c>
      <c r="J130" s="21">
        <f>-(Données!I$44*1E-24*H130+Données!F$44)*I130</f>
        <v>-1.5409458715725648E-8</v>
      </c>
      <c r="K130" s="42">
        <f t="shared" si="39"/>
        <v>2618.624476953722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-7.4970913467873861E-8</v>
      </c>
      <c r="O130" s="42">
        <f t="shared" si="41"/>
        <v>189.7240714909837</v>
      </c>
      <c r="P130" s="23">
        <f>-(Données!I$47*1E-24*H130+Données!F$47)*O130+(Données!H$46*1E-24*H130)*M130</f>
        <v>1.5540960575495394E-8</v>
      </c>
      <c r="Q130" s="40">
        <f t="shared" si="42"/>
        <v>100.90518583672285</v>
      </c>
      <c r="R130" s="43">
        <f>-(Données!I$48*1E-24*H130+Données!F$48)*Q130+Données!H$47*1E-24*H130*O130</f>
        <v>3.1089213950224377E-8</v>
      </c>
      <c r="S130" s="42">
        <f t="shared" si="43"/>
        <v>46.678484767640576</v>
      </c>
      <c r="T130" s="22">
        <f>-(Données!I$49*1E-24*H130+Données!F$49)*S130+Données!F$47*O130</f>
        <v>-6.2466033540652831E-9</v>
      </c>
      <c r="U130" s="28">
        <f t="shared" si="44"/>
        <v>4370.4916141414633</v>
      </c>
      <c r="V130" s="19"/>
      <c r="W130" s="40">
        <f t="shared" si="45"/>
        <v>11.327924112133045</v>
      </c>
      <c r="X130" s="21">
        <f>-(Données!I$50*1E-24*H130+Données!F$50)*W130+Données!F$45*K130</f>
        <v>-8.2176580156774675E-8</v>
      </c>
      <c r="Y130" s="42">
        <f t="shared" si="46"/>
        <v>19017.665675511576</v>
      </c>
      <c r="Z130" s="23">
        <f>-(Données!I$51*1E-24*H130+Données!F$51)*Y130+Données!F$48*Q130</f>
        <v>-1.8916925534399934E-5</v>
      </c>
      <c r="AA130" s="15">
        <f t="shared" si="47"/>
        <v>19028.993599623711</v>
      </c>
      <c r="AB130" s="2"/>
    </row>
    <row r="131" spans="1:28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3169964366479092.5</v>
      </c>
      <c r="I131" s="40">
        <f t="shared" si="38"/>
        <v>2.6069916960469857</v>
      </c>
      <c r="J131" s="21">
        <f>-(Données!I$44*1E-24*H131+Données!F$44)*I131</f>
        <v>-1.5173755141484511E-8</v>
      </c>
      <c r="K131" s="42">
        <f t="shared" si="39"/>
        <v>2612.101951830537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-8.3938651971126106E-8</v>
      </c>
      <c r="O131" s="42">
        <f t="shared" si="41"/>
        <v>189.7649131353761</v>
      </c>
      <c r="P131" s="23">
        <f>-(Données!I$47*1E-24*H131+Données!F$47)*O131+(Données!H$46*1E-24*H131)*M131</f>
        <v>1.481936680078156E-8</v>
      </c>
      <c r="Q131" s="40">
        <f t="shared" si="42"/>
        <v>100.98688829098404</v>
      </c>
      <c r="R131" s="43">
        <f>-(Données!I$48*1E-24*H131+Données!F$48)*Q131+Données!H$47*1E-24*H131*O131</f>
        <v>3.0953701570586197E-8</v>
      </c>
      <c r="S131" s="42">
        <f t="shared" si="43"/>
        <v>46.66206869402609</v>
      </c>
      <c r="T131" s="22">
        <f>-(Données!I$49*1E-24*H131+Données!F$49)*S131+Données!F$47*O131</f>
        <v>-6.0793649317906453E-9</v>
      </c>
      <c r="U131" s="28">
        <f t="shared" si="44"/>
        <v>4363.8376974252178</v>
      </c>
      <c r="V131" s="19"/>
      <c r="W131" s="40">
        <f t="shared" si="45"/>
        <v>11.111964059481041</v>
      </c>
      <c r="X131" s="21">
        <f>-(Données!I$50*1E-24*H131+Données!F$50)*W131+Données!F$45*K131</f>
        <v>-8.0570368139948369E-8</v>
      </c>
      <c r="Y131" s="42">
        <f t="shared" si="46"/>
        <v>18967.951995207175</v>
      </c>
      <c r="Z131" s="23">
        <f>-(Données!I$51*1E-24*H131+Données!F$51)*Y131+Données!F$48*Q131</f>
        <v>-1.8867475176532861E-5</v>
      </c>
      <c r="AA131" s="15">
        <f t="shared" si="47"/>
        <v>18979.063959266656</v>
      </c>
      <c r="AB131" s="2"/>
    </row>
    <row r="132" spans="1:28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3169964366479092.5</v>
      </c>
      <c r="I132" s="40">
        <f t="shared" si="38"/>
        <v>2.5671150675351644</v>
      </c>
      <c r="J132" s="21">
        <f>-(Données!I$44*1E-24*H132+Données!F$44)*I132</f>
        <v>-1.4941656896667005E-8</v>
      </c>
      <c r="K132" s="42">
        <f t="shared" si="39"/>
        <v>2605.5903724223208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189.80385843132856</v>
      </c>
      <c r="P132" s="23">
        <f>-(Données!I$47*1E-24*H132+Données!F$47)*O132+(Données!H$46*1E-24*H132)*M132</f>
        <v>1.4083935844780539E-8</v>
      </c>
      <c r="Q132" s="40">
        <f t="shared" si="42"/>
        <v>101.06823461871154</v>
      </c>
      <c r="R132" s="43">
        <f>-(Données!I$48*1E-24*H132+Données!F$48)*Q132+Données!H$47*1E-24*H132*O132</f>
        <v>3.081633158651858E-8</v>
      </c>
      <c r="S132" s="42">
        <f t="shared" si="43"/>
        <v>46.646092122985344</v>
      </c>
      <c r="T132" s="22">
        <f>-(Données!I$49*1E-24*H132+Données!F$49)*S132+Données!F$47*O132</f>
        <v>-5.9178358736476464E-9</v>
      </c>
      <c r="U132" s="28">
        <f t="shared" si="44"/>
        <v>4357.1699656637493</v>
      </c>
      <c r="V132" s="19"/>
      <c r="W132" s="40">
        <f t="shared" si="45"/>
        <v>10.900225132009256</v>
      </c>
      <c r="X132" s="21">
        <f>-(Données!I$50*1E-24*H132+Données!F$50)*W132+Données!F$45*K132</f>
        <v>-7.899565716453324E-8</v>
      </c>
      <c r="Y132" s="42">
        <f t="shared" si="46"/>
        <v>18918.368270443247</v>
      </c>
      <c r="Z132" s="23">
        <f>-(Données!I$51*1E-24*H132+Données!F$51)*Y132+Données!F$48*Q132</f>
        <v>-1.8818154085868683E-5</v>
      </c>
      <c r="AA132" s="15">
        <f t="shared" si="47"/>
        <v>18929.268495575256</v>
      </c>
      <c r="AB132" s="2"/>
    </row>
    <row r="133" spans="1:28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3169964366479092.5</v>
      </c>
      <c r="I133" s="40">
        <f t="shared" si="38"/>
        <v>2.5278483932107236</v>
      </c>
      <c r="J133" s="21">
        <f>-(Données!I$44*1E-24*H133+Données!F$44)*I133</f>
        <v>-1.4713108834038753E-8</v>
      </c>
      <c r="K133" s="42">
        <f t="shared" si="39"/>
        <v>2599.0898250723685</v>
      </c>
      <c r="L133" s="23">
        <f>-(Données!I$45*1E-24*H133+Données!F$45)*K133+(I133*Données!H$44*1E-24*H133)+(Données!H$51*1E-24*H133)*Y133</f>
        <v>-2.4693422112886368E-6</v>
      </c>
      <c r="M133" s="40">
        <f t="shared" si="40"/>
        <v>1411.2503477392258</v>
      </c>
      <c r="N133" s="21">
        <f>-(Données!I$46*1E-24*H133+Données!F$46)*M133+Données!H$45*1E-24*H133*K133</f>
        <v>-1.0163174434442008E-7</v>
      </c>
      <c r="O133" s="42">
        <f t="shared" si="41"/>
        <v>189.84087101472863</v>
      </c>
      <c r="P133" s="23">
        <f>-(Données!I$47*1E-24*H133+Données!F$47)*O133+(Données!H$46*1E-24*H133)*M133</f>
        <v>1.3335364181211585E-8</v>
      </c>
      <c r="Q133" s="40">
        <f t="shared" si="42"/>
        <v>101.14921993812091</v>
      </c>
      <c r="R133" s="43">
        <f>-(Données!I$48*1E-24*H133+Données!F$48)*Q133+Données!H$47*1E-24*H133*O133</f>
        <v>3.0677063760238799E-8</v>
      </c>
      <c r="S133" s="42">
        <f t="shared" si="43"/>
        <v>46.630540050309399</v>
      </c>
      <c r="T133" s="22">
        <f>-(Données!I$49*1E-24*H133+Données!F$49)*S133+Données!F$47*O133</f>
        <v>-5.7619763956177374E-9</v>
      </c>
      <c r="U133" s="28">
        <f t="shared" si="44"/>
        <v>4350.4886522079642</v>
      </c>
      <c r="V133" s="19"/>
      <c r="W133" s="40">
        <f t="shared" si="45"/>
        <v>10.692624544980863</v>
      </c>
      <c r="X133" s="21">
        <f>-(Données!I$50*1E-24*H133+Données!F$50)*W133+Données!F$45*K133</f>
        <v>-7.7451829157470439E-8</v>
      </c>
      <c r="Y133" s="42">
        <f t="shared" si="46"/>
        <v>18868.914161505585</v>
      </c>
      <c r="Z133" s="23">
        <f>-(Données!I$51*1E-24*H133+Données!F$51)*Y133+Données!F$48*Q133</f>
        <v>-1.876896192449291E-5</v>
      </c>
      <c r="AA133" s="15">
        <f t="shared" si="47"/>
        <v>18879.606786050565</v>
      </c>
    </row>
    <row r="134" spans="1:28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3169964366479092.5</v>
      </c>
      <c r="I134" s="40">
        <f t="shared" si="38"/>
        <v>2.4891823431948699</v>
      </c>
      <c r="J134" s="21">
        <f>-(Données!I$44*1E-24*H134+Données!F$44)*I134</f>
        <v>-1.4488056649899236E-8</v>
      </c>
      <c r="K134" s="42">
        <f t="shared" si="39"/>
        <v>2592.6003937411019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-1.1035801977934581E-7</v>
      </c>
      <c r="O134" s="42">
        <f t="shared" si="41"/>
        <v>189.87591635179686</v>
      </c>
      <c r="P134" s="23">
        <f>-(Données!I$47*1E-24*H134+Données!F$47)*O134+(Données!H$46*1E-24*H134)*M134</f>
        <v>1.257432697056755E-8</v>
      </c>
      <c r="Q134" s="40">
        <f t="shared" si="42"/>
        <v>101.22983926168281</v>
      </c>
      <c r="R134" s="43">
        <f>-(Données!I$48*1E-24*H134+Données!F$48)*Q134+Données!H$47*1E-24*H134*O134</f>
        <v>3.0535860712533881E-8</v>
      </c>
      <c r="S134" s="42">
        <f t="shared" si="43"/>
        <v>46.615397576341714</v>
      </c>
      <c r="T134" s="22">
        <f>-(Données!I$49*1E-24*H134+Données!F$49)*S134+Données!F$47*O134</f>
        <v>-5.6117445713280991E-9</v>
      </c>
      <c r="U134" s="28">
        <f t="shared" si="44"/>
        <v>4343.7939887892071</v>
      </c>
      <c r="V134" s="19"/>
      <c r="W134" s="40">
        <f t="shared" si="45"/>
        <v>10.489081137955031</v>
      </c>
      <c r="X134" s="21">
        <f>-(Données!I$50*1E-24*H134+Données!F$50)*W134+Données!F$45*K134</f>
        <v>-7.5938278173366393E-8</v>
      </c>
      <c r="Y134" s="42">
        <f t="shared" si="46"/>
        <v>18819.589329568018</v>
      </c>
      <c r="Z134" s="23">
        <f>-(Données!I$51*1E-24*H134+Données!F$51)*Y134+Données!F$48*Q134</f>
        <v>-1.8719898355374372E-5</v>
      </c>
      <c r="AA134" s="15">
        <f t="shared" si="47"/>
        <v>18830.078410705974</v>
      </c>
    </row>
    <row r="135" spans="1:28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3169964366479092.5</v>
      </c>
      <c r="I135" s="40">
        <f t="shared" si="38"/>
        <v>2.4511077303189346</v>
      </c>
      <c r="J135" s="21">
        <f>-(Données!I$44*1E-24*H135+Données!F$44)*I135</f>
        <v>-1.4266446871179081E-8</v>
      </c>
      <c r="K135" s="42">
        <f t="shared" si="39"/>
        <v>2586.1221600526655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-1.1900472924736893E-7</v>
      </c>
      <c r="O135" s="42">
        <f t="shared" si="41"/>
        <v>189.90896168307552</v>
      </c>
      <c r="P135" s="23">
        <f>-(Données!I$47*1E-24*H135+Données!F$47)*O135+(Données!H$46*1E-24*H135)*M135</f>
        <v>1.1801478658203576E-8</v>
      </c>
      <c r="Q135" s="40">
        <f t="shared" si="42"/>
        <v>101.31008750363536</v>
      </c>
      <c r="R135" s="43">
        <f>-(Données!I$48*1E-24*H135+Données!F$48)*Q135+Données!H$47*1E-24*H135*O135</f>
        <v>3.0392687825145671E-8</v>
      </c>
      <c r="S135" s="42">
        <f t="shared" si="43"/>
        <v>46.600649911608265</v>
      </c>
      <c r="T135" s="22">
        <f>-(Données!I$49*1E-24*H135+Données!F$49)*S135+Données!F$47*O135</f>
        <v>-5.4670964538575737E-9</v>
      </c>
      <c r="U135" s="28">
        <f t="shared" si="44"/>
        <v>4337.0862055204125</v>
      </c>
      <c r="V135" s="19"/>
      <c r="W135" s="40">
        <f t="shared" si="45"/>
        <v>10.289515342915424</v>
      </c>
      <c r="X135" s="21">
        <f>-(Données!I$50*1E-24*H135+Données!F$50)*W135+Données!F$45*K135</f>
        <v>-7.4454410156527101E-8</v>
      </c>
      <c r="Y135" s="42">
        <f t="shared" si="46"/>
        <v>18770.393436690094</v>
      </c>
      <c r="Z135" s="23">
        <f>-(Données!I$51*1E-24*H135+Données!F$51)*Y135+Données!F$48*Q135</f>
        <v>-1.867096304236295E-5</v>
      </c>
      <c r="AA135" s="15">
        <f t="shared" si="47"/>
        <v>18780.68295203301</v>
      </c>
    </row>
    <row r="136" spans="1:28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3169964366479092.5</v>
      </c>
      <c r="I136" s="40">
        <f t="shared" si="38"/>
        <v>2.4136155079414761</v>
      </c>
      <c r="J136" s="21">
        <f>-(Données!I$44*1E-24*H136+Données!F$44)*I136</f>
        <v>-1.4048226842734699E-8</v>
      </c>
      <c r="K136" s="42">
        <f t="shared" si="39"/>
        <v>2579.6552033406451</v>
      </c>
      <c r="L136" s="23">
        <f>-(Données!I$45*1E-24*H136+Données!F$45)*K136+(I136*Données!H$44*1E-24*H136)+(Données!H$51*1E-24*H136)*Y136</f>
        <v>-2.4564698050670704E-6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189.93997596898927</v>
      </c>
      <c r="P136" s="23">
        <f>-(Données!I$47*1E-24*H136+Données!F$47)*O136+(Données!H$46*1E-24*H136)*M136</f>
        <v>1.1017453555885357E-8</v>
      </c>
      <c r="Q136" s="40">
        <f t="shared" si="42"/>
        <v>101.38995948723984</v>
      </c>
      <c r="R136" s="43">
        <f>-(Données!I$48*1E-24*H136+Données!F$48)*Q136+Données!H$47*1E-24*H136*O136</f>
        <v>3.0247513146002726E-8</v>
      </c>
      <c r="S136" s="42">
        <f t="shared" si="43"/>
        <v>46.586282382127528</v>
      </c>
      <c r="T136" s="22">
        <f>-(Données!I$49*1E-24*H136+Données!F$49)*S136+Données!F$47*O136</f>
        <v>-5.3279861930905392E-9</v>
      </c>
      <c r="U136" s="28">
        <f t="shared" si="44"/>
        <v>4330.3655308975895</v>
      </c>
      <c r="V136" s="19"/>
      <c r="W136" s="40">
        <f t="shared" si="45"/>
        <v>10.09384915302407</v>
      </c>
      <c r="X136" s="21">
        <f>-(Données!I$50*1E-24*H136+Données!F$50)*W136+Données!F$45*K136</f>
        <v>-7.29996427076617E-8</v>
      </c>
      <c r="Y136" s="42">
        <f t="shared" si="46"/>
        <v>18721.326145814764</v>
      </c>
      <c r="Z136" s="23">
        <f>-(Données!I$51*1E-24*H136+Données!F$51)*Y136+Données!F$48*Q136</f>
        <v>-1.8622155650187247E-5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A26" sqref="A26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tabSelected="1" zoomScale="115" zoomScaleNormal="11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E32" sqref="E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D32" sqref="D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opLeftCell="B1" zoomScale="85" zoomScaleNormal="85" workbookViewId="0">
      <selection activeCell="G38" sqref="G3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G29" sqref="G2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2014-08-11T11:59:51Z</dcterms:modified>
</cp:coreProperties>
</file>