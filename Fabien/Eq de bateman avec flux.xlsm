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AB4" i="2" l="1"/>
  <c r="Q51" i="1"/>
  <c r="I54" i="1" l="1"/>
  <c r="AB21" i="2"/>
  <c r="AB18" i="2"/>
  <c r="AB10" i="2"/>
  <c r="L58" i="1"/>
  <c r="L57" i="1"/>
  <c r="K57" i="1"/>
  <c r="L54" i="1"/>
  <c r="K58" i="1" l="1"/>
  <c r="P2" i="2"/>
  <c r="AB12" i="2" s="1"/>
  <c r="AB16" i="2"/>
  <c r="AB8" i="2"/>
  <c r="AB6" i="2"/>
  <c r="K61" i="1"/>
  <c r="K62" i="1" s="1"/>
  <c r="L55" i="1"/>
  <c r="K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1" i="1"/>
  <c r="H17" i="1"/>
  <c r="H12" i="1"/>
  <c r="H16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<sst xmlns="http://schemas.openxmlformats.org/spreadsheetml/2006/main" count="213" uniqueCount="146">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</sst>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7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306560"/>
        <c:axId val="80308096"/>
      </c:barChart>
      <c:catAx>
        <c:axId val="8030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80308096"/>
        <c:crosses val="autoZero"/>
        <c:auto val="1"/>
        <c:lblAlgn val="ctr"/>
        <c:lblOffset val="100"/>
        <c:noMultiLvlLbl val="0"/>
      </c:catAx>
      <c:valAx>
        <c:axId val="8030809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0306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333056"/>
        <c:axId val="80338944"/>
      </c:barChart>
      <c:catAx>
        <c:axId val="80333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0338944"/>
        <c:crosses val="autoZero"/>
        <c:auto val="1"/>
        <c:lblAlgn val="ctr"/>
        <c:lblOffset val="100"/>
        <c:noMultiLvlLbl val="0"/>
      </c:catAx>
      <c:valAx>
        <c:axId val="803389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80333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34944"/>
        <c:axId val="101249408"/>
      </c:scatterChart>
      <c:valAx>
        <c:axId val="1012349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249408"/>
        <c:crosses val="autoZero"/>
        <c:crossBetween val="midCat"/>
      </c:valAx>
      <c:valAx>
        <c:axId val="10124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234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12544"/>
        <c:axId val="101614720"/>
      </c:scatterChart>
      <c:valAx>
        <c:axId val="1016125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614720"/>
        <c:crosses val="autoZero"/>
        <c:crossBetween val="midCat"/>
      </c:valAx>
      <c:valAx>
        <c:axId val="10161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612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95488"/>
        <c:axId val="101697408"/>
      </c:scatterChart>
      <c:valAx>
        <c:axId val="1016954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697408"/>
        <c:crosses val="autoZero"/>
        <c:crossBetween val="midCat"/>
      </c:valAx>
      <c:valAx>
        <c:axId val="101697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695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46944"/>
        <c:axId val="101753216"/>
      </c:scatterChart>
      <c:valAx>
        <c:axId val="1017469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753216"/>
        <c:crosses val="autoZero"/>
        <c:crossBetween val="midCat"/>
      </c:valAx>
      <c:valAx>
        <c:axId val="10175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746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39232"/>
        <c:axId val="102253696"/>
      </c:scatterChart>
      <c:valAx>
        <c:axId val="10223923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253696"/>
        <c:crosses val="autoZero"/>
        <c:crossBetween val="midCat"/>
      </c:valAx>
      <c:valAx>
        <c:axId val="10225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239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91712"/>
        <c:axId val="102306176"/>
      </c:scatterChart>
      <c:valAx>
        <c:axId val="1022917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306176"/>
        <c:crosses val="autoZero"/>
        <c:crossBetween val="midCat"/>
      </c:valAx>
      <c:valAx>
        <c:axId val="10230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29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57248"/>
        <c:axId val="101990784"/>
      </c:scatterChart>
      <c:valAx>
        <c:axId val="1023572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990784"/>
        <c:crosses val="autoZero"/>
        <c:crossBetween val="midCat"/>
      </c:valAx>
      <c:valAx>
        <c:axId val="10199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2357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33440"/>
        <c:axId val="102343808"/>
      </c:scatterChart>
      <c:valAx>
        <c:axId val="1023334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343808"/>
        <c:crosses val="autoZero"/>
        <c:crossBetween val="midCat"/>
      </c:valAx>
      <c:valAx>
        <c:axId val="10234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333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84608"/>
        <c:axId val="102086528"/>
      </c:scatterChart>
      <c:valAx>
        <c:axId val="1020846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086528"/>
        <c:crosses val="autoZero"/>
        <c:crossBetween val="midCat"/>
      </c:valAx>
      <c:valAx>
        <c:axId val="102086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084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14368"/>
        <c:axId val="102716160"/>
      </c:areaChart>
      <c:catAx>
        <c:axId val="10271436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02716160"/>
        <c:crosses val="autoZero"/>
        <c:auto val="1"/>
        <c:lblAlgn val="ctr"/>
        <c:lblOffset val="100"/>
        <c:noMultiLvlLbl val="0"/>
      </c:catAx>
      <c:valAx>
        <c:axId val="1027161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2714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93"/>
  <sheetViews>
    <sheetView tabSelected="1" topLeftCell="A10" zoomScale="70" zoomScaleNormal="70" workbookViewId="0">
      <selection activeCell="B35" sqref="B35"/>
    </sheetView>
  </sheetViews>
  <sheetFormatPr baseColWidth="10" defaultColWidth="16.25" defaultRowHeight="14.25"/>
  <cols>
    <col min="1" max="1" width="16.25" style="6"/>
    <col min="2" max="2" width="50" style="6" bestFit="1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1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1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1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1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1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1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1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15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15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15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15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6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1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3"/>
      <c r="B24" s="45" t="s">
        <v>58</v>
      </c>
      <c r="C24" s="76">
        <v>75</v>
      </c>
      <c r="I24" s="7"/>
      <c r="J24" s="95"/>
    </row>
    <row r="25" spans="1:16" ht="15.75" customHeight="1" thickBot="1">
      <c r="A25" s="113"/>
      <c r="B25" s="45" t="s">
        <v>71</v>
      </c>
      <c r="C25" s="46">
        <f>C24/100*C23</f>
        <v>2250</v>
      </c>
      <c r="E25" s="9" t="s">
        <v>57</v>
      </c>
      <c r="G25" s="110" t="s">
        <v>141</v>
      </c>
      <c r="H25" s="111"/>
      <c r="I25" s="111"/>
      <c r="J25" s="112" t="s">
        <v>144</v>
      </c>
      <c r="K25" s="112"/>
    </row>
    <row r="26" spans="1:16" ht="15.75" thickBot="1">
      <c r="A26" s="113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13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13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13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13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13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1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1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1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" thickBot="1">
      <c r="A43" s="104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06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05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05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05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05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7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05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7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05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7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05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  <c r="Q51" s="10">
        <f>D11+D17*EXP(-C30*1E-24*I45-C30*1E-24*H51)*3600*365*24</f>
        <v>838436041080.13403</v>
      </c>
    </row>
    <row r="53" spans="1:17">
      <c r="F53" s="10"/>
      <c r="G53" s="10"/>
      <c r="K53" s="6" t="s">
        <v>7</v>
      </c>
      <c r="L53" s="6" t="s">
        <v>16</v>
      </c>
    </row>
    <row r="54" spans="1:17">
      <c r="F54" s="10"/>
      <c r="G54" s="10"/>
      <c r="I54" s="6">
        <f>LN(Données!D11/(Données!D11+Données!D17))*(-1/(3600*24*365))</f>
        <v>6.8527318392202371E-8</v>
      </c>
      <c r="K54" s="6">
        <f>I44*C30*1E-24*(3600*365*24)</f>
        <v>0.1756487678308902</v>
      </c>
      <c r="L54" s="10">
        <f>I51*C30*1E-24</f>
        <v>9.9470311855747449E-10</v>
      </c>
    </row>
    <row r="55" spans="1:17">
      <c r="D55" s="10"/>
      <c r="F55" s="10"/>
      <c r="G55" s="10"/>
      <c r="L55" s="6">
        <f>L54*(365*3600*24)</f>
        <v>3.1368957546828516E-2</v>
      </c>
    </row>
    <row r="56" spans="1:17">
      <c r="F56" s="10"/>
      <c r="G56" s="10"/>
      <c r="K56" s="6" t="s">
        <v>10</v>
      </c>
      <c r="L56" s="6" t="s">
        <v>9</v>
      </c>
    </row>
    <row r="57" spans="1:17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7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</row>
    <row r="59" spans="1:17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7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7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7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7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7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K1" zoomScale="70" zoomScaleNormal="70" workbookViewId="0">
      <selection activeCell="AB6" sqref="AB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A1" s="109"/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103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07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08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08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B21" s="2">
        <f>K2*EXP(-Données!I45*Données!C30*3600*365*24*1E-24)</f>
        <v>2773.1579381784481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A26" sqref="A26:XFD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B35" sqref="B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2014-08-12T09:50:20Z</dcterms:modified>
</cp:coreProperties>
</file>