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645" windowWidth="20730" windowHeight="9285" tabRatio="872" activeTab="3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K45" i="1" l="1"/>
  <c r="I54" i="1" l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AA2" i="2"/>
  <c r="C21" i="1" l="1"/>
  <c r="C19" i="1"/>
  <c r="C18" i="1"/>
  <c r="C30" i="1" s="1"/>
  <c r="U2" i="2"/>
  <c r="H37" i="1" l="1"/>
  <c r="L54" i="1"/>
  <c r="L55" i="1" s="1"/>
  <c r="H38" i="1"/>
  <c r="L57" i="1"/>
  <c r="L58" i="1" s="1"/>
  <c r="Q51" i="1"/>
  <c r="AB21" i="2"/>
  <c r="K57" i="1"/>
  <c r="K58" i="1" s="1"/>
  <c r="K61" i="1"/>
  <c r="K62" i="1" s="1"/>
  <c r="K54" i="1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P2" i="2" s="1"/>
  <c r="AB1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M58" i="1" l="1"/>
  <c r="I37" i="1"/>
  <c r="X2" i="2"/>
  <c r="J2" i="2"/>
  <c r="L2" i="2"/>
  <c r="Z2" i="2"/>
  <c r="T2" i="2"/>
  <c r="N2" i="2"/>
  <c r="O3" i="2"/>
  <c r="R2" i="2"/>
  <c r="Q3" i="2" l="1"/>
  <c r="R3" i="2" s="1"/>
  <c r="Q4" i="2" s="1"/>
  <c r="AB10" i="2"/>
  <c r="M3" i="2"/>
  <c r="AB18" i="2"/>
  <c r="I3" i="2"/>
  <c r="J3" i="2" s="1"/>
  <c r="AB8" i="2"/>
  <c r="P3" i="2"/>
  <c r="O4" i="2" s="1"/>
  <c r="S3" i="2"/>
  <c r="AB16" i="2"/>
  <c r="W3" i="2"/>
  <c r="AB6" i="2"/>
  <c r="K3" i="2"/>
  <c r="Y3" i="2"/>
  <c r="AB2" i="2"/>
  <c r="AB4" i="2" s="1"/>
  <c r="N3" i="2"/>
  <c r="M4" i="2" s="1"/>
  <c r="T3" i="2"/>
  <c r="S4" i="2" s="1"/>
  <c r="P4" i="2" l="1"/>
  <c r="O5" i="2" s="1"/>
  <c r="U3" i="2"/>
  <c r="Z3" i="2"/>
  <c r="Y4" i="2" s="1"/>
  <c r="Z4" i="2" s="1"/>
  <c r="Y5" i="2" s="1"/>
  <c r="I4" i="2"/>
  <c r="J4" i="2" s="1"/>
  <c r="AA3" i="2"/>
  <c r="L3" i="2"/>
  <c r="K4" i="2" s="1"/>
  <c r="X3" i="2"/>
  <c r="W4" i="2" s="1"/>
  <c r="X4" i="2" s="1"/>
  <c r="W5" i="2" s="1"/>
  <c r="T4" i="2"/>
  <c r="S5" i="2" s="1"/>
  <c r="R4" i="2"/>
  <c r="Q5" i="2" s="1"/>
  <c r="N4" i="2"/>
  <c r="M5" i="2" s="1"/>
  <c r="I5" i="2"/>
  <c r="J5" i="2" s="1"/>
  <c r="L4" i="2"/>
  <c r="K5" i="2" s="1"/>
  <c r="U4" i="2"/>
  <c r="P5" i="2" l="1"/>
  <c r="O6" i="2" s="1"/>
  <c r="AA4" i="2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AA12" i="2"/>
  <c r="T12" i="2"/>
  <c r="S13" i="2" s="1"/>
  <c r="R12" i="2"/>
  <c r="Q13" i="2" s="1"/>
  <c r="I14" i="2"/>
  <c r="U12" i="2"/>
  <c r="P13" i="2" l="1"/>
  <c r="O14" i="2" s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I20" i="2"/>
  <c r="J20" i="2" s="1"/>
  <c r="I21" i="2" s="1"/>
  <c r="J21" i="2" s="1"/>
  <c r="AA18" i="2"/>
  <c r="P19" i="2" l="1"/>
  <c r="O20" i="2" s="1"/>
  <c r="T19" i="2"/>
  <c r="S20" i="2" s="1"/>
  <c r="N19" i="2"/>
  <c r="M20" i="2" s="1"/>
  <c r="X19" i="2"/>
  <c r="W20" i="2" s="1"/>
  <c r="L19" i="2"/>
  <c r="K20" i="2" s="1"/>
  <c r="Z19" i="2"/>
  <c r="Y20" i="2" s="1"/>
  <c r="U19" i="2"/>
  <c r="R19" i="2"/>
  <c r="Q20" i="2" s="1"/>
  <c r="AA19" i="2"/>
  <c r="I22" i="2"/>
  <c r="J22" i="2" s="1"/>
  <c r="U17" i="2"/>
  <c r="P20" i="2" l="1"/>
  <c r="T20" i="2"/>
  <c r="S21" i="2" s="1"/>
  <c r="L20" i="2"/>
  <c r="K21" i="2" s="1"/>
  <c r="X20" i="2"/>
  <c r="W21" i="2" s="1"/>
  <c r="N20" i="2"/>
  <c r="M21" i="2" s="1"/>
  <c r="Z20" i="2"/>
  <c r="Y21" i="2" s="1"/>
  <c r="O21" i="2"/>
  <c r="R20" i="2"/>
  <c r="Q21" i="2" s="1"/>
  <c r="U20" i="2"/>
  <c r="AA20" i="2"/>
  <c r="I23" i="2"/>
  <c r="J23" i="2" s="1"/>
  <c r="U18" i="2"/>
  <c r="P21" i="2" l="1"/>
  <c r="T21" i="2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1" i="1"/>
  <c r="H12" i="1"/>
  <c r="H14" i="1"/>
  <c r="H17" i="1"/>
  <c r="H16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O33" i="2" s="1"/>
  <c r="T32" i="2"/>
  <c r="S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P33" i="2" l="1"/>
  <c r="O34" i="2" s="1"/>
  <c r="P34" i="2" s="1"/>
  <c r="T33" i="2"/>
  <c r="S34" i="2" s="1"/>
  <c r="R33" i="2"/>
  <c r="Q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O36" i="2" s="1"/>
  <c r="T35" i="2"/>
  <c r="S36" i="2" s="1"/>
  <c r="Z35" i="2"/>
  <c r="Y36" i="2" s="1"/>
  <c r="R35" i="2"/>
  <c r="Q36" i="2" s="1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T41" i="2"/>
  <c r="S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R42" i="2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Z45" i="2" l="1"/>
  <c r="Y46" i="2" s="1"/>
  <c r="P45" i="2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AA45" i="2"/>
  <c r="I48" i="2"/>
  <c r="J48" i="2" s="1"/>
  <c r="Z46" i="2" l="1"/>
  <c r="Y47" i="2" s="1"/>
  <c r="P46" i="2"/>
  <c r="O47" i="2" s="1"/>
  <c r="T46" i="2"/>
  <c r="S47" i="2" s="1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N51" i="2"/>
  <c r="M52" i="2" s="1"/>
  <c r="W51" i="2"/>
  <c r="X51" i="2" s="1"/>
  <c r="AA50" i="2"/>
  <c r="I53" i="2"/>
  <c r="J53" i="2" s="1"/>
  <c r="O52" i="2" l="1"/>
  <c r="P52" i="2" s="1"/>
  <c r="O53" i="2" s="1"/>
  <c r="R51" i="2"/>
  <c r="Q52" i="2" s="1"/>
  <c r="U51" i="2"/>
  <c r="Z51" i="2"/>
  <c r="Y52" i="2" s="1"/>
  <c r="N52" i="2"/>
  <c r="M53" i="2" s="1"/>
  <c r="AA51" i="2"/>
  <c r="W52" i="2"/>
  <c r="X52" i="2" s="1"/>
  <c r="I54" i="2"/>
  <c r="J54" i="2" s="1"/>
  <c r="T52" i="2" l="1"/>
  <c r="S53" i="2" s="1"/>
  <c r="T53" i="2" s="1"/>
  <c r="S54" i="2" s="1"/>
  <c r="R52" i="2"/>
  <c r="Q53" i="2" s="1"/>
  <c r="P53" i="2"/>
  <c r="O54" i="2" s="1"/>
  <c r="U52" i="2"/>
  <c r="Z52" i="2"/>
  <c r="Y53" i="2" s="1"/>
  <c r="L52" i="2"/>
  <c r="K53" i="2" s="1"/>
  <c r="Z53" i="2"/>
  <c r="Y54" i="2" s="1"/>
  <c r="R53" i="2"/>
  <c r="Q54" i="2" s="1"/>
  <c r="AA52" i="2"/>
  <c r="W53" i="2"/>
  <c r="I55" i="2"/>
  <c r="J55" i="2" s="1"/>
  <c r="L53" i="2" l="1"/>
  <c r="K54" i="2" s="1"/>
  <c r="L54" i="2" s="1"/>
  <c r="K55" i="2" s="1"/>
  <c r="U53" i="2"/>
  <c r="X53" i="2"/>
  <c r="W54" i="2" s="1"/>
  <c r="N53" i="2"/>
  <c r="M54" i="2" s="1"/>
  <c r="T54" i="2"/>
  <c r="S55" i="2" s="1"/>
  <c r="Z54" i="2"/>
  <c r="Y55" i="2" s="1"/>
  <c r="R54" i="2"/>
  <c r="Q55" i="2" s="1"/>
  <c r="AA53" i="2"/>
  <c r="I56" i="2"/>
  <c r="J56" i="2" s="1"/>
  <c r="U54" i="2" l="1"/>
  <c r="X54" i="2"/>
  <c r="W55" i="2" s="1"/>
  <c r="X55" i="2" s="1"/>
  <c r="P54" i="2"/>
  <c r="O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P55" i="2" l="1"/>
  <c r="T55" i="2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N62" i="2"/>
  <c r="M63" i="2" s="1"/>
  <c r="AA61" i="2"/>
  <c r="W62" i="2"/>
  <c r="X62" i="2" s="1"/>
  <c r="I64" i="2"/>
  <c r="J64" i="2" s="1"/>
  <c r="U62" i="2" l="1"/>
  <c r="O63" i="2"/>
  <c r="P63" i="2" s="1"/>
  <c r="R62" i="2"/>
  <c r="Q63" i="2" s="1"/>
  <c r="Z63" i="2" s="1"/>
  <c r="Y64" i="2" s="1"/>
  <c r="L62" i="2"/>
  <c r="K63" i="2" s="1"/>
  <c r="N63" i="2" s="1"/>
  <c r="M64" i="2" s="1"/>
  <c r="T63" i="2"/>
  <c r="S64" i="2" s="1"/>
  <c r="O64" i="2"/>
  <c r="P64" i="2" s="1"/>
  <c r="AA62" i="2"/>
  <c r="W63" i="2"/>
  <c r="I65" i="2"/>
  <c r="J65" i="2" s="1"/>
  <c r="R63" i="2" l="1"/>
  <c r="Q64" i="2" s="1"/>
  <c r="U63" i="2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AA70" i="2"/>
  <c r="W71" i="2"/>
  <c r="I73" i="2"/>
  <c r="J73" i="2" s="1"/>
  <c r="T71" i="2" l="1"/>
  <c r="S72" i="2" s="1"/>
  <c r="R71" i="2"/>
  <c r="Q72" i="2" s="1"/>
  <c r="O72" i="2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O76" i="2" s="1"/>
  <c r="P76" i="2" s="1"/>
  <c r="T75" i="2"/>
  <c r="S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L84" i="2"/>
  <c r="K85" i="2" s="1"/>
  <c r="N84" i="2"/>
  <c r="M85" i="2" s="1"/>
  <c r="W84" i="2"/>
  <c r="X84" i="2" s="1"/>
  <c r="AA83" i="2"/>
  <c r="I86" i="2"/>
  <c r="J86" i="2" s="1"/>
  <c r="Z84" i="2" l="1"/>
  <c r="Y85" i="2" s="1"/>
  <c r="L85" i="2" s="1"/>
  <c r="K86" i="2" s="1"/>
  <c r="O85" i="2"/>
  <c r="P85" i="2" s="1"/>
  <c r="T84" i="2"/>
  <c r="S85" i="2" s="1"/>
  <c r="U84" i="2"/>
  <c r="Z85" i="2"/>
  <c r="Y86" i="2" s="1"/>
  <c r="R85" i="2"/>
  <c r="Q86" i="2" s="1"/>
  <c r="N85" i="2"/>
  <c r="M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L86" i="2"/>
  <c r="K87" i="2" s="1"/>
  <c r="N86" i="2"/>
  <c r="M87" i="2" s="1"/>
  <c r="W86" i="2"/>
  <c r="X86" i="2" s="1"/>
  <c r="AA85" i="2"/>
  <c r="I88" i="2"/>
  <c r="J88" i="2" s="1"/>
  <c r="R86" i="2" l="1"/>
  <c r="Q87" i="2" s="1"/>
  <c r="Z87" i="2" s="1"/>
  <c r="Y88" i="2" s="1"/>
  <c r="T86" i="2"/>
  <c r="S87" i="2" s="1"/>
  <c r="O87" i="2"/>
  <c r="P87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R88" i="2" s="1"/>
  <c r="Q89" i="2" s="1"/>
  <c r="T87" i="2"/>
  <c r="S88" i="2" s="1"/>
  <c r="T88" i="2"/>
  <c r="S89" i="2" s="1"/>
  <c r="O89" i="2"/>
  <c r="N88" i="2"/>
  <c r="M89" i="2" s="1"/>
  <c r="L88" i="2"/>
  <c r="K89" i="2" s="1"/>
  <c r="AA87" i="2"/>
  <c r="W88" i="2"/>
  <c r="X88" i="2" s="1"/>
  <c r="I90" i="2"/>
  <c r="J90" i="2" s="1"/>
  <c r="U88" i="2" l="1"/>
  <c r="Z88" i="2"/>
  <c r="Y89" i="2" s="1"/>
  <c r="P89" i="2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P93" i="2" l="1"/>
  <c r="O94" i="2" s="1"/>
  <c r="R93" i="2"/>
  <c r="Q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O95" i="2" s="1"/>
  <c r="T94" i="2"/>
  <c r="S95" i="2" s="1"/>
  <c r="Z94" i="2"/>
  <c r="Y95" i="2" s="1"/>
  <c r="R94" i="2"/>
  <c r="Q95" i="2" s="1"/>
  <c r="N94" i="2"/>
  <c r="M95" i="2" s="1"/>
  <c r="L94" i="2"/>
  <c r="K95" i="2" s="1"/>
  <c r="I96" i="2"/>
  <c r="J96" i="2" s="1"/>
  <c r="U94" i="2"/>
  <c r="W94" i="2"/>
  <c r="X94" i="2" s="1"/>
  <c r="AA93" i="2"/>
  <c r="P95" i="2" l="1"/>
  <c r="O96" i="2" s="1"/>
  <c r="P96" i="2" s="1"/>
  <c r="T95" i="2"/>
  <c r="S96" i="2" s="1"/>
  <c r="R95" i="2"/>
  <c r="Q96" i="2" s="1"/>
  <c r="Z95" i="2"/>
  <c r="Y96" i="2" s="1"/>
  <c r="N95" i="2"/>
  <c r="M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N97" i="2"/>
  <c r="M98" i="2" s="1"/>
  <c r="L97" i="2"/>
  <c r="K98" i="2" s="1"/>
  <c r="U97" i="2"/>
  <c r="I99" i="2"/>
  <c r="J99" i="2" s="1"/>
  <c r="W97" i="2"/>
  <c r="X97" i="2" s="1"/>
  <c r="AA96" i="2"/>
  <c r="P98" i="2" l="1"/>
  <c r="T98" i="2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O112" i="2" s="1"/>
  <c r="Z111" i="2"/>
  <c r="Y112" i="2" s="1"/>
  <c r="R111" i="2"/>
  <c r="Q112" i="2" s="1"/>
  <c r="T111" i="2"/>
  <c r="S112" i="2" s="1"/>
  <c r="N111" i="2"/>
  <c r="M112" i="2" s="1"/>
  <c r="L111" i="2"/>
  <c r="K112" i="2" s="1"/>
  <c r="U111" i="2"/>
  <c r="AA110" i="2"/>
  <c r="W111" i="2"/>
  <c r="X111" i="2" s="1"/>
  <c r="I113" i="2"/>
  <c r="J113" i="2" s="1"/>
  <c r="P112" i="2" l="1"/>
  <c r="O113" i="2" s="1"/>
  <c r="P113" i="2" s="1"/>
  <c r="T112" i="2"/>
  <c r="S113" i="2" s="1"/>
  <c r="Z112" i="2"/>
  <c r="Y113" i="2" s="1"/>
  <c r="R112" i="2"/>
  <c r="Q113" i="2" s="1"/>
  <c r="N112" i="2"/>
  <c r="M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P122" i="2" l="1"/>
  <c r="T122" i="2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P129" i="2" l="1"/>
  <c r="O130" i="2" s="1"/>
  <c r="R129" i="2"/>
  <c r="Q130" i="2" s="1"/>
  <c r="T129" i="2"/>
  <c r="S130" i="2" s="1"/>
  <c r="Z129" i="2"/>
  <c r="Y130" i="2" s="1"/>
  <c r="N129" i="2"/>
  <c r="M130" i="2" s="1"/>
  <c r="L129" i="2"/>
  <c r="K130" i="2" s="1"/>
  <c r="U129" i="2"/>
  <c r="AA128" i="2"/>
  <c r="W129" i="2"/>
  <c r="X129" i="2" s="1"/>
  <c r="I131" i="2"/>
  <c r="J131" i="2" s="1"/>
  <c r="P130" i="2" l="1"/>
  <c r="Z130" i="2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<sst xmlns="http://schemas.openxmlformats.org/spreadsheetml/2006/main" count="217" uniqueCount="150">
  <si>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</si>
  <si>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</si>
  <si>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</si>
  <si>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</si>
  <si>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</si>
  <si>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</si>
  <si>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</si>
  <si>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</si>
  <si>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</si>
  <si>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</si>
  <si>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</si>
  <si>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</si>
  <si>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</si>
  <si>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</si>
  <si>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</si>
  <si>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</si>
  <si>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</si>
  <si>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</si>
  <si>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</si>
  <si>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</si>
  <si>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</si>
  <si>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</si>
  <si>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</si>
  <si>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</si>
  <si>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</si>
  <si>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</si>
  <si>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</si>
  <si>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</si>
  <si>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</si>
  <si>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</si>
  <si>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</si>
  <si>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</si>
  <si>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</si>
  <si>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</si>
  <si>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</si>
  <si>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</si>
  <si>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</si>
  <si>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</si>
  <si>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</si>
  <si>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</si>
  <si>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</si>
  <si>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</si>
  <si>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</si>
  <si>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</si>
  <si>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</si>
  <si>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</si>
  <si>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</si>
  <si>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</si>
  <si>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</si>
  <si>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</si>
  <si>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</si>
  <si>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</si>
  <si>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</si>
  <si>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</si>
  <si>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</si>
  <si>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</si>
  <si>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</si>
  <si>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</si>
  <si>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</si>
  <si>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</si>
  <si>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</si>
  <si>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</si>
  <si>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</si>
  <si>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</si>
  <si>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</si>
  <si>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</si>
  <si>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</si>
  <si>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</si>
  <si>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</si>
  <si>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</si>
  <si>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</si>
  <si>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</si>
  <si>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</si>
  <si>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</si>
  <si>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</si>
  <si>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</si>
  <si>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</si>
  <si>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</si>
  <si>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</si>
  <si>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</si>
  <si>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</si>
  <si>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</si>
  <si>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</si>
  <si>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</si>
  <si>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</si>
  <si>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</si>
  <si>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</si>
  <si>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</si>
  <si>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</si>
  <si>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</si>
  <si>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</si>
  <si>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</si>
  <si>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</si>
  <si>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</si>
  <si>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</si>
  <si>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</si>
  <si>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</si>
  <si>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</si>
  <si>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</si>
  <si>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</si>
  <si>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</si>
  <si>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</si>
  <si>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</si>
  <si>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</si>
  <si>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</si>
  <si>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</si>
  <si>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</si>
  <si>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</si>
  <si>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</si>
  <si>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</si>
  <si>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</si>
  <si>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</si>
  <si>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</si>
  <si>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</si>
  <si>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</si>
  <si>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</si>
  <si>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</si>
  <si>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</si>
  <si>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</si>
  <si>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</si>
  <si>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</si>
  <si>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</si>
  <si>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</si>
  <si>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</si>
  <si>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</si>
  <si>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</si>
  <si>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</si>
  <si>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</si>
  <si>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</si>
  <si>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</si>
  <si>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</si>
  <si>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</si>
  <si>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</si>
  <si>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</si>
  <si>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</si>
  <si>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</si>
  <si>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</si>
  <si>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</si>
  <si>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</si>
  <si>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</si>
  <si>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</si>
  <si>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</si>
  <si>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</si>
  <si>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</si>
  <si>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</si>
  <si>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</si>
  <si>
    <t>beta</t>
  </si>
  <si>
    <t>gamma</t>
  </si>
  <si>
    <t>alpha</t>
  </si>
  <si>
    <t>A(t=0)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</si>
</sst>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7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164" fontId="0" fillId="0" borderId="7" xfId="0" applyNumberFormat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05504"/>
        <c:axId val="31607040"/>
      </c:barChart>
      <c:catAx>
        <c:axId val="3160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31607040"/>
        <c:crosses val="autoZero"/>
        <c:auto val="1"/>
        <c:lblAlgn val="ctr"/>
        <c:lblOffset val="100"/>
        <c:noMultiLvlLbl val="0"/>
      </c:catAx>
      <c:valAx>
        <c:axId val="31607040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160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39904"/>
        <c:axId val="32145792"/>
      </c:barChart>
      <c:catAx>
        <c:axId val="3213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32145792"/>
        <c:crosses val="autoZero"/>
        <c:auto val="1"/>
        <c:lblAlgn val="ctr"/>
        <c:lblOffset val="100"/>
        <c:noMultiLvlLbl val="0"/>
      </c:catAx>
      <c:valAx>
        <c:axId val="321457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2139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44416"/>
        <c:axId val="32858880"/>
      </c:scatterChart>
      <c:valAx>
        <c:axId val="3284441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2858880"/>
        <c:crosses val="autoZero"/>
        <c:crossBetween val="midCat"/>
      </c:valAx>
      <c:valAx>
        <c:axId val="32858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844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04768"/>
        <c:axId val="34715136"/>
      </c:scatterChart>
      <c:valAx>
        <c:axId val="3470476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4715136"/>
        <c:crosses val="autoZero"/>
        <c:crossBetween val="midCat"/>
      </c:valAx>
      <c:valAx>
        <c:axId val="34715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4704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24576"/>
        <c:axId val="34826496"/>
      </c:scatterChart>
      <c:valAx>
        <c:axId val="3482457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4826496"/>
        <c:crosses val="autoZero"/>
        <c:crossBetween val="midCat"/>
      </c:valAx>
      <c:valAx>
        <c:axId val="3482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48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85088"/>
        <c:axId val="34987008"/>
      </c:scatterChart>
      <c:valAx>
        <c:axId val="349850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4987008"/>
        <c:crosses val="autoZero"/>
        <c:crossBetween val="midCat"/>
      </c:valAx>
      <c:valAx>
        <c:axId val="34987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4985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84160"/>
        <c:axId val="35123200"/>
      </c:scatterChart>
      <c:valAx>
        <c:axId val="350841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5123200"/>
        <c:crosses val="autoZero"/>
        <c:crossBetween val="midCat"/>
      </c:valAx>
      <c:valAx>
        <c:axId val="35123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5084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72928"/>
        <c:axId val="36174848"/>
      </c:scatterChart>
      <c:valAx>
        <c:axId val="3617292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6174848"/>
        <c:crosses val="autoZero"/>
        <c:crossBetween val="midCat"/>
      </c:valAx>
      <c:valAx>
        <c:axId val="36174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617292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1904"/>
        <c:axId val="36734080"/>
      </c:scatterChart>
      <c:valAx>
        <c:axId val="3673190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6734080"/>
        <c:crosses val="autoZero"/>
        <c:crossBetween val="midCat"/>
      </c:valAx>
      <c:valAx>
        <c:axId val="36734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731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50016"/>
        <c:axId val="36951936"/>
      </c:scatterChart>
      <c:valAx>
        <c:axId val="3695001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6951936"/>
        <c:crosses val="autoZero"/>
        <c:crossBetween val="midCat"/>
      </c:valAx>
      <c:valAx>
        <c:axId val="3695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695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40896"/>
        <c:axId val="37042816"/>
      </c:scatterChart>
      <c:valAx>
        <c:axId val="3704089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37042816"/>
        <c:crosses val="autoZero"/>
        <c:crossBetween val="midCat"/>
      </c:valAx>
      <c:valAx>
        <c:axId val="37042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7040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1200"/>
        <c:axId val="37172736"/>
      </c:areaChart>
      <c:catAx>
        <c:axId val="3717120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37172736"/>
        <c:crosses val="autoZero"/>
        <c:auto val="1"/>
        <c:lblAlgn val="ctr"/>
        <c:lblOffset val="100"/>
        <c:noMultiLvlLbl val="0"/>
      </c:catAx>
      <c:valAx>
        <c:axId val="371727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7171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93"/>
  <sheetViews>
    <sheetView topLeftCell="A19" zoomScale="70" zoomScaleNormal="70" workbookViewId="0">
      <selection activeCell="I37" sqref="I37"/>
    </sheetView>
  </sheetViews>
  <sheetFormatPr baseColWidth="10" defaultColWidth="16.25" defaultRowHeight="14.25"/>
  <cols>
    <col min="1" max="1" width="16.25" style="6"/>
    <col min="2" max="2" width="50" style="6" bestFit="1" customWidth="1"/>
    <col min="3" max="6" width="17.125" style="6" customWidth="1"/>
    <col min="7" max="7" width="23.5" style="6" customWidth="1"/>
    <col min="8" max="10" width="19.125" style="6" customWidth="1"/>
    <col min="11" max="11" width="17.625" style="6" customWidth="1"/>
    <col min="12" max="12" width="21" style="6" bestFit="1" customWidth="1"/>
    <col min="13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4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15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15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15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15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15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15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15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15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15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15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15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6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13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3"/>
      <c r="B24" s="45" t="s">
        <v>58</v>
      </c>
      <c r="C24" s="76">
        <v>75</v>
      </c>
      <c r="I24" s="7"/>
      <c r="J24" s="95"/>
    </row>
    <row r="25" spans="1:16" ht="15.75" customHeight="1" thickBot="1">
      <c r="A25" s="113"/>
      <c r="B25" s="45" t="s">
        <v>71</v>
      </c>
      <c r="C25" s="46">
        <f>C24/100*C23</f>
        <v>2250</v>
      </c>
      <c r="E25" s="9" t="s">
        <v>57</v>
      </c>
      <c r="G25" s="110" t="s">
        <v>141</v>
      </c>
      <c r="H25" s="111"/>
      <c r="I25" s="111"/>
      <c r="J25" s="112" t="s">
        <v>144</v>
      </c>
      <c r="K25" s="112"/>
    </row>
    <row r="26" spans="1:16" ht="15.75" thickBot="1">
      <c r="A26" s="113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13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13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13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13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13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13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13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13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G37" s="10" t="s">
        <v>146</v>
      </c>
      <c r="H37" s="10">
        <f>H51*C30*1E-24</f>
        <v>8.3756798491110585E-10</v>
      </c>
      <c r="I37" s="10">
        <f>D11+(H37/(H38-H39))</f>
        <v>3460.7400522681637</v>
      </c>
      <c r="J37" s="6" t="s">
        <v>149</v>
      </c>
      <c r="K37" s="10"/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G38" s="6" t="s">
        <v>147</v>
      </c>
      <c r="H38" s="10">
        <f>-I51*C30*1E-24</f>
        <v>-9.9470311855747449E-10</v>
      </c>
      <c r="P38" s="12"/>
    </row>
    <row r="39" spans="1:16" ht="14.25" customHeight="1" thickBot="1">
      <c r="G39" s="10" t="s">
        <v>148</v>
      </c>
      <c r="H39" s="10"/>
      <c r="I39" s="10"/>
      <c r="K39" s="10"/>
    </row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" thickBot="1">
      <c r="A43" s="104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06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05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05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05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05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7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05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7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05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7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05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  <c r="Q51" s="10">
        <f>D11+D17*EXP(-C30*1E-24*I45-C30*1E-24*H51)*3600*365*24</f>
        <v>838436041080.13403</v>
      </c>
    </row>
    <row r="53" spans="1:17">
      <c r="F53" s="10"/>
      <c r="G53" s="10"/>
      <c r="K53" s="6" t="s">
        <v>7</v>
      </c>
      <c r="L53" s="6" t="s">
        <v>16</v>
      </c>
    </row>
    <row r="54" spans="1:17">
      <c r="F54" s="10"/>
      <c r="G54" s="10"/>
      <c r="I54" s="6">
        <f>LN(Données!D11/(Données!D11+Données!D17))*(-1/(3600*24*365))</f>
        <v>6.8527318392202371E-8</v>
      </c>
      <c r="K54" s="6">
        <f>I44*C30*1E-24*(3600*365*24)</f>
        <v>0.1756487678308902</v>
      </c>
      <c r="L54" s="10">
        <f>H51*C30*1E-24</f>
        <v>8.3756798491110585E-10</v>
      </c>
    </row>
    <row r="55" spans="1:17">
      <c r="D55" s="10"/>
      <c r="F55" s="10"/>
      <c r="G55" s="10"/>
      <c r="L55" s="6">
        <f>L54*(365*3600*24)</f>
        <v>2.6413543972156634E-2</v>
      </c>
    </row>
    <row r="56" spans="1:17">
      <c r="F56" s="10"/>
      <c r="G56" s="10"/>
      <c r="K56" s="6" t="s">
        <v>10</v>
      </c>
      <c r="L56" s="6" t="s">
        <v>9</v>
      </c>
    </row>
    <row r="57" spans="1:17">
      <c r="F57" s="10"/>
      <c r="G57" s="10"/>
      <c r="H57" s="10"/>
      <c r="K57" s="10">
        <f>(I46)*C30*1E-24</f>
        <v>2.7541918401716949E-9</v>
      </c>
      <c r="L57" s="10">
        <f>I45*C30*1E-24</f>
        <v>7.0312979612872758E-9</v>
      </c>
    </row>
    <row r="58" spans="1:17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8.6856193871654566E-2</v>
      </c>
      <c r="L58" s="10">
        <f>L57*3600*365*24</f>
        <v>0.22173901250715555</v>
      </c>
      <c r="M58" s="10">
        <f>L55+L58</f>
        <v>0.2481525564793122</v>
      </c>
    </row>
    <row r="59" spans="1:17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7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7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7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7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7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opLeftCell="A103" zoomScale="70" zoomScaleNormal="70" workbookViewId="0">
      <selection activeCell="J5" sqref="J5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A1" s="109"/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103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07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  <c r="AB4" s="2">
        <f>L2/K2*3600*365*24-AB2</f>
        <v>1.2744806577392891E-2</v>
      </c>
      <c r="AC4" s="19" t="s">
        <v>9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08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08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</f>
        <v>5.72911391077379E-2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N2/M2*3600*365*24-0.025</f>
        <v>2.5914158841045955E-2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B21" s="2">
        <f>K2*EXP(-Données!I45*Données!C30*3600*365*24*1E-24)</f>
        <v>2773.1579381784481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abSelected="1" zoomScale="115" zoomScaleNormal="115" workbookViewId="0">
      <selection activeCell="A8" sqref="A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G38" sqref="G3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B35" sqref="B3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2014-08-25T12:18:49Z</dcterms:modified>
</cp:coreProperties>
</file>