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705" windowWidth="15090" windowHeight="6510" tabRatio="885" activeTab="2"/>
  </bookViews>
  <sheets>
    <sheet name="Données" sheetId="1" r:id="rId1"/>
    <sheet name="mod.RK1" sheetId="2" r:id="rId2"/>
    <sheet name="mod.simp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simp." sheetId="15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AA136" i="14" l="1"/>
  <c r="Z136" i="14"/>
  <c r="Y136" i="14"/>
  <c r="X136" i="14"/>
  <c r="W136" i="14"/>
  <c r="AA135" i="14"/>
  <c r="Z135" i="14"/>
  <c r="Y135" i="14"/>
  <c r="X135" i="14"/>
  <c r="W135" i="14"/>
  <c r="AA134" i="14"/>
  <c r="Z134" i="14"/>
  <c r="Y134" i="14"/>
  <c r="X134" i="14"/>
  <c r="W134" i="14"/>
  <c r="AA133" i="14"/>
  <c r="Z133" i="14"/>
  <c r="Y133" i="14"/>
  <c r="X133" i="14"/>
  <c r="W133" i="14"/>
  <c r="AA132" i="14"/>
  <c r="Z132" i="14"/>
  <c r="Y132" i="14"/>
  <c r="X132" i="14"/>
  <c r="W132" i="14"/>
  <c r="AA131" i="14"/>
  <c r="Z131" i="14"/>
  <c r="Y131" i="14"/>
  <c r="X131" i="14"/>
  <c r="W131" i="14"/>
  <c r="AA130" i="14"/>
  <c r="Z130" i="14"/>
  <c r="Y130" i="14"/>
  <c r="X130" i="14"/>
  <c r="W130" i="14"/>
  <c r="AA129" i="14"/>
  <c r="Z129" i="14"/>
  <c r="Y129" i="14"/>
  <c r="X129" i="14"/>
  <c r="W129" i="14"/>
  <c r="AA128" i="14"/>
  <c r="Z128" i="14"/>
  <c r="Y128" i="14"/>
  <c r="X128" i="14"/>
  <c r="W128" i="14"/>
  <c r="AA127" i="14"/>
  <c r="Z127" i="14"/>
  <c r="Y127" i="14"/>
  <c r="X127" i="14"/>
  <c r="W127" i="14"/>
  <c r="AA126" i="14"/>
  <c r="Z126" i="14"/>
  <c r="Y126" i="14"/>
  <c r="X126" i="14"/>
  <c r="W126" i="14"/>
  <c r="AA125" i="14"/>
  <c r="Z125" i="14"/>
  <c r="Y125" i="14"/>
  <c r="X125" i="14"/>
  <c r="W125" i="14"/>
  <c r="AA124" i="14"/>
  <c r="Z124" i="14"/>
  <c r="Y124" i="14"/>
  <c r="X124" i="14"/>
  <c r="W124" i="14"/>
  <c r="AA123" i="14"/>
  <c r="Z123" i="14"/>
  <c r="Y123" i="14"/>
  <c r="X123" i="14"/>
  <c r="W123" i="14"/>
  <c r="AA122" i="14"/>
  <c r="Z122" i="14"/>
  <c r="Y122" i="14"/>
  <c r="X122" i="14"/>
  <c r="W122" i="14"/>
  <c r="AA121" i="14"/>
  <c r="Z121" i="14"/>
  <c r="Y121" i="14"/>
  <c r="X121" i="14"/>
  <c r="W121" i="14"/>
  <c r="AA120" i="14"/>
  <c r="Z120" i="14"/>
  <c r="Y120" i="14"/>
  <c r="X120" i="14"/>
  <c r="W120" i="14"/>
  <c r="AA119" i="14"/>
  <c r="Z119" i="14"/>
  <c r="Y119" i="14"/>
  <c r="X119" i="14"/>
  <c r="W119" i="14"/>
  <c r="AA118" i="14"/>
  <c r="Z118" i="14"/>
  <c r="Y118" i="14"/>
  <c r="X118" i="14"/>
  <c r="W118" i="14"/>
  <c r="AA117" i="14"/>
  <c r="Z117" i="14"/>
  <c r="Y117" i="14"/>
  <c r="X117" i="14"/>
  <c r="W117" i="14"/>
  <c r="AA116" i="14"/>
  <c r="Z116" i="14"/>
  <c r="Y116" i="14"/>
  <c r="X116" i="14"/>
  <c r="W116" i="14"/>
  <c r="AA115" i="14"/>
  <c r="Z115" i="14"/>
  <c r="Y115" i="14"/>
  <c r="X115" i="14"/>
  <c r="W115" i="14"/>
  <c r="AA114" i="14"/>
  <c r="Z114" i="14"/>
  <c r="Y114" i="14"/>
  <c r="X114" i="14"/>
  <c r="W114" i="14"/>
  <c r="AA113" i="14"/>
  <c r="Z113" i="14"/>
  <c r="Y113" i="14"/>
  <c r="X113" i="14"/>
  <c r="W113" i="14"/>
  <c r="AA112" i="14"/>
  <c r="Z112" i="14"/>
  <c r="Y112" i="14"/>
  <c r="X112" i="14"/>
  <c r="W112" i="14"/>
  <c r="AA111" i="14"/>
  <c r="Z111" i="14"/>
  <c r="Y111" i="14"/>
  <c r="X111" i="14"/>
  <c r="W111" i="14"/>
  <c r="AA110" i="14"/>
  <c r="Z110" i="14"/>
  <c r="Y110" i="14"/>
  <c r="X110" i="14"/>
  <c r="W110" i="14"/>
  <c r="AA109" i="14"/>
  <c r="Z109" i="14"/>
  <c r="Y109" i="14"/>
  <c r="X109" i="14"/>
  <c r="W109" i="14"/>
  <c r="AA108" i="14"/>
  <c r="Z108" i="14"/>
  <c r="Y108" i="14"/>
  <c r="X108" i="14"/>
  <c r="W108" i="14"/>
  <c r="AA107" i="14"/>
  <c r="Z107" i="14"/>
  <c r="Y107" i="14"/>
  <c r="X107" i="14"/>
  <c r="W107" i="14"/>
  <c r="AA106" i="14"/>
  <c r="Z106" i="14"/>
  <c r="Y106" i="14"/>
  <c r="X106" i="14"/>
  <c r="W106" i="14"/>
  <c r="AA105" i="14"/>
  <c r="Z105" i="14"/>
  <c r="Y105" i="14"/>
  <c r="X105" i="14"/>
  <c r="W105" i="14"/>
  <c r="AA104" i="14"/>
  <c r="Z104" i="14"/>
  <c r="Y104" i="14"/>
  <c r="X104" i="14"/>
  <c r="W104" i="14"/>
  <c r="AA103" i="14"/>
  <c r="Z103" i="14"/>
  <c r="Y103" i="14"/>
  <c r="X103" i="14"/>
  <c r="W103" i="14"/>
  <c r="AA102" i="14"/>
  <c r="Z102" i="14"/>
  <c r="Y102" i="14"/>
  <c r="X102" i="14"/>
  <c r="W102" i="14"/>
  <c r="AA101" i="14"/>
  <c r="Z101" i="14"/>
  <c r="Y101" i="14"/>
  <c r="X101" i="14"/>
  <c r="W101" i="14"/>
  <c r="AA100" i="14"/>
  <c r="Z100" i="14"/>
  <c r="Y100" i="14"/>
  <c r="X100" i="14"/>
  <c r="W100" i="14"/>
  <c r="AA99" i="14"/>
  <c r="Z99" i="14"/>
  <c r="Y99" i="14"/>
  <c r="X99" i="14"/>
  <c r="W99" i="14"/>
  <c r="AA98" i="14"/>
  <c r="Z98" i="14"/>
  <c r="Y98" i="14"/>
  <c r="X98" i="14"/>
  <c r="W98" i="14"/>
  <c r="AA97" i="14"/>
  <c r="Z97" i="14"/>
  <c r="Y97" i="14"/>
  <c r="X97" i="14"/>
  <c r="W97" i="14"/>
  <c r="AA96" i="14"/>
  <c r="Z96" i="14"/>
  <c r="Y96" i="14"/>
  <c r="X96" i="14"/>
  <c r="W96" i="14"/>
  <c r="AA95" i="14"/>
  <c r="Z95" i="14"/>
  <c r="Y95" i="14"/>
  <c r="X95" i="14"/>
  <c r="W95" i="14"/>
  <c r="AA94" i="14"/>
  <c r="Z94" i="14"/>
  <c r="Y94" i="14"/>
  <c r="X94" i="14"/>
  <c r="W94" i="14"/>
  <c r="AA93" i="14"/>
  <c r="Z93" i="14"/>
  <c r="Y93" i="14"/>
  <c r="X93" i="14"/>
  <c r="W93" i="14"/>
  <c r="AA92" i="14"/>
  <c r="Z92" i="14"/>
  <c r="Y92" i="14"/>
  <c r="X92" i="14"/>
  <c r="W92" i="14"/>
  <c r="AA91" i="14"/>
  <c r="Z91" i="14"/>
  <c r="Y91" i="14"/>
  <c r="X91" i="14"/>
  <c r="W91" i="14"/>
  <c r="AA90" i="14"/>
  <c r="Z90" i="14"/>
  <c r="Y90" i="14"/>
  <c r="X90" i="14"/>
  <c r="W90" i="14"/>
  <c r="AA89" i="14"/>
  <c r="Z89" i="14"/>
  <c r="Y89" i="14"/>
  <c r="X89" i="14"/>
  <c r="W89" i="14"/>
  <c r="AA88" i="14"/>
  <c r="Z88" i="14"/>
  <c r="Y88" i="14"/>
  <c r="X88" i="14"/>
  <c r="W88" i="14"/>
  <c r="AA87" i="14"/>
  <c r="Z87" i="14"/>
  <c r="Y87" i="14"/>
  <c r="X87" i="14"/>
  <c r="W87" i="14"/>
  <c r="AA86" i="14"/>
  <c r="Z86" i="14"/>
  <c r="Y86" i="14"/>
  <c r="X86" i="14"/>
  <c r="W86" i="14"/>
  <c r="AA85" i="14"/>
  <c r="Z85" i="14"/>
  <c r="Y85" i="14"/>
  <c r="X85" i="14"/>
  <c r="W85" i="14"/>
  <c r="AA84" i="14"/>
  <c r="Z84" i="14"/>
  <c r="Y84" i="14"/>
  <c r="X84" i="14"/>
  <c r="W84" i="14"/>
  <c r="AA83" i="14"/>
  <c r="Z83" i="14"/>
  <c r="Y83" i="14"/>
  <c r="X83" i="14"/>
  <c r="W83" i="14"/>
  <c r="AA82" i="14"/>
  <c r="Z82" i="14"/>
  <c r="Y82" i="14"/>
  <c r="X82" i="14"/>
  <c r="W82" i="14"/>
  <c r="AA81" i="14"/>
  <c r="Z81" i="14"/>
  <c r="Y81" i="14"/>
  <c r="X81" i="14"/>
  <c r="W81" i="14"/>
  <c r="AA80" i="14"/>
  <c r="Z80" i="14"/>
  <c r="Y80" i="14"/>
  <c r="X80" i="14"/>
  <c r="W80" i="14"/>
  <c r="AA79" i="14"/>
  <c r="Z79" i="14"/>
  <c r="Y79" i="14"/>
  <c r="X79" i="14"/>
  <c r="W79" i="14"/>
  <c r="AA78" i="14"/>
  <c r="Z78" i="14"/>
  <c r="Y78" i="14"/>
  <c r="X78" i="14"/>
  <c r="W78" i="14"/>
  <c r="AA77" i="14"/>
  <c r="Z77" i="14"/>
  <c r="Y77" i="14"/>
  <c r="X77" i="14"/>
  <c r="W77" i="14"/>
  <c r="AA76" i="14"/>
  <c r="Z76" i="14"/>
  <c r="Y76" i="14"/>
  <c r="X76" i="14"/>
  <c r="W76" i="14"/>
  <c r="AA75" i="14"/>
  <c r="Z75" i="14"/>
  <c r="Y75" i="14"/>
  <c r="X75" i="14"/>
  <c r="W75" i="14"/>
  <c r="AA74" i="14"/>
  <c r="Z74" i="14"/>
  <c r="Y74" i="14"/>
  <c r="X74" i="14"/>
  <c r="W74" i="14"/>
  <c r="AA73" i="14"/>
  <c r="Z73" i="14"/>
  <c r="Y73" i="14"/>
  <c r="X73" i="14"/>
  <c r="W73" i="14"/>
  <c r="AA72" i="14"/>
  <c r="Z72" i="14"/>
  <c r="Y72" i="14"/>
  <c r="X72" i="14"/>
  <c r="W72" i="14"/>
  <c r="AA71" i="14"/>
  <c r="Z71" i="14"/>
  <c r="Y71" i="14"/>
  <c r="X71" i="14"/>
  <c r="W71" i="14"/>
  <c r="AA70" i="14"/>
  <c r="Z70" i="14"/>
  <c r="Y70" i="14"/>
  <c r="X70" i="14"/>
  <c r="W70" i="14"/>
  <c r="AA69" i="14"/>
  <c r="Z69" i="14"/>
  <c r="Y69" i="14"/>
  <c r="X69" i="14"/>
  <c r="W69" i="14"/>
  <c r="AA68" i="14"/>
  <c r="Z68" i="14"/>
  <c r="Y68" i="14"/>
  <c r="X68" i="14"/>
  <c r="W68" i="14"/>
  <c r="AA67" i="14"/>
  <c r="Z67" i="14"/>
  <c r="Y67" i="14"/>
  <c r="X67" i="14"/>
  <c r="W67" i="14"/>
  <c r="AA66" i="14"/>
  <c r="Z66" i="14"/>
  <c r="Y66" i="14"/>
  <c r="X66" i="14"/>
  <c r="W66" i="14"/>
  <c r="AA65" i="14"/>
  <c r="Z65" i="14"/>
  <c r="Y65" i="14"/>
  <c r="X65" i="14"/>
  <c r="W65" i="14"/>
  <c r="AA64" i="14"/>
  <c r="Z64" i="14"/>
  <c r="Y64" i="14"/>
  <c r="X64" i="14"/>
  <c r="W64" i="14"/>
  <c r="AA63" i="14"/>
  <c r="Z63" i="14"/>
  <c r="Y63" i="14"/>
  <c r="X63" i="14"/>
  <c r="W63" i="14"/>
  <c r="AA62" i="14"/>
  <c r="Z62" i="14"/>
  <c r="Y62" i="14"/>
  <c r="X62" i="14"/>
  <c r="W62" i="14"/>
  <c r="AA61" i="14"/>
  <c r="Z61" i="14"/>
  <c r="Y61" i="14"/>
  <c r="X61" i="14"/>
  <c r="W61" i="14"/>
  <c r="AA60" i="14"/>
  <c r="Z60" i="14"/>
  <c r="Y60" i="14"/>
  <c r="X60" i="14"/>
  <c r="W60" i="14"/>
  <c r="AA59" i="14"/>
  <c r="Z59" i="14"/>
  <c r="Y59" i="14"/>
  <c r="X59" i="14"/>
  <c r="W59" i="14"/>
  <c r="AA58" i="14"/>
  <c r="Z58" i="14"/>
  <c r="Y58" i="14"/>
  <c r="X58" i="14"/>
  <c r="W58" i="14"/>
  <c r="AA57" i="14"/>
  <c r="Z57" i="14"/>
  <c r="Y57" i="14"/>
  <c r="X57" i="14"/>
  <c r="W57" i="14"/>
  <c r="AA56" i="14"/>
  <c r="Z56" i="14"/>
  <c r="Y56" i="14"/>
  <c r="X56" i="14"/>
  <c r="W56" i="14"/>
  <c r="AA55" i="14"/>
  <c r="Z55" i="14"/>
  <c r="Y55" i="14"/>
  <c r="X55" i="14"/>
  <c r="W55" i="14"/>
  <c r="AA54" i="14"/>
  <c r="Z54" i="14"/>
  <c r="Y54" i="14"/>
  <c r="X54" i="14"/>
  <c r="W54" i="14"/>
  <c r="AA53" i="14"/>
  <c r="Z53" i="14"/>
  <c r="Y53" i="14"/>
  <c r="X53" i="14"/>
  <c r="W53" i="14"/>
  <c r="AA52" i="14"/>
  <c r="Z52" i="14"/>
  <c r="Y52" i="14"/>
  <c r="X52" i="14"/>
  <c r="W52" i="14"/>
  <c r="AA51" i="14"/>
  <c r="Z51" i="14"/>
  <c r="Y51" i="14"/>
  <c r="X51" i="14"/>
  <c r="W51" i="14"/>
  <c r="AA50" i="14"/>
  <c r="Z50" i="14"/>
  <c r="Y50" i="14"/>
  <c r="X50" i="14"/>
  <c r="W50" i="14"/>
  <c r="AA49" i="14"/>
  <c r="Z49" i="14"/>
  <c r="Y49" i="14"/>
  <c r="X49" i="14"/>
  <c r="W49" i="14"/>
  <c r="AA48" i="14"/>
  <c r="Z48" i="14"/>
  <c r="Y48" i="14"/>
  <c r="X48" i="14"/>
  <c r="W48" i="14"/>
  <c r="AA47" i="14"/>
  <c r="Z47" i="14"/>
  <c r="Y47" i="14"/>
  <c r="X47" i="14"/>
  <c r="W47" i="14"/>
  <c r="AA46" i="14"/>
  <c r="Z46" i="14"/>
  <c r="Y46" i="14"/>
  <c r="X46" i="14"/>
  <c r="W46" i="14"/>
  <c r="AA45" i="14"/>
  <c r="Z45" i="14"/>
  <c r="Y45" i="14"/>
  <c r="X45" i="14"/>
  <c r="W45" i="14"/>
  <c r="AA44" i="14"/>
  <c r="Z44" i="14"/>
  <c r="Y44" i="14"/>
  <c r="X44" i="14"/>
  <c r="W44" i="14"/>
  <c r="AA43" i="14"/>
  <c r="Z43" i="14"/>
  <c r="Y43" i="14"/>
  <c r="X43" i="14"/>
  <c r="W43" i="14"/>
  <c r="AA42" i="14"/>
  <c r="Z42" i="14"/>
  <c r="Y42" i="14"/>
  <c r="X42" i="14"/>
  <c r="W42" i="14"/>
  <c r="AA41" i="14"/>
  <c r="Z41" i="14"/>
  <c r="Y41" i="14"/>
  <c r="X41" i="14"/>
  <c r="W41" i="14"/>
  <c r="AA40" i="14"/>
  <c r="Z40" i="14"/>
  <c r="Y40" i="14"/>
  <c r="X40" i="14"/>
  <c r="W40" i="14"/>
  <c r="AA39" i="14"/>
  <c r="Z39" i="14"/>
  <c r="Y39" i="14"/>
  <c r="X39" i="14"/>
  <c r="W39" i="14"/>
  <c r="AA38" i="14"/>
  <c r="Z38" i="14"/>
  <c r="Y38" i="14"/>
  <c r="X38" i="14"/>
  <c r="W38" i="14"/>
  <c r="AA37" i="14"/>
  <c r="Z37" i="14"/>
  <c r="Y37" i="14"/>
  <c r="X37" i="14"/>
  <c r="W37" i="14"/>
  <c r="AA36" i="14"/>
  <c r="Z36" i="14"/>
  <c r="Y36" i="14"/>
  <c r="X36" i="14"/>
  <c r="W36" i="14"/>
  <c r="AA35" i="14"/>
  <c r="Z35" i="14"/>
  <c r="Y35" i="14"/>
  <c r="X35" i="14"/>
  <c r="W35" i="14"/>
  <c r="AA34" i="14"/>
  <c r="Z34" i="14"/>
  <c r="Y34" i="14"/>
  <c r="X34" i="14"/>
  <c r="W34" i="14"/>
  <c r="AA33" i="14"/>
  <c r="Z33" i="14"/>
  <c r="Y33" i="14"/>
  <c r="X33" i="14"/>
  <c r="W33" i="14"/>
  <c r="AA32" i="14"/>
  <c r="Z32" i="14"/>
  <c r="Y32" i="14"/>
  <c r="X32" i="14"/>
  <c r="W32" i="14"/>
  <c r="AA31" i="14"/>
  <c r="Z31" i="14"/>
  <c r="Y31" i="14"/>
  <c r="X31" i="14"/>
  <c r="W31" i="14"/>
  <c r="AA30" i="14"/>
  <c r="Z30" i="14"/>
  <c r="Y30" i="14"/>
  <c r="X30" i="14"/>
  <c r="W30" i="14"/>
  <c r="AA29" i="14"/>
  <c r="Z29" i="14"/>
  <c r="Y29" i="14"/>
  <c r="X29" i="14"/>
  <c r="W29" i="14"/>
  <c r="AA28" i="14"/>
  <c r="Z28" i="14"/>
  <c r="Y28" i="14"/>
  <c r="X28" i="14"/>
  <c r="W28" i="14"/>
  <c r="AA27" i="14"/>
  <c r="Z27" i="14"/>
  <c r="Y27" i="14"/>
  <c r="X27" i="14"/>
  <c r="W27" i="14"/>
  <c r="AA26" i="14"/>
  <c r="Z26" i="14"/>
  <c r="Y26" i="14"/>
  <c r="X26" i="14"/>
  <c r="W26" i="14"/>
  <c r="AA25" i="14"/>
  <c r="Z25" i="14"/>
  <c r="Y25" i="14"/>
  <c r="X25" i="14"/>
  <c r="W25" i="14"/>
  <c r="AA24" i="14"/>
  <c r="Z24" i="14"/>
  <c r="Y24" i="14"/>
  <c r="X24" i="14"/>
  <c r="W24" i="14"/>
  <c r="AA23" i="14"/>
  <c r="Z23" i="14"/>
  <c r="Y23" i="14"/>
  <c r="X23" i="14"/>
  <c r="W23" i="14"/>
  <c r="AA22" i="14"/>
  <c r="Z22" i="14"/>
  <c r="Y22" i="14"/>
  <c r="X22" i="14"/>
  <c r="W22" i="14"/>
  <c r="AA21" i="14"/>
  <c r="Z21" i="14"/>
  <c r="Y21" i="14"/>
  <c r="X21" i="14"/>
  <c r="W21" i="14"/>
  <c r="AA20" i="14"/>
  <c r="Z20" i="14"/>
  <c r="Y20" i="14"/>
  <c r="X20" i="14"/>
  <c r="W20" i="14"/>
  <c r="AA19" i="14"/>
  <c r="Z19" i="14"/>
  <c r="Y19" i="14"/>
  <c r="X19" i="14"/>
  <c r="W19" i="14"/>
  <c r="AA18" i="14"/>
  <c r="Z18" i="14"/>
  <c r="Y18" i="14"/>
  <c r="X18" i="14"/>
  <c r="W18" i="14"/>
  <c r="AA17" i="14"/>
  <c r="Z17" i="14"/>
  <c r="Y17" i="14"/>
  <c r="X17" i="14"/>
  <c r="W17" i="14"/>
  <c r="AA16" i="14"/>
  <c r="Z16" i="14"/>
  <c r="Y16" i="14"/>
  <c r="X16" i="14"/>
  <c r="W16" i="14"/>
  <c r="AA15" i="14"/>
  <c r="Z15" i="14"/>
  <c r="Y15" i="14"/>
  <c r="X15" i="14"/>
  <c r="W15" i="14"/>
  <c r="AA14" i="14"/>
  <c r="Z14" i="14"/>
  <c r="Y14" i="14"/>
  <c r="X14" i="14"/>
  <c r="W14" i="14"/>
  <c r="AA13" i="14"/>
  <c r="Z13" i="14"/>
  <c r="Y13" i="14"/>
  <c r="X13" i="14"/>
  <c r="W13" i="14"/>
  <c r="AA12" i="14"/>
  <c r="Z12" i="14"/>
  <c r="Y12" i="14"/>
  <c r="X12" i="14"/>
  <c r="W12" i="14"/>
  <c r="AA11" i="14"/>
  <c r="Z11" i="14"/>
  <c r="Y11" i="14"/>
  <c r="X11" i="14"/>
  <c r="W11" i="14"/>
  <c r="AA10" i="14"/>
  <c r="Z10" i="14"/>
  <c r="Y10" i="14"/>
  <c r="X10" i="14"/>
  <c r="W10" i="14"/>
  <c r="AA9" i="14"/>
  <c r="Z9" i="14"/>
  <c r="Y9" i="14"/>
  <c r="X9" i="14"/>
  <c r="W9" i="14"/>
  <c r="AA8" i="14"/>
  <c r="Z8" i="14"/>
  <c r="Y8" i="14"/>
  <c r="X8" i="14"/>
  <c r="W8" i="14"/>
  <c r="AA7" i="14"/>
  <c r="Z7" i="14"/>
  <c r="Y7" i="14"/>
  <c r="X7" i="14"/>
  <c r="W7" i="14"/>
  <c r="AA6" i="14"/>
  <c r="Z6" i="14"/>
  <c r="Y6" i="14"/>
  <c r="X6" i="14"/>
  <c r="W6" i="14"/>
  <c r="AA5" i="14"/>
  <c r="Z5" i="14"/>
  <c r="Y5" i="14"/>
  <c r="X5" i="14"/>
  <c r="W5" i="14"/>
  <c r="AA4" i="14"/>
  <c r="Z4" i="14"/>
  <c r="Y4" i="14"/>
  <c r="X4" i="14"/>
  <c r="W4" i="14"/>
  <c r="AA3" i="14"/>
  <c r="Z3" i="14"/>
  <c r="Y3" i="14"/>
  <c r="X3" i="14"/>
  <c r="W3" i="14"/>
  <c r="V74" i="14"/>
  <c r="V62" i="14"/>
  <c r="U62" i="14"/>
  <c r="AA2" i="14"/>
  <c r="Z2" i="14"/>
  <c r="Y2" i="14"/>
  <c r="X2" i="14"/>
  <c r="W2" i="14"/>
  <c r="B2" i="14"/>
  <c r="B3" i="14"/>
  <c r="B4" i="14"/>
  <c r="B5" i="14"/>
  <c r="B6" i="14"/>
  <c r="B7" i="14"/>
  <c r="B8" i="14"/>
  <c r="B9" i="14"/>
  <c r="U74" i="14" l="1"/>
  <c r="AC2" i="14" a="1"/>
  <c r="AI2" i="14" s="1"/>
  <c r="AG2" i="14" l="1"/>
  <c r="AE2" i="14"/>
  <c r="AC2" i="14"/>
  <c r="AF2" i="14"/>
  <c r="AJ2" i="14"/>
  <c r="AD2" i="14"/>
  <c r="AH2" i="14"/>
  <c r="D5" i="14" l="1"/>
  <c r="V2" i="14" s="1"/>
  <c r="U2" i="14" l="1"/>
  <c r="V135" i="14"/>
  <c r="V131" i="14"/>
  <c r="V127" i="14"/>
  <c r="V123" i="14"/>
  <c r="V134" i="14"/>
  <c r="V130" i="14"/>
  <c r="V126" i="14"/>
  <c r="V122" i="14"/>
  <c r="V133" i="14"/>
  <c r="V125" i="14"/>
  <c r="V118" i="14"/>
  <c r="V114" i="14"/>
  <c r="V136" i="14"/>
  <c r="V128" i="14"/>
  <c r="V117" i="14"/>
  <c r="V113" i="14"/>
  <c r="V129" i="14"/>
  <c r="V120" i="14"/>
  <c r="V112" i="14"/>
  <c r="V111" i="14"/>
  <c r="V107" i="14"/>
  <c r="V103" i="14"/>
  <c r="V99" i="14"/>
  <c r="V132" i="14"/>
  <c r="V115" i="14"/>
  <c r="V110" i="14"/>
  <c r="V106" i="14"/>
  <c r="V102" i="14"/>
  <c r="V98" i="14"/>
  <c r="V94" i="14"/>
  <c r="V90" i="14"/>
  <c r="V121" i="14"/>
  <c r="V105" i="14"/>
  <c r="V89" i="14"/>
  <c r="V88" i="14"/>
  <c r="V84" i="14"/>
  <c r="V80" i="14"/>
  <c r="V76" i="14"/>
  <c r="V124" i="14"/>
  <c r="V108" i="14"/>
  <c r="V100" i="14"/>
  <c r="V93" i="14"/>
  <c r="V92" i="14"/>
  <c r="V91" i="14"/>
  <c r="V87" i="14"/>
  <c r="V83" i="14"/>
  <c r="V79" i="14"/>
  <c r="V75" i="14"/>
  <c r="V71" i="14"/>
  <c r="V67" i="14"/>
  <c r="V116" i="14"/>
  <c r="V101" i="14"/>
  <c r="V82" i="14"/>
  <c r="V58" i="14"/>
  <c r="V54" i="14"/>
  <c r="V50" i="14"/>
  <c r="V46" i="14"/>
  <c r="V42" i="14"/>
  <c r="V38" i="14"/>
  <c r="V119" i="14"/>
  <c r="V104" i="14"/>
  <c r="V85" i="14"/>
  <c r="V77" i="14"/>
  <c r="V66" i="14"/>
  <c r="V65" i="14"/>
  <c r="V61" i="14"/>
  <c r="V57" i="14"/>
  <c r="V53" i="14"/>
  <c r="V49" i="14"/>
  <c r="V45" i="14"/>
  <c r="V41" i="14"/>
  <c r="V37" i="14"/>
  <c r="V33" i="14"/>
  <c r="V29" i="14"/>
  <c r="V25" i="14"/>
  <c r="V109" i="14"/>
  <c r="V86" i="14"/>
  <c r="V70" i="14"/>
  <c r="V69" i="14"/>
  <c r="V68" i="14"/>
  <c r="V60" i="14"/>
  <c r="V52" i="14"/>
  <c r="V44" i="14"/>
  <c r="V36" i="14"/>
  <c r="V24" i="14"/>
  <c r="V21" i="14"/>
  <c r="V17" i="14"/>
  <c r="V13" i="14"/>
  <c r="V9" i="14"/>
  <c r="V7" i="14"/>
  <c r="V5" i="14"/>
  <c r="V40" i="14"/>
  <c r="V73" i="14"/>
  <c r="V72" i="14"/>
  <c r="V63" i="14"/>
  <c r="V55" i="14"/>
  <c r="V47" i="14"/>
  <c r="V39" i="14"/>
  <c r="V28" i="14"/>
  <c r="V27" i="14"/>
  <c r="V26" i="14"/>
  <c r="V20" i="14"/>
  <c r="V16" i="14"/>
  <c r="V12" i="14"/>
  <c r="V3" i="14"/>
  <c r="V97" i="14"/>
  <c r="V96" i="14"/>
  <c r="V95" i="14"/>
  <c r="V78" i="14"/>
  <c r="V64" i="14"/>
  <c r="V56" i="14"/>
  <c r="V48" i="14"/>
  <c r="V8" i="14"/>
  <c r="V11" i="14"/>
  <c r="V19" i="14"/>
  <c r="V4" i="14"/>
  <c r="V10" i="14"/>
  <c r="V18" i="14"/>
  <c r="V43" i="14"/>
  <c r="V15" i="14"/>
  <c r="V23" i="14"/>
  <c r="V30" i="14"/>
  <c r="V31" i="14"/>
  <c r="V32" i="14"/>
  <c r="V51" i="14"/>
  <c r="V81" i="14"/>
  <c r="V6" i="14"/>
  <c r="V14" i="14"/>
  <c r="V22" i="14"/>
  <c r="V34" i="14"/>
  <c r="V35" i="14"/>
  <c r="V59" i="14"/>
  <c r="U22" i="14" l="1"/>
  <c r="U31" i="14"/>
  <c r="U23" i="14"/>
  <c r="U10" i="14"/>
  <c r="U8" i="14"/>
  <c r="U56" i="14"/>
  <c r="U96" i="14"/>
  <c r="U16" i="14"/>
  <c r="U28" i="14"/>
  <c r="U63" i="14"/>
  <c r="U40" i="14"/>
  <c r="U7" i="14"/>
  <c r="U21" i="14"/>
  <c r="U52" i="14"/>
  <c r="U109" i="14"/>
  <c r="U59" i="14"/>
  <c r="U34" i="14"/>
  <c r="U14" i="14"/>
  <c r="U81" i="14"/>
  <c r="U32" i="14"/>
  <c r="U30" i="14"/>
  <c r="U15" i="14"/>
  <c r="U18" i="14"/>
  <c r="U4" i="14"/>
  <c r="U11" i="14"/>
  <c r="U48" i="14"/>
  <c r="U64" i="14"/>
  <c r="U95" i="14"/>
  <c r="U97" i="14"/>
  <c r="U12" i="14"/>
  <c r="U20" i="14"/>
  <c r="U27" i="14"/>
  <c r="U39" i="14"/>
  <c r="U55" i="14"/>
  <c r="U72" i="14"/>
  <c r="U5" i="14"/>
  <c r="U9" i="14"/>
  <c r="U17" i="14"/>
  <c r="U24" i="14"/>
  <c r="U44" i="14"/>
  <c r="U60" i="14"/>
  <c r="U69" i="14"/>
  <c r="U86" i="14"/>
  <c r="U25" i="14"/>
  <c r="U33" i="14"/>
  <c r="U41" i="14"/>
  <c r="U49" i="14"/>
  <c r="U57" i="14"/>
  <c r="U65" i="14"/>
  <c r="U77" i="14"/>
  <c r="U104" i="14"/>
  <c r="U38" i="14"/>
  <c r="U46" i="14"/>
  <c r="U54" i="14"/>
  <c r="U101" i="14"/>
  <c r="U67" i="14"/>
  <c r="U75" i="14"/>
  <c r="U83" i="14"/>
  <c r="U91" i="14"/>
  <c r="U93" i="14"/>
  <c r="U108" i="14"/>
  <c r="U76" i="14"/>
  <c r="U84" i="14"/>
  <c r="U89" i="14"/>
  <c r="U121" i="14"/>
  <c r="U94" i="14"/>
  <c r="U102" i="14"/>
  <c r="U110" i="14"/>
  <c r="U132" i="14"/>
  <c r="U103" i="14"/>
  <c r="U111" i="14"/>
  <c r="U120" i="14"/>
  <c r="U113" i="14"/>
  <c r="U128" i="14"/>
  <c r="U114" i="14"/>
  <c r="U125" i="14"/>
  <c r="U122" i="14"/>
  <c r="U130" i="14"/>
  <c r="U123" i="14"/>
  <c r="U131" i="14"/>
  <c r="U35" i="14"/>
  <c r="U6" i="14"/>
  <c r="U51" i="14"/>
  <c r="U43" i="14"/>
  <c r="U19" i="14"/>
  <c r="U78" i="14"/>
  <c r="U3" i="14"/>
  <c r="U26" i="14"/>
  <c r="U47" i="14"/>
  <c r="U73" i="14"/>
  <c r="U13" i="14"/>
  <c r="U36" i="14"/>
  <c r="U68" i="14"/>
  <c r="U70" i="14"/>
  <c r="U29" i="14"/>
  <c r="U37" i="14"/>
  <c r="U45" i="14"/>
  <c r="U53" i="14"/>
  <c r="U61" i="14"/>
  <c r="U66" i="14"/>
  <c r="U85" i="14"/>
  <c r="U119" i="14"/>
  <c r="U42" i="14"/>
  <c r="U50" i="14"/>
  <c r="U58" i="14"/>
  <c r="U82" i="14"/>
  <c r="U116" i="14"/>
  <c r="U71" i="14"/>
  <c r="U79" i="14"/>
  <c r="U87" i="14"/>
  <c r="U92" i="14"/>
  <c r="U100" i="14"/>
  <c r="U124" i="14"/>
  <c r="U80" i="14"/>
  <c r="U88" i="14"/>
  <c r="U105" i="14"/>
  <c r="U90" i="14"/>
  <c r="U98" i="14"/>
  <c r="U106" i="14"/>
  <c r="U115" i="14"/>
  <c r="U99" i="14"/>
  <c r="U107" i="14"/>
  <c r="U112" i="14"/>
  <c r="U129" i="14"/>
  <c r="U117" i="14"/>
  <c r="U136" i="14"/>
  <c r="U118" i="14"/>
  <c r="U133" i="14"/>
  <c r="U126" i="14"/>
  <c r="U134" i="14"/>
  <c r="U127" i="14"/>
  <c r="U135" i="14"/>
  <c r="G44" i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9" i="2" l="1"/>
  <c r="Y2" i="2" s="1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8" i="2"/>
  <c r="W2" i="2" s="1"/>
  <c r="B3" i="2"/>
  <c r="K2" i="2" s="1"/>
  <c r="B4" i="2"/>
  <c r="M2" i="2" s="1"/>
  <c r="B5" i="2"/>
  <c r="O2" i="2" s="1"/>
  <c r="B7" i="2"/>
  <c r="S2" i="2" s="1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J9" i="14" s="1"/>
  <c r="C47" i="1"/>
  <c r="F47" i="1" s="1"/>
  <c r="I7" i="14" s="1"/>
  <c r="C46" i="1"/>
  <c r="F46" i="1" s="1"/>
  <c r="C45" i="1"/>
  <c r="F45" i="1" s="1"/>
  <c r="G8" i="14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U2" i="2"/>
  <c r="B12" i="14" l="1"/>
  <c r="F3" i="14" s="1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R2" i="2" s="1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I5" i="14" l="1"/>
  <c r="I6" i="14"/>
  <c r="G4" i="14"/>
  <c r="H4" i="14"/>
  <c r="J6" i="14"/>
  <c r="K6" i="14"/>
  <c r="H5" i="14"/>
  <c r="K7" i="14"/>
  <c r="M9" i="14"/>
  <c r="G3" i="14"/>
  <c r="M3" i="14"/>
  <c r="L8" i="14"/>
  <c r="F2" i="14"/>
  <c r="J2" i="2"/>
  <c r="I3" i="2" s="1"/>
  <c r="J3" i="2" s="1"/>
  <c r="Z2" i="2"/>
  <c r="Y3" i="2" s="1"/>
  <c r="Q3" i="2"/>
  <c r="X2" i="2"/>
  <c r="W3" i="2" s="1"/>
  <c r="L2" i="2"/>
  <c r="K3" i="2" s="1"/>
  <c r="T2" i="2"/>
  <c r="S3" i="2" s="1"/>
  <c r="N2" i="2"/>
  <c r="M3" i="2" s="1"/>
  <c r="P2" i="2"/>
  <c r="O3" i="2" s="1"/>
  <c r="R3" i="2" l="1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R4" i="2" l="1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R5" i="2" l="1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R6" i="2" l="1"/>
  <c r="Q7" i="2" s="1"/>
  <c r="Z6" i="2"/>
  <c r="Y7" i="2" s="1"/>
  <c r="I7" i="2"/>
  <c r="J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R7" i="2" l="1"/>
  <c r="Q8" i="2" s="1"/>
  <c r="I8" i="2"/>
  <c r="J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R9" i="2" l="1"/>
  <c r="Q10" i="2" s="1"/>
  <c r="I10" i="2"/>
  <c r="J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R11" i="2" l="1"/>
  <c r="Q12" i="2" s="1"/>
  <c r="I12" i="2"/>
  <c r="J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R13" i="2" l="1"/>
  <c r="Q14" i="2" s="1"/>
  <c r="I14" i="2"/>
  <c r="J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R15" i="2" l="1"/>
  <c r="Q16" i="2" s="1"/>
  <c r="I16" i="2"/>
  <c r="J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R16" i="2" l="1"/>
  <c r="Q17" i="2" s="1"/>
  <c r="I17" i="2"/>
  <c r="J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R17" i="2" l="1"/>
  <c r="Q18" i="2" s="1"/>
  <c r="I18" i="2"/>
  <c r="J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R19" i="2" l="1"/>
  <c r="Q20" i="2" s="1"/>
  <c r="I20" i="2"/>
  <c r="J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R21" i="2" l="1"/>
  <c r="I22" i="2"/>
  <c r="J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Q22" i="2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R23" i="2" l="1"/>
  <c r="Q24" i="2" s="1"/>
  <c r="I24" i="2"/>
  <c r="J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R25" i="2" l="1"/>
  <c r="Q26" i="2" s="1"/>
  <c r="Z25" i="2"/>
  <c r="Y26" i="2" s="1"/>
  <c r="I26" i="2"/>
  <c r="J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R26" i="2" l="1"/>
  <c r="Q27" i="2" s="1"/>
  <c r="I27" i="2"/>
  <c r="J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3" i="1"/>
  <c r="H16" i="1"/>
  <c r="H14" i="1"/>
  <c r="H12" i="1"/>
  <c r="H11" i="1"/>
  <c r="H17" i="1"/>
  <c r="H15" i="1"/>
  <c r="R28" i="2" l="1"/>
  <c r="Q29" i="2" s="1"/>
  <c r="I29" i="2"/>
  <c r="J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R29" i="2" l="1"/>
  <c r="Q30" i="2" s="1"/>
  <c r="I30" i="2"/>
  <c r="J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R31" i="2" l="1"/>
  <c r="Q32" i="2" s="1"/>
  <c r="I32" i="2"/>
  <c r="J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R33" i="2" l="1"/>
  <c r="Q34" i="2" s="1"/>
  <c r="I34" i="2"/>
  <c r="J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R34" i="2" l="1"/>
  <c r="Q35" i="2" s="1"/>
  <c r="I35" i="2"/>
  <c r="J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R35" i="2" l="1"/>
  <c r="Q36" i="2" s="1"/>
  <c r="I36" i="2"/>
  <c r="J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R40" i="2" l="1"/>
  <c r="Q41" i="2" s="1"/>
  <c r="I41" i="2"/>
  <c r="J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R41" i="2" l="1"/>
  <c r="Q42" i="2" s="1"/>
  <c r="I42" i="2"/>
  <c r="J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R42" i="2" l="1"/>
  <c r="Q43" i="2" s="1"/>
  <c r="I43" i="2"/>
  <c r="J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R43" i="2" l="1"/>
  <c r="Q44" i="2" s="1"/>
  <c r="I44" i="2"/>
  <c r="J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R45" i="2" l="1"/>
  <c r="Q46" i="2" s="1"/>
  <c r="I46" i="2"/>
  <c r="J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R47" i="2" l="1"/>
  <c r="Q48" i="2" s="1"/>
  <c r="I48" i="2"/>
  <c r="J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R50" i="2" l="1"/>
  <c r="Q51" i="2" s="1"/>
  <c r="I51" i="2"/>
  <c r="J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R53" i="2" l="1"/>
  <c r="Q54" i="2" s="1"/>
  <c r="I54" i="2"/>
  <c r="J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R55" i="2" l="1"/>
  <c r="Q56" i="2" s="1"/>
  <c r="I56" i="2"/>
  <c r="J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R57" i="2" l="1"/>
  <c r="Q58" i="2" s="1"/>
  <c r="I58" i="2"/>
  <c r="J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R59" i="2" l="1"/>
  <c r="Q60" i="2" s="1"/>
  <c r="I60" i="2"/>
  <c r="J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R65" i="2" l="1"/>
  <c r="Q66" i="2" s="1"/>
  <c r="I66" i="2"/>
  <c r="J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R69" i="2" l="1"/>
  <c r="Q70" i="2" s="1"/>
  <c r="I70" i="2"/>
  <c r="J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R72" i="2" l="1"/>
  <c r="Q73" i="2" s="1"/>
  <c r="I73" i="2"/>
  <c r="J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R75" i="2" l="1"/>
  <c r="Q76" i="2" s="1"/>
  <c r="I76" i="2"/>
  <c r="J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R76" i="2" l="1"/>
  <c r="Q77" i="2" s="1"/>
  <c r="I77" i="2"/>
  <c r="J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R77" i="2" l="1"/>
  <c r="Q78" i="2" s="1"/>
  <c r="I78" i="2"/>
  <c r="J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R78" i="2" l="1"/>
  <c r="Q79" i="2" s="1"/>
  <c r="I79" i="2"/>
  <c r="J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R81" i="2" l="1"/>
  <c r="Q82" i="2" s="1"/>
  <c r="I82" i="2"/>
  <c r="J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R83" i="2" l="1"/>
  <c r="Q84" i="2" s="1"/>
  <c r="I84" i="2"/>
  <c r="J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R84" i="2" l="1"/>
  <c r="Q85" i="2" s="1"/>
  <c r="I85" i="2"/>
  <c r="J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R87" i="2" l="1"/>
  <c r="Q88" i="2" s="1"/>
  <c r="I88" i="2"/>
  <c r="J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R89" i="2" l="1"/>
  <c r="Q90" i="2" s="1"/>
  <c r="I90" i="2"/>
  <c r="J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R90" i="2" l="1"/>
  <c r="Q91" i="2" s="1"/>
  <c r="I91" i="2"/>
  <c r="J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R93" i="2" l="1"/>
  <c r="Q94" i="2" s="1"/>
  <c r="I94" i="2"/>
  <c r="J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R99" i="2" l="1"/>
  <c r="Q100" i="2" s="1"/>
  <c r="I100" i="2"/>
  <c r="J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R101" i="2" l="1"/>
  <c r="Q102" i="2" s="1"/>
  <c r="I102" i="2"/>
  <c r="J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R102" i="2" l="1"/>
  <c r="Q103" i="2" s="1"/>
  <c r="I103" i="2"/>
  <c r="J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R104" i="2" l="1"/>
  <c r="Q105" i="2" s="1"/>
  <c r="I105" i="2"/>
  <c r="J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R111" i="2" l="1"/>
  <c r="Q112" i="2" s="1"/>
  <c r="Z111" i="2"/>
  <c r="Y112" i="2" s="1"/>
  <c r="I112" i="2"/>
  <c r="J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R112" i="2" l="1"/>
  <c r="Q113" i="2" s="1"/>
  <c r="I113" i="2"/>
  <c r="J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R114" i="2" l="1"/>
  <c r="Q115" i="2" s="1"/>
  <c r="I115" i="2"/>
  <c r="J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R115" i="2" l="1"/>
  <c r="Q116" i="2" s="1"/>
  <c r="I116" i="2"/>
  <c r="J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R119" i="2" l="1"/>
  <c r="Q120" i="2" s="1"/>
  <c r="I120" i="2"/>
  <c r="J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R121" i="2" l="1"/>
  <c r="Q122" i="2" s="1"/>
  <c r="Z121" i="2"/>
  <c r="Y122" i="2" s="1"/>
  <c r="I122" i="2"/>
  <c r="J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R122" i="2" l="1"/>
  <c r="Q123" i="2" s="1"/>
  <c r="I123" i="2"/>
  <c r="J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R124" i="2" l="1"/>
  <c r="Q125" i="2" s="1"/>
  <c r="I125" i="2"/>
  <c r="J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R128" i="2" l="1"/>
  <c r="Q129" i="2" s="1"/>
  <c r="I129" i="2"/>
  <c r="J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R131" i="2" l="1"/>
  <c r="Q132" i="2" s="1"/>
  <c r="I132" i="2"/>
  <c r="J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R132" i="2" l="1"/>
  <c r="Q133" i="2" s="1"/>
  <c r="I133" i="2"/>
  <c r="J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R135" i="2" l="1"/>
  <c r="Q136" i="2" s="1"/>
  <c r="I136" i="2"/>
  <c r="J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F12" i="14" l="1" a="1"/>
  <c r="F18" i="14" l="1"/>
  <c r="F13" i="14"/>
  <c r="F17" i="14"/>
  <c r="F12" i="14"/>
  <c r="F19" i="14"/>
  <c r="F15" i="14"/>
  <c r="F14" i="14"/>
  <c r="F16" i="14"/>
  <c r="F22" i="14" l="1" a="1"/>
  <c r="F27" i="14" s="1"/>
  <c r="F26" i="14" l="1"/>
  <c r="F23" i="14"/>
  <c r="F24" i="14"/>
  <c r="F25" i="14"/>
  <c r="F29" i="14"/>
  <c r="F28" i="14"/>
  <c r="F22" i="14"/>
  <c r="F32" i="14" l="1" a="1"/>
  <c r="F39" i="14" s="1"/>
  <c r="F34" i="14" l="1"/>
  <c r="F35" i="14"/>
  <c r="F33" i="14"/>
  <c r="F36" i="14"/>
  <c r="F32" i="14"/>
  <c r="F38" i="14"/>
  <c r="F37" i="14"/>
  <c r="F42" i="14" l="1" a="1"/>
  <c r="F45" i="14" s="1"/>
  <c r="F42" i="14" l="1"/>
  <c r="F47" i="14"/>
  <c r="F49" i="14"/>
  <c r="F48" i="14"/>
  <c r="F43" i="14"/>
  <c r="F46" i="14"/>
  <c r="F44" i="14"/>
  <c r="F52" i="14" l="1" a="1"/>
  <c r="F59" i="14" s="1"/>
  <c r="F53" i="14" l="1"/>
  <c r="F55" i="14"/>
  <c r="F58" i="14"/>
  <c r="F52" i="14"/>
  <c r="F57" i="14"/>
  <c r="F56" i="14"/>
  <c r="F54" i="14"/>
  <c r="AC13" i="14" l="1" a="1"/>
  <c r="AC10" i="14" a="1"/>
  <c r="AC14" i="14" a="1"/>
  <c r="AC6" i="14" a="1"/>
  <c r="AC11" i="14" a="1"/>
  <c r="AC3" i="14" a="1"/>
  <c r="AC5" i="14" a="1"/>
  <c r="AC12" i="14" a="1"/>
  <c r="AC4" i="14" a="1"/>
  <c r="AC8" i="14" a="1"/>
  <c r="AC7" i="14" a="1"/>
  <c r="AC9" i="14" a="1"/>
  <c r="AI9" i="14" l="1"/>
  <c r="AC9" i="14"/>
  <c r="AD9" i="14"/>
  <c r="AF9" i="14"/>
  <c r="AJ9" i="14"/>
  <c r="AE9" i="14"/>
  <c r="AH9" i="14"/>
  <c r="AG9" i="14"/>
  <c r="AJ8" i="14"/>
  <c r="AH8" i="14"/>
  <c r="AE8" i="14"/>
  <c r="AI8" i="14"/>
  <c r="AF8" i="14"/>
  <c r="AC8" i="14"/>
  <c r="AG8" i="14"/>
  <c r="AD8" i="14"/>
  <c r="AJ12" i="14"/>
  <c r="AF12" i="14"/>
  <c r="AE12" i="14"/>
  <c r="AI12" i="14"/>
  <c r="AD12" i="14"/>
  <c r="AH12" i="14"/>
  <c r="AC12" i="14"/>
  <c r="AG12" i="14"/>
  <c r="AJ3" i="14"/>
  <c r="AG3" i="14"/>
  <c r="AC3" i="14"/>
  <c r="AI3" i="14"/>
  <c r="AE3" i="14"/>
  <c r="AD3" i="14"/>
  <c r="AF3" i="14"/>
  <c r="AH3" i="14"/>
  <c r="AJ6" i="14"/>
  <c r="AF6" i="14"/>
  <c r="AC6" i="14"/>
  <c r="AG6" i="14"/>
  <c r="AD6" i="14"/>
  <c r="AH6" i="14"/>
  <c r="AE6" i="14"/>
  <c r="AI6" i="14"/>
  <c r="AJ10" i="14"/>
  <c r="AG10" i="14"/>
  <c r="AF10" i="14"/>
  <c r="AE10" i="14"/>
  <c r="AI10" i="14"/>
  <c r="AD10" i="14"/>
  <c r="AH10" i="14"/>
  <c r="AC10" i="14"/>
  <c r="AJ7" i="14"/>
  <c r="AG7" i="14"/>
  <c r="AC7" i="14"/>
  <c r="AI7" i="14"/>
  <c r="AE7" i="14"/>
  <c r="AF7" i="14"/>
  <c r="AD7" i="14"/>
  <c r="AH7" i="14"/>
  <c r="AJ4" i="14"/>
  <c r="AI4" i="14"/>
  <c r="AC4" i="14"/>
  <c r="AG4" i="14"/>
  <c r="AD4" i="14"/>
  <c r="AH4" i="14"/>
  <c r="AE4" i="14"/>
  <c r="AF4" i="14"/>
  <c r="AI5" i="14"/>
  <c r="AC5" i="14"/>
  <c r="AE5" i="14"/>
  <c r="AJ5" i="14"/>
  <c r="AD5" i="14"/>
  <c r="AH5" i="14"/>
  <c r="AF5" i="14"/>
  <c r="AG5" i="14"/>
  <c r="AI11" i="14"/>
  <c r="AE11" i="14"/>
  <c r="AC11" i="14"/>
  <c r="AH11" i="14"/>
  <c r="AF11" i="14"/>
  <c r="AJ11" i="14"/>
  <c r="AD11" i="14"/>
  <c r="AG11" i="14"/>
  <c r="AJ14" i="14"/>
  <c r="AI14" i="14"/>
  <c r="AH14" i="14"/>
  <c r="AC14" i="14"/>
  <c r="AG14" i="14"/>
  <c r="AF14" i="14"/>
  <c r="AE14" i="14"/>
  <c r="AD14" i="14"/>
  <c r="AJ13" i="14"/>
  <c r="AI13" i="14"/>
  <c r="AE13" i="14"/>
  <c r="AG13" i="14"/>
  <c r="AC13" i="14"/>
  <c r="AD13" i="14"/>
  <c r="AF13" i="14"/>
  <c r="AH13" i="14"/>
  <c r="G12" i="14" l="1" a="1"/>
  <c r="G19" i="14" s="1"/>
  <c r="G13" i="14" l="1"/>
  <c r="G12" i="14"/>
  <c r="G15" i="14"/>
  <c r="G16" i="14"/>
  <c r="G18" i="14"/>
  <c r="G17" i="14"/>
  <c r="G14" i="14"/>
  <c r="G22" i="14" l="1" a="1"/>
  <c r="G22" i="14" s="1"/>
  <c r="G29" i="14" l="1"/>
  <c r="G28" i="14"/>
  <c r="G25" i="14"/>
  <c r="G24" i="14"/>
  <c r="G27" i="14"/>
  <c r="G23" i="14"/>
  <c r="G26" i="14"/>
  <c r="G32" i="14" l="1" a="1"/>
  <c r="G38" i="14" s="1"/>
  <c r="G39" i="14" l="1"/>
  <c r="G33" i="14"/>
  <c r="G32" i="14"/>
  <c r="G35" i="14"/>
  <c r="G36" i="14"/>
  <c r="G37" i="14"/>
  <c r="G34" i="14"/>
  <c r="G42" i="14" l="1" a="1"/>
  <c r="G43" i="14" s="1"/>
  <c r="G47" i="14" l="1"/>
  <c r="G49" i="14"/>
  <c r="G42" i="14"/>
  <c r="G48" i="14"/>
  <c r="G46" i="14"/>
  <c r="G44" i="14"/>
  <c r="G45" i="14"/>
  <c r="G52" i="14" l="1" a="1"/>
  <c r="G55" i="14" s="1"/>
  <c r="G52" i="14" l="1"/>
  <c r="AC25" i="14" s="1" a="1"/>
  <c r="G53" i="14"/>
  <c r="G59" i="14"/>
  <c r="G58" i="14"/>
  <c r="G56" i="14"/>
  <c r="G54" i="14"/>
  <c r="G57" i="14"/>
  <c r="AJ25" i="14" l="1"/>
  <c r="AI25" i="14"/>
  <c r="AE25" i="14"/>
  <c r="AG25" i="14"/>
  <c r="AC25" i="14"/>
  <c r="AF25" i="14"/>
  <c r="AD25" i="14"/>
  <c r="AH25" i="14"/>
  <c r="AC22" i="14" a="1"/>
  <c r="AC18" i="14" a="1"/>
  <c r="AC15" i="14" a="1"/>
  <c r="AC17" i="14" a="1"/>
  <c r="AC24" i="14" a="1"/>
  <c r="AC26" i="14" a="1"/>
  <c r="AC23" i="14" a="1"/>
  <c r="AC16" i="14" a="1"/>
  <c r="AC19" i="14" a="1"/>
  <c r="AC20" i="14" a="1"/>
  <c r="AC21" i="14" a="1"/>
  <c r="AI21" i="14" l="1"/>
  <c r="AD21" i="14"/>
  <c r="AH21" i="14"/>
  <c r="AC21" i="14"/>
  <c r="AF21" i="14"/>
  <c r="AJ21" i="14"/>
  <c r="AE21" i="14"/>
  <c r="AG21" i="14"/>
  <c r="AJ20" i="14"/>
  <c r="AC20" i="14"/>
  <c r="AG20" i="14"/>
  <c r="AE20" i="14"/>
  <c r="AI20" i="14"/>
  <c r="AD20" i="14"/>
  <c r="AH20" i="14"/>
  <c r="AF20" i="14"/>
  <c r="AJ16" i="14"/>
  <c r="AC16" i="14"/>
  <c r="AG16" i="14"/>
  <c r="AF16" i="14"/>
  <c r="AE16" i="14"/>
  <c r="AI16" i="14"/>
  <c r="AD16" i="14"/>
  <c r="AH16" i="14"/>
  <c r="AJ26" i="14"/>
  <c r="AC26" i="14"/>
  <c r="AG26" i="14"/>
  <c r="AE26" i="14"/>
  <c r="AI26" i="14"/>
  <c r="AD26" i="14"/>
  <c r="AH26" i="14"/>
  <c r="AF26" i="14"/>
  <c r="AI17" i="14"/>
  <c r="AD17" i="14"/>
  <c r="AH17" i="14"/>
  <c r="AC17" i="14"/>
  <c r="AF17" i="14"/>
  <c r="AJ17" i="14"/>
  <c r="AE17" i="14"/>
  <c r="AG17" i="14"/>
  <c r="AJ18" i="14"/>
  <c r="AC18" i="14"/>
  <c r="AG18" i="14"/>
  <c r="AF18" i="14"/>
  <c r="AE18" i="14"/>
  <c r="AI18" i="14"/>
  <c r="AD18" i="14"/>
  <c r="AH18" i="14"/>
  <c r="AI19" i="14"/>
  <c r="AD19" i="14"/>
  <c r="AH19" i="14"/>
  <c r="AG19" i="14"/>
  <c r="AF19" i="14"/>
  <c r="AJ19" i="14"/>
  <c r="AE19" i="14"/>
  <c r="AC19" i="14"/>
  <c r="AJ23" i="14"/>
  <c r="AI23" i="14"/>
  <c r="AE23" i="14"/>
  <c r="AG23" i="14"/>
  <c r="AC23" i="14"/>
  <c r="AD23" i="14"/>
  <c r="AH23" i="14"/>
  <c r="AF23" i="14"/>
  <c r="AJ24" i="14"/>
  <c r="AE24" i="14"/>
  <c r="AI24" i="14"/>
  <c r="AH24" i="14"/>
  <c r="AC24" i="14"/>
  <c r="AG24" i="14"/>
  <c r="AF24" i="14"/>
  <c r="AD24" i="14"/>
  <c r="AI15" i="14"/>
  <c r="AD15" i="14"/>
  <c r="AH15" i="14"/>
  <c r="AG15" i="14"/>
  <c r="AF15" i="14"/>
  <c r="AJ15" i="14"/>
  <c r="AE15" i="14"/>
  <c r="AC15" i="14"/>
  <c r="AJ22" i="14"/>
  <c r="AC22" i="14"/>
  <c r="AG22" i="14"/>
  <c r="AF22" i="14"/>
  <c r="AE22" i="14"/>
  <c r="AI22" i="14"/>
  <c r="AD22" i="14"/>
  <c r="AH22" i="14"/>
  <c r="H12" i="14" l="1" a="1"/>
  <c r="H17" i="14" l="1"/>
  <c r="H14" i="14"/>
  <c r="H16" i="14"/>
  <c r="H12" i="14"/>
  <c r="H19" i="14"/>
  <c r="H18" i="14"/>
  <c r="H13" i="14"/>
  <c r="H15" i="14"/>
  <c r="H22" i="14" l="1" a="1"/>
  <c r="H25" i="14" l="1"/>
  <c r="H29" i="14"/>
  <c r="H27" i="14"/>
  <c r="H22" i="14"/>
  <c r="H24" i="14"/>
  <c r="H23" i="14"/>
  <c r="H28" i="14"/>
  <c r="H26" i="14"/>
  <c r="H32" i="14" l="1" a="1"/>
  <c r="H39" i="14" l="1"/>
  <c r="H37" i="14"/>
  <c r="H35" i="14"/>
  <c r="H32" i="14"/>
  <c r="H36" i="14"/>
  <c r="H33" i="14"/>
  <c r="H38" i="14"/>
  <c r="H34" i="14"/>
  <c r="H42" i="14" l="1" a="1"/>
  <c r="H49" i="14" l="1"/>
  <c r="H44" i="14"/>
  <c r="H47" i="14"/>
  <c r="H42" i="14"/>
  <c r="H48" i="14"/>
  <c r="H43" i="14"/>
  <c r="H45" i="14"/>
  <c r="H46" i="14"/>
  <c r="H52" i="14" l="1" a="1"/>
  <c r="H58" i="14" l="1"/>
  <c r="H52" i="14"/>
  <c r="H57" i="14"/>
  <c r="H53" i="14"/>
  <c r="H56" i="14"/>
  <c r="H59" i="14"/>
  <c r="H55" i="14"/>
  <c r="H54" i="14"/>
  <c r="AC38" i="14" l="1" a="1"/>
  <c r="AC28" i="14" a="1"/>
  <c r="AC30" i="14" a="1"/>
  <c r="AC32" i="14" a="1"/>
  <c r="AC29" i="14" a="1"/>
  <c r="AC31" i="14" a="1"/>
  <c r="AC35" i="14" a="1"/>
  <c r="AC27" i="14" a="1"/>
  <c r="AC36" i="14" a="1"/>
  <c r="AC34" i="14" a="1"/>
  <c r="AC37" i="14" a="1"/>
  <c r="AC33" i="14" a="1"/>
  <c r="AJ37" i="14" l="1"/>
  <c r="AG37" i="14"/>
  <c r="AC37" i="14"/>
  <c r="AI37" i="14"/>
  <c r="AE37" i="14"/>
  <c r="AF37" i="14"/>
  <c r="AD37" i="14"/>
  <c r="AH37" i="14"/>
  <c r="AI33" i="14"/>
  <c r="AG33" i="14"/>
  <c r="AC33" i="14"/>
  <c r="AE33" i="14"/>
  <c r="AF33" i="14"/>
  <c r="AJ33" i="14"/>
  <c r="AD33" i="14"/>
  <c r="AH33" i="14"/>
  <c r="AJ34" i="14"/>
  <c r="AE34" i="14"/>
  <c r="AI34" i="14"/>
  <c r="AF34" i="14"/>
  <c r="AC34" i="14"/>
  <c r="AG34" i="14"/>
  <c r="AD34" i="14"/>
  <c r="AH34" i="14"/>
  <c r="AJ27" i="14"/>
  <c r="AI27" i="14"/>
  <c r="AE27" i="14"/>
  <c r="AG27" i="14"/>
  <c r="AC27" i="14"/>
  <c r="AF27" i="14"/>
  <c r="AD27" i="14"/>
  <c r="AH27" i="14"/>
  <c r="AI31" i="14"/>
  <c r="AE31" i="14"/>
  <c r="AG31" i="14"/>
  <c r="AC31" i="14"/>
  <c r="AF31" i="14"/>
  <c r="AJ31" i="14"/>
  <c r="AD31" i="14"/>
  <c r="AH31" i="14"/>
  <c r="AJ32" i="14"/>
  <c r="AE32" i="14"/>
  <c r="AI32" i="14"/>
  <c r="AD32" i="14"/>
  <c r="AH32" i="14"/>
  <c r="AC32" i="14"/>
  <c r="AG32" i="14"/>
  <c r="AF32" i="14"/>
  <c r="AJ28" i="14"/>
  <c r="AC28" i="14"/>
  <c r="AG28" i="14"/>
  <c r="AD28" i="14"/>
  <c r="AH28" i="14"/>
  <c r="AE28" i="14"/>
  <c r="AI28" i="14"/>
  <c r="AF28" i="14"/>
  <c r="AJ36" i="14"/>
  <c r="AE36" i="14"/>
  <c r="AI36" i="14"/>
  <c r="AD36" i="14"/>
  <c r="AH36" i="14"/>
  <c r="AC36" i="14"/>
  <c r="AG36" i="14"/>
  <c r="AF36" i="14"/>
  <c r="AI35" i="14"/>
  <c r="AE35" i="14"/>
  <c r="AG35" i="14"/>
  <c r="AC35" i="14"/>
  <c r="AF35" i="14"/>
  <c r="AJ35" i="14"/>
  <c r="AD35" i="14"/>
  <c r="AH35" i="14"/>
  <c r="AJ29" i="14"/>
  <c r="AI29" i="14"/>
  <c r="AE29" i="14"/>
  <c r="AG29" i="14"/>
  <c r="AC29" i="14"/>
  <c r="AD29" i="14"/>
  <c r="AH29" i="14"/>
  <c r="AF29" i="14"/>
  <c r="AJ30" i="14"/>
  <c r="AE30" i="14"/>
  <c r="AI30" i="14"/>
  <c r="AF30" i="14"/>
  <c r="AC30" i="14"/>
  <c r="AG30" i="14"/>
  <c r="AD30" i="14"/>
  <c r="AH30" i="14"/>
  <c r="AJ38" i="14"/>
  <c r="AC38" i="14"/>
  <c r="AG38" i="14"/>
  <c r="AF38" i="14"/>
  <c r="AE38" i="14"/>
  <c r="AI38" i="14"/>
  <c r="AD38" i="14"/>
  <c r="AH38" i="14"/>
  <c r="I12" i="14" l="1" a="1"/>
  <c r="I14" i="14" l="1"/>
  <c r="I18" i="14"/>
  <c r="I19" i="14"/>
  <c r="I15" i="14"/>
  <c r="I12" i="14"/>
  <c r="I17" i="14"/>
  <c r="I16" i="14"/>
  <c r="I13" i="14"/>
  <c r="I22" i="14" l="1" a="1"/>
  <c r="I28" i="14" l="1"/>
  <c r="I26" i="14"/>
  <c r="I23" i="14"/>
  <c r="I27" i="14"/>
  <c r="I25" i="14"/>
  <c r="I22" i="14"/>
  <c r="I29" i="14"/>
  <c r="I24" i="14"/>
  <c r="I32" i="14" l="1" a="1"/>
  <c r="I36" i="14" l="1"/>
  <c r="I39" i="14"/>
  <c r="I38" i="14"/>
  <c r="I37" i="14"/>
  <c r="I32" i="14"/>
  <c r="I34" i="14"/>
  <c r="I33" i="14"/>
  <c r="I35" i="14"/>
  <c r="I42" i="14" l="1" a="1"/>
  <c r="I47" i="14" l="1"/>
  <c r="I42" i="14"/>
  <c r="I44" i="14"/>
  <c r="I46" i="14"/>
  <c r="I45" i="14"/>
  <c r="I49" i="14"/>
  <c r="I43" i="14"/>
  <c r="I48" i="14"/>
  <c r="I52" i="14" l="1" a="1"/>
  <c r="I52" i="14" l="1"/>
  <c r="I57" i="14"/>
  <c r="I55" i="14"/>
  <c r="I54" i="14"/>
  <c r="I53" i="14"/>
  <c r="I59" i="14"/>
  <c r="I58" i="14"/>
  <c r="I56" i="14"/>
  <c r="AC50" i="14" l="1" a="1"/>
  <c r="AC49" i="14" a="1"/>
  <c r="AC41" i="14" a="1"/>
  <c r="AC39" i="14" a="1"/>
  <c r="AC40" i="14" a="1"/>
  <c r="AC44" i="14" a="1"/>
  <c r="AC45" i="14" a="1"/>
  <c r="AC42" i="14" a="1"/>
  <c r="AC48" i="14" a="1"/>
  <c r="AC46" i="14" a="1"/>
  <c r="AC43" i="14" a="1"/>
  <c r="AC47" i="14" a="1"/>
  <c r="AJ43" i="14" l="1"/>
  <c r="AI43" i="14"/>
  <c r="AE43" i="14"/>
  <c r="AG43" i="14"/>
  <c r="AC43" i="14"/>
  <c r="AF43" i="14"/>
  <c r="AH43" i="14"/>
  <c r="AD43" i="14"/>
  <c r="AJ47" i="14"/>
  <c r="AI47" i="14"/>
  <c r="AE47" i="14"/>
  <c r="AG47" i="14"/>
  <c r="AC47" i="14"/>
  <c r="AF47" i="14"/>
  <c r="AD47" i="14"/>
  <c r="AH47" i="14"/>
  <c r="AJ46" i="14"/>
  <c r="AE46" i="14"/>
  <c r="AI46" i="14"/>
  <c r="AD46" i="14"/>
  <c r="AH46" i="14"/>
  <c r="AC46" i="14"/>
  <c r="AF46" i="14"/>
  <c r="AG46" i="14"/>
  <c r="AJ42" i="14"/>
  <c r="AE42" i="14"/>
  <c r="AI42" i="14"/>
  <c r="AD42" i="14"/>
  <c r="AH42" i="14"/>
  <c r="AG42" i="14"/>
  <c r="AC42" i="14"/>
  <c r="AF42" i="14"/>
  <c r="AJ44" i="14"/>
  <c r="AC44" i="14"/>
  <c r="AG44" i="14"/>
  <c r="AF44" i="14"/>
  <c r="AI44" i="14"/>
  <c r="AD44" i="14"/>
  <c r="AE44" i="14"/>
  <c r="AH44" i="14"/>
  <c r="AJ39" i="14"/>
  <c r="AG39" i="14"/>
  <c r="AC39" i="14"/>
  <c r="AI39" i="14"/>
  <c r="AE39" i="14"/>
  <c r="AD39" i="14"/>
  <c r="AH39" i="14"/>
  <c r="AF39" i="14"/>
  <c r="AJ49" i="14"/>
  <c r="AI49" i="14"/>
  <c r="AE49" i="14"/>
  <c r="AG49" i="14"/>
  <c r="AC49" i="14"/>
  <c r="AD49" i="14"/>
  <c r="AH49" i="14"/>
  <c r="AF49" i="14"/>
  <c r="AJ48" i="14"/>
  <c r="AC48" i="14"/>
  <c r="AG48" i="14"/>
  <c r="AF48" i="14"/>
  <c r="AE48" i="14"/>
  <c r="AH48" i="14"/>
  <c r="AI48" i="14"/>
  <c r="AD48" i="14"/>
  <c r="AJ45" i="14"/>
  <c r="AI45" i="14"/>
  <c r="AE45" i="14"/>
  <c r="AG45" i="14"/>
  <c r="AC45" i="14"/>
  <c r="AD45" i="14"/>
  <c r="AH45" i="14"/>
  <c r="AF45" i="14"/>
  <c r="AJ40" i="14"/>
  <c r="AE40" i="14"/>
  <c r="AI40" i="14"/>
  <c r="AF40" i="14"/>
  <c r="AG40" i="14"/>
  <c r="AH40" i="14"/>
  <c r="AC40" i="14"/>
  <c r="AD40" i="14"/>
  <c r="AI41" i="14"/>
  <c r="AG41" i="14"/>
  <c r="AC41" i="14"/>
  <c r="AE41" i="14"/>
  <c r="AF41" i="14"/>
  <c r="AJ41" i="14"/>
  <c r="AH41" i="14"/>
  <c r="AD41" i="14"/>
  <c r="AJ50" i="14"/>
  <c r="AE50" i="14"/>
  <c r="AI50" i="14"/>
  <c r="AD50" i="14"/>
  <c r="AG50" i="14"/>
  <c r="AH50" i="14"/>
  <c r="AC50" i="14"/>
  <c r="AF50" i="14"/>
  <c r="J12" i="14" l="1" a="1"/>
  <c r="J17" i="14" l="1"/>
  <c r="J19" i="14"/>
  <c r="J13" i="14"/>
  <c r="J16" i="14"/>
  <c r="J12" i="14"/>
  <c r="J15" i="14"/>
  <c r="J18" i="14"/>
  <c r="J14" i="14"/>
  <c r="J22" i="14" l="1" a="1"/>
  <c r="J23" i="14" l="1"/>
  <c r="J22" i="14"/>
  <c r="J27" i="14"/>
  <c r="J24" i="14"/>
  <c r="J25" i="14"/>
  <c r="J26" i="14"/>
  <c r="J28" i="14"/>
  <c r="J29" i="14"/>
  <c r="J32" i="14" l="1" a="1"/>
  <c r="J39" i="14" l="1"/>
  <c r="J37" i="14"/>
  <c r="J34" i="14"/>
  <c r="J36" i="14"/>
  <c r="J38" i="14"/>
  <c r="J35" i="14"/>
  <c r="J32" i="14"/>
  <c r="J33" i="14"/>
  <c r="J42" i="14" l="1" a="1"/>
  <c r="J45" i="14" l="1"/>
  <c r="J43" i="14"/>
  <c r="J47" i="14"/>
  <c r="J42" i="14"/>
  <c r="J48" i="14"/>
  <c r="J49" i="14"/>
  <c r="J46" i="14"/>
  <c r="J44" i="14"/>
  <c r="J52" i="14" l="1" a="1"/>
  <c r="J52" i="14" l="1"/>
  <c r="J54" i="14"/>
  <c r="J53" i="14"/>
  <c r="J58" i="14"/>
  <c r="J57" i="14"/>
  <c r="J56" i="14"/>
  <c r="J59" i="14"/>
  <c r="J55" i="14"/>
  <c r="AC56" i="14" l="1" a="1"/>
  <c r="AC53" i="14" a="1"/>
  <c r="AC51" i="14" a="1"/>
  <c r="AC61" i="14" a="1"/>
  <c r="AC55" i="14" a="1"/>
  <c r="AC57" i="14" a="1"/>
  <c r="AC62" i="14" a="1"/>
  <c r="AC59" i="14" a="1"/>
  <c r="AC58" i="14" a="1"/>
  <c r="AC60" i="14" a="1"/>
  <c r="AC52" i="14" a="1"/>
  <c r="AC54" i="14" a="1"/>
  <c r="AJ52" i="14" l="1"/>
  <c r="AG52" i="14"/>
  <c r="AC52" i="14"/>
  <c r="AI52" i="14"/>
  <c r="AE52" i="14"/>
  <c r="AF52" i="14"/>
  <c r="AH52" i="14"/>
  <c r="AD52" i="14"/>
  <c r="AJ54" i="14"/>
  <c r="AG54" i="14"/>
  <c r="AC54" i="14"/>
  <c r="AI54" i="14"/>
  <c r="AE54" i="14"/>
  <c r="AF54" i="14"/>
  <c r="AD54" i="14"/>
  <c r="AH54" i="14"/>
  <c r="AJ60" i="14"/>
  <c r="AI60" i="14"/>
  <c r="AE60" i="14"/>
  <c r="AG60" i="14"/>
  <c r="AC60" i="14"/>
  <c r="AF60" i="14"/>
  <c r="AH60" i="14"/>
  <c r="AD60" i="14"/>
  <c r="AI59" i="14"/>
  <c r="AD59" i="14"/>
  <c r="AH59" i="14"/>
  <c r="AC59" i="14"/>
  <c r="AG59" i="14"/>
  <c r="AF59" i="14"/>
  <c r="AE59" i="14"/>
  <c r="AJ59" i="14"/>
  <c r="AI57" i="14"/>
  <c r="AD57" i="14"/>
  <c r="AH57" i="14"/>
  <c r="AC57" i="14"/>
  <c r="AG57" i="14"/>
  <c r="AF57" i="14"/>
  <c r="AJ57" i="14"/>
  <c r="AE57" i="14"/>
  <c r="AI61" i="14"/>
  <c r="AD61" i="14"/>
  <c r="AH61" i="14"/>
  <c r="AC61" i="14"/>
  <c r="AG61" i="14"/>
  <c r="AF61" i="14"/>
  <c r="AJ61" i="14"/>
  <c r="AE61" i="14"/>
  <c r="AI53" i="14"/>
  <c r="AD53" i="14"/>
  <c r="AH53" i="14"/>
  <c r="AC53" i="14"/>
  <c r="AG53" i="14"/>
  <c r="AF53" i="14"/>
  <c r="AJ53" i="14"/>
  <c r="AE53" i="14"/>
  <c r="AJ58" i="14"/>
  <c r="AI58" i="14"/>
  <c r="AG58" i="14"/>
  <c r="AC58" i="14"/>
  <c r="AE58" i="14"/>
  <c r="AF58" i="14"/>
  <c r="AD58" i="14"/>
  <c r="AH58" i="14"/>
  <c r="AJ62" i="14"/>
  <c r="AI62" i="14"/>
  <c r="AE62" i="14"/>
  <c r="AG62" i="14"/>
  <c r="AC62" i="14"/>
  <c r="AF62" i="14"/>
  <c r="AD62" i="14"/>
  <c r="AH62" i="14"/>
  <c r="AI55" i="14"/>
  <c r="AD55" i="14"/>
  <c r="AH55" i="14"/>
  <c r="AC55" i="14"/>
  <c r="AG55" i="14"/>
  <c r="AF55" i="14"/>
  <c r="AE55" i="14"/>
  <c r="AJ55" i="14"/>
  <c r="AI51" i="14"/>
  <c r="AD51" i="14"/>
  <c r="AH51" i="14"/>
  <c r="AC51" i="14"/>
  <c r="AG51" i="14"/>
  <c r="AF51" i="14"/>
  <c r="AE51" i="14"/>
  <c r="AJ51" i="14"/>
  <c r="AJ56" i="14"/>
  <c r="AG56" i="14"/>
  <c r="AC56" i="14"/>
  <c r="AI56" i="14"/>
  <c r="AE56" i="14"/>
  <c r="AF56" i="14"/>
  <c r="AH56" i="14"/>
  <c r="AD56" i="14"/>
  <c r="K12" i="14" l="1" a="1"/>
  <c r="K18" i="14" l="1"/>
  <c r="K15" i="14"/>
  <c r="K13" i="14"/>
  <c r="K19" i="14"/>
  <c r="K17" i="14"/>
  <c r="K14" i="14"/>
  <c r="K16" i="14"/>
  <c r="K12" i="14"/>
  <c r="K22" i="14" l="1" a="1"/>
  <c r="K27" i="14" l="1"/>
  <c r="K22" i="14"/>
  <c r="K29" i="14"/>
  <c r="K26" i="14"/>
  <c r="K28" i="14"/>
  <c r="K24" i="14"/>
  <c r="K23" i="14"/>
  <c r="K25" i="14"/>
  <c r="K32" i="14" l="1" a="1"/>
  <c r="K38" i="14" l="1"/>
  <c r="K33" i="14"/>
  <c r="K32" i="14"/>
  <c r="K36" i="14"/>
  <c r="K34" i="14"/>
  <c r="K37" i="14"/>
  <c r="K35" i="14"/>
  <c r="K39" i="14"/>
  <c r="K42" i="14" l="1" a="1"/>
  <c r="K43" i="14" l="1"/>
  <c r="K48" i="14"/>
  <c r="K49" i="14"/>
  <c r="K45" i="14"/>
  <c r="K42" i="14"/>
  <c r="K46" i="14"/>
  <c r="K44" i="14"/>
  <c r="K47" i="14"/>
  <c r="K52" i="14" l="1" a="1"/>
  <c r="K59" i="14" l="1"/>
  <c r="K57" i="14"/>
  <c r="K56" i="14"/>
  <c r="K58" i="14"/>
  <c r="K52" i="14"/>
  <c r="K55" i="14"/>
  <c r="K54" i="14"/>
  <c r="K53" i="14"/>
  <c r="AC70" i="14" l="1" a="1"/>
  <c r="AC67" i="14" a="1"/>
  <c r="AC65" i="14" a="1"/>
  <c r="AC69" i="14" a="1"/>
  <c r="AC66" i="14" a="1"/>
  <c r="AC72" i="14" a="1"/>
  <c r="AC73" i="14" a="1"/>
  <c r="AC63" i="14" a="1"/>
  <c r="AC74" i="14" a="1"/>
  <c r="AC71" i="14" a="1"/>
  <c r="AC64" i="14" a="1"/>
  <c r="AC68" i="14" a="1"/>
  <c r="AJ74" i="14" l="1"/>
  <c r="AC74" i="14"/>
  <c r="AG74" i="14"/>
  <c r="AE74" i="14"/>
  <c r="AI74" i="14"/>
  <c r="AF74" i="14"/>
  <c r="AD74" i="14"/>
  <c r="AH74" i="14"/>
  <c r="AJ73" i="14"/>
  <c r="AI73" i="14"/>
  <c r="AE73" i="14"/>
  <c r="AG73" i="14"/>
  <c r="AC73" i="14"/>
  <c r="AF73" i="14"/>
  <c r="AD73" i="14"/>
  <c r="AH73" i="14"/>
  <c r="AJ66" i="14"/>
  <c r="AC66" i="14"/>
  <c r="AG66" i="14"/>
  <c r="AE66" i="14"/>
  <c r="AI66" i="14"/>
  <c r="AD66" i="14"/>
  <c r="AH66" i="14"/>
  <c r="AF66" i="14"/>
  <c r="AI65" i="14"/>
  <c r="AC65" i="14"/>
  <c r="AE65" i="14"/>
  <c r="AD65" i="14"/>
  <c r="AH65" i="14"/>
  <c r="AF65" i="14"/>
  <c r="AJ65" i="14"/>
  <c r="AG65" i="14"/>
  <c r="AJ70" i="14"/>
  <c r="AC70" i="14"/>
  <c r="AG70" i="14"/>
  <c r="AE70" i="14"/>
  <c r="AI70" i="14"/>
  <c r="AF70" i="14"/>
  <c r="AH70" i="14"/>
  <c r="AD70" i="14"/>
  <c r="AJ68" i="14"/>
  <c r="AC68" i="14"/>
  <c r="AG68" i="14"/>
  <c r="AE68" i="14"/>
  <c r="AI68" i="14"/>
  <c r="AF68" i="14"/>
  <c r="AH68" i="14"/>
  <c r="AD68" i="14"/>
  <c r="AJ71" i="14"/>
  <c r="AI71" i="14"/>
  <c r="AE71" i="14"/>
  <c r="AG71" i="14"/>
  <c r="AC71" i="14"/>
  <c r="AD71" i="14"/>
  <c r="AH71" i="14"/>
  <c r="AF71" i="14"/>
  <c r="AI63" i="14"/>
  <c r="AC63" i="14"/>
  <c r="AE63" i="14"/>
  <c r="AD63" i="14"/>
  <c r="AH63" i="14"/>
  <c r="AG63" i="14"/>
  <c r="AF63" i="14"/>
  <c r="AJ63" i="14"/>
  <c r="AJ72" i="14"/>
  <c r="AE72" i="14"/>
  <c r="AI72" i="14"/>
  <c r="AC72" i="14"/>
  <c r="AG72" i="14"/>
  <c r="AD72" i="14"/>
  <c r="AH72" i="14"/>
  <c r="AF72" i="14"/>
  <c r="AI69" i="14"/>
  <c r="AE69" i="14"/>
  <c r="AC69" i="14"/>
  <c r="AD69" i="14"/>
  <c r="AH69" i="14"/>
  <c r="AF69" i="14"/>
  <c r="AJ69" i="14"/>
  <c r="AG69" i="14"/>
  <c r="AI67" i="14"/>
  <c r="AC67" i="14"/>
  <c r="AD67" i="14"/>
  <c r="AH67" i="14"/>
  <c r="AF67" i="14"/>
  <c r="AJ67" i="14"/>
  <c r="AG67" i="14"/>
  <c r="AE67" i="14"/>
  <c r="AJ64" i="14"/>
  <c r="AC64" i="14"/>
  <c r="AG64" i="14"/>
  <c r="AF64" i="14"/>
  <c r="AE64" i="14"/>
  <c r="AI64" i="14"/>
  <c r="AD64" i="14"/>
  <c r="AH64" i="14"/>
  <c r="L12" i="14" l="1" a="1"/>
  <c r="L18" i="14" l="1"/>
  <c r="L14" i="14"/>
  <c r="L17" i="14"/>
  <c r="L13" i="14"/>
  <c r="L12" i="14"/>
  <c r="L16" i="14"/>
  <c r="L19" i="14"/>
  <c r="L15" i="14"/>
  <c r="L22" i="14" l="1" a="1"/>
  <c r="L29" i="14" l="1"/>
  <c r="L23" i="14"/>
  <c r="L26" i="14"/>
  <c r="L22" i="14"/>
  <c r="L24" i="14"/>
  <c r="L25" i="14"/>
  <c r="L27" i="14"/>
  <c r="L28" i="14"/>
  <c r="L32" i="14" l="1" a="1"/>
  <c r="L35" i="14" l="1"/>
  <c r="L38" i="14"/>
  <c r="L37" i="14"/>
  <c r="L39" i="14"/>
  <c r="L34" i="14"/>
  <c r="L33" i="14"/>
  <c r="L36" i="14"/>
  <c r="L32" i="14"/>
  <c r="L42" i="14" l="1" a="1"/>
  <c r="L45" i="14" l="1"/>
  <c r="L43" i="14"/>
  <c r="L49" i="14"/>
  <c r="L47" i="14"/>
  <c r="L42" i="14"/>
  <c r="L48" i="14"/>
  <c r="L44" i="14"/>
  <c r="L46" i="14"/>
  <c r="L52" i="14" l="1" a="1"/>
  <c r="L59" i="14" l="1"/>
  <c r="L56" i="14"/>
  <c r="L58" i="14"/>
  <c r="L55" i="14"/>
  <c r="L52" i="14"/>
  <c r="L54" i="14"/>
  <c r="L57" i="14"/>
  <c r="L53" i="14"/>
  <c r="AC78" i="14" l="1" a="1"/>
  <c r="AC85" i="14" a="1"/>
  <c r="AC75" i="14" a="1"/>
  <c r="AC80" i="14" a="1"/>
  <c r="AC86" i="14" a="1"/>
  <c r="AC81" i="14" a="1"/>
  <c r="AC82" i="14" a="1"/>
  <c r="AC83" i="14" a="1"/>
  <c r="AC76" i="14" a="1"/>
  <c r="AC79" i="14" a="1"/>
  <c r="AC77" i="14" a="1"/>
  <c r="AC84" i="14" a="1"/>
  <c r="AI77" i="14" l="1"/>
  <c r="AE77" i="14"/>
  <c r="AG77" i="14"/>
  <c r="AC77" i="14"/>
  <c r="AD77" i="14"/>
  <c r="AH77" i="14"/>
  <c r="AF77" i="14"/>
  <c r="AJ77" i="14"/>
  <c r="AJ84" i="14"/>
  <c r="AE84" i="14"/>
  <c r="AI84" i="14"/>
  <c r="AD84" i="14"/>
  <c r="AH84" i="14"/>
  <c r="AC84" i="14"/>
  <c r="AG84" i="14"/>
  <c r="AF84" i="14"/>
  <c r="AI79" i="14"/>
  <c r="AG79" i="14"/>
  <c r="AC79" i="14"/>
  <c r="AE79" i="14"/>
  <c r="AD79" i="14"/>
  <c r="AH79" i="14"/>
  <c r="AF79" i="14"/>
  <c r="AJ79" i="14"/>
  <c r="AJ83" i="14"/>
  <c r="AG83" i="14"/>
  <c r="AC83" i="14"/>
  <c r="AI83" i="14"/>
  <c r="AE83" i="14"/>
  <c r="AD83" i="14"/>
  <c r="AH83" i="14"/>
  <c r="AF83" i="14"/>
  <c r="AI81" i="14"/>
  <c r="AE81" i="14"/>
  <c r="AG81" i="14"/>
  <c r="AC81" i="14"/>
  <c r="AD81" i="14"/>
  <c r="AH81" i="14"/>
  <c r="AF81" i="14"/>
  <c r="AJ81" i="14"/>
  <c r="AJ80" i="14"/>
  <c r="AC80" i="14"/>
  <c r="AG80" i="14"/>
  <c r="AD80" i="14"/>
  <c r="AH80" i="14"/>
  <c r="AE80" i="14"/>
  <c r="AI80" i="14"/>
  <c r="AF80" i="14"/>
  <c r="AJ85" i="14"/>
  <c r="AG85" i="14"/>
  <c r="AC85" i="14"/>
  <c r="AI85" i="14"/>
  <c r="AE85" i="14"/>
  <c r="AF85" i="14"/>
  <c r="AD85" i="14"/>
  <c r="AH85" i="14"/>
  <c r="AJ76" i="14"/>
  <c r="AC76" i="14"/>
  <c r="AG76" i="14"/>
  <c r="AD76" i="14"/>
  <c r="AH76" i="14"/>
  <c r="AE76" i="14"/>
  <c r="AI76" i="14"/>
  <c r="AF76" i="14"/>
  <c r="AJ82" i="14"/>
  <c r="AC82" i="14"/>
  <c r="AG82" i="14"/>
  <c r="AF82" i="14"/>
  <c r="AE82" i="14"/>
  <c r="AI82" i="14"/>
  <c r="AD82" i="14"/>
  <c r="AH82" i="14"/>
  <c r="AJ86" i="14"/>
  <c r="AC86" i="14"/>
  <c r="AG86" i="14"/>
  <c r="AF86" i="14"/>
  <c r="AE86" i="14"/>
  <c r="AI86" i="14"/>
  <c r="AD86" i="14"/>
  <c r="AH86" i="14"/>
  <c r="AJ75" i="14"/>
  <c r="AI75" i="14"/>
  <c r="AE75" i="14"/>
  <c r="AG75" i="14"/>
  <c r="AC75" i="14"/>
  <c r="AF75" i="14"/>
  <c r="AD75" i="14"/>
  <c r="AH75" i="14"/>
  <c r="AJ78" i="14"/>
  <c r="AC78" i="14"/>
  <c r="AG78" i="14"/>
  <c r="AF78" i="14"/>
  <c r="AE78" i="14"/>
  <c r="AI78" i="14"/>
  <c r="AD78" i="14"/>
  <c r="AH78" i="14"/>
  <c r="M12" i="14" l="1" a="1"/>
  <c r="M14" i="14" l="1"/>
  <c r="M13" i="14"/>
  <c r="M12" i="14"/>
  <c r="M15" i="14"/>
  <c r="M18" i="14"/>
  <c r="M19" i="14"/>
  <c r="M16" i="14"/>
  <c r="M17" i="14"/>
  <c r="M22" i="14" l="1" a="1"/>
  <c r="M25" i="14" l="1"/>
  <c r="M29" i="14"/>
  <c r="M22" i="14"/>
  <c r="M24" i="14"/>
  <c r="M28" i="14"/>
  <c r="M23" i="14"/>
  <c r="M26" i="14"/>
  <c r="M27" i="14"/>
  <c r="M32" i="14" l="1" a="1"/>
  <c r="M37" i="14" l="1"/>
  <c r="M39" i="14"/>
  <c r="M32" i="14"/>
  <c r="M33" i="14"/>
  <c r="M35" i="14"/>
  <c r="M34" i="14"/>
  <c r="M36" i="14"/>
  <c r="M38" i="14"/>
  <c r="M42" i="14" l="1" a="1"/>
  <c r="M44" i="14" l="1"/>
  <c r="M49" i="14"/>
  <c r="M45" i="14"/>
  <c r="M46" i="14"/>
  <c r="M42" i="14"/>
  <c r="M47" i="14"/>
  <c r="M43" i="14"/>
  <c r="M48" i="14"/>
  <c r="M52" i="14" l="1" a="1"/>
  <c r="M57" i="14" l="1"/>
  <c r="M55" i="14"/>
  <c r="M59" i="14"/>
  <c r="M52" i="14"/>
  <c r="M53" i="14"/>
  <c r="M58" i="14"/>
  <c r="M54" i="14"/>
  <c r="M56" i="14"/>
  <c r="AC96" i="14" l="1" a="1"/>
  <c r="AC92" i="14" a="1"/>
  <c r="AC89" i="14" a="1"/>
  <c r="AC87" i="14" a="1"/>
  <c r="AC97" i="14" a="1"/>
  <c r="AC94" i="14" a="1"/>
  <c r="AC95" i="14" a="1"/>
  <c r="AC88" i="14" a="1"/>
  <c r="AC98" i="14" a="1"/>
  <c r="AC93" i="14" a="1"/>
  <c r="AC91" i="14" a="1"/>
  <c r="AC90" i="14" a="1"/>
  <c r="AJ91" i="14" l="1"/>
  <c r="AI91" i="14"/>
  <c r="AE91" i="14"/>
  <c r="AG91" i="14"/>
  <c r="AC91" i="14"/>
  <c r="AD91" i="14"/>
  <c r="AH91" i="14"/>
  <c r="AF91" i="14"/>
  <c r="AJ90" i="14"/>
  <c r="AC90" i="14"/>
  <c r="AG90" i="14"/>
  <c r="AI90" i="14"/>
  <c r="AD90" i="14"/>
  <c r="AH90" i="14"/>
  <c r="AE90" i="14"/>
  <c r="AF90" i="14"/>
  <c r="AJ93" i="14"/>
  <c r="AI93" i="14"/>
  <c r="AE93" i="14"/>
  <c r="AG93" i="14"/>
  <c r="AC93" i="14"/>
  <c r="AF93" i="14"/>
  <c r="AD93" i="14"/>
  <c r="AH93" i="14"/>
  <c r="AJ88" i="14"/>
  <c r="AC88" i="14"/>
  <c r="AG88" i="14"/>
  <c r="AI88" i="14"/>
  <c r="AF88" i="14"/>
  <c r="AE88" i="14"/>
  <c r="AD88" i="14"/>
  <c r="AH88" i="14"/>
  <c r="AJ94" i="14"/>
  <c r="AC94" i="14"/>
  <c r="AG94" i="14"/>
  <c r="AE94" i="14"/>
  <c r="AD94" i="14"/>
  <c r="AH94" i="14"/>
  <c r="AI94" i="14"/>
  <c r="AF94" i="14"/>
  <c r="AJ87" i="14"/>
  <c r="AG87" i="14"/>
  <c r="AC87" i="14"/>
  <c r="AI87" i="14"/>
  <c r="AE87" i="14"/>
  <c r="AF87" i="14"/>
  <c r="AH87" i="14"/>
  <c r="AD87" i="14"/>
  <c r="AJ92" i="14"/>
  <c r="AE92" i="14"/>
  <c r="AI92" i="14"/>
  <c r="AC92" i="14"/>
  <c r="AF92" i="14"/>
  <c r="AG92" i="14"/>
  <c r="AD92" i="14"/>
  <c r="AH92" i="14"/>
  <c r="AJ98" i="14"/>
  <c r="AE98" i="14"/>
  <c r="AI98" i="14"/>
  <c r="AD98" i="14"/>
  <c r="AH98" i="14"/>
  <c r="AC98" i="14"/>
  <c r="AG98" i="14"/>
  <c r="AF98" i="14"/>
  <c r="AI95" i="14"/>
  <c r="AE95" i="14"/>
  <c r="AG95" i="14"/>
  <c r="AC95" i="14"/>
  <c r="AD95" i="14"/>
  <c r="AH95" i="14"/>
  <c r="AF95" i="14"/>
  <c r="AJ95" i="14"/>
  <c r="AJ97" i="14"/>
  <c r="AG97" i="14"/>
  <c r="AC97" i="14"/>
  <c r="AI97" i="14"/>
  <c r="AE97" i="14"/>
  <c r="AD97" i="14"/>
  <c r="AH97" i="14"/>
  <c r="AF97" i="14"/>
  <c r="AI89" i="14"/>
  <c r="AG89" i="14"/>
  <c r="AC89" i="14"/>
  <c r="AE89" i="14"/>
  <c r="AD89" i="14"/>
  <c r="AH89" i="14"/>
  <c r="AJ89" i="14"/>
  <c r="AF89" i="14"/>
  <c r="AJ96" i="14"/>
  <c r="AC96" i="14"/>
  <c r="AG96" i="14"/>
  <c r="AE96" i="14"/>
  <c r="AF96" i="14"/>
  <c r="AI96" i="14"/>
  <c r="AD96" i="14"/>
  <c r="AH96" i="14"/>
  <c r="N12" i="14" l="1" a="1"/>
  <c r="N16" i="14" l="1"/>
  <c r="N12" i="14"/>
  <c r="N14" i="14"/>
  <c r="N15" i="14"/>
  <c r="N19" i="14"/>
  <c r="N13" i="14"/>
  <c r="N18" i="14"/>
  <c r="N17" i="14"/>
  <c r="N22" i="14" l="1" a="1"/>
  <c r="N29" i="14" l="1"/>
  <c r="N22" i="14"/>
  <c r="N23" i="14"/>
  <c r="N25" i="14"/>
  <c r="N26" i="14"/>
  <c r="N28" i="14"/>
  <c r="N24" i="14"/>
  <c r="N27" i="14"/>
  <c r="N32" i="14" l="1" a="1"/>
  <c r="N38" i="14" l="1"/>
  <c r="N33" i="14"/>
  <c r="N32" i="14"/>
  <c r="N36" i="14"/>
  <c r="N39" i="14"/>
  <c r="N37" i="14"/>
  <c r="N35" i="14"/>
  <c r="N34" i="14"/>
  <c r="N42" i="14" l="1" a="1"/>
  <c r="P12" i="14" a="1"/>
  <c r="P15" i="14" s="1"/>
  <c r="N43" i="14" l="1"/>
  <c r="N47" i="14"/>
  <c r="N44" i="14"/>
  <c r="N48" i="14"/>
  <c r="N42" i="14"/>
  <c r="N49" i="14"/>
  <c r="N45" i="14"/>
  <c r="N46" i="14"/>
  <c r="P14" i="14"/>
  <c r="P16" i="14"/>
  <c r="P19" i="14"/>
  <c r="P13" i="14"/>
  <c r="P17" i="14"/>
  <c r="P18" i="14"/>
  <c r="P12" i="14"/>
  <c r="P22" i="14" s="1" a="1"/>
  <c r="N52" i="14" l="1" a="1"/>
  <c r="P22" i="14"/>
  <c r="P24" i="14"/>
  <c r="P25" i="14"/>
  <c r="P27" i="14"/>
  <c r="P28" i="14"/>
  <c r="P29" i="14"/>
  <c r="P23" i="14"/>
  <c r="P26" i="14"/>
  <c r="N54" i="14" l="1"/>
  <c r="N55" i="14"/>
  <c r="N52" i="14"/>
  <c r="N58" i="14"/>
  <c r="N59" i="14"/>
  <c r="N56" i="14"/>
  <c r="N53" i="14"/>
  <c r="N57" i="14"/>
  <c r="P32" i="14" a="1"/>
  <c r="AC100" i="14" l="1" a="1"/>
  <c r="AC110" i="14" a="1"/>
  <c r="AC101" i="14" a="1"/>
  <c r="AC99" i="14" a="1"/>
  <c r="AC102" i="14" a="1"/>
  <c r="AC104" i="14" a="1"/>
  <c r="AC107" i="14" a="1"/>
  <c r="AC103" i="14" a="1"/>
  <c r="AC109" i="14" a="1"/>
  <c r="AC106" i="14" a="1"/>
  <c r="AC105" i="14" a="1"/>
  <c r="AC108" i="14" a="1"/>
  <c r="P32" i="14"/>
  <c r="P33" i="14"/>
  <c r="P36" i="14"/>
  <c r="P34" i="14"/>
  <c r="P37" i="14"/>
  <c r="P35" i="14"/>
  <c r="P38" i="14"/>
  <c r="P39" i="14"/>
  <c r="AJ105" i="14" l="1"/>
  <c r="AI105" i="14"/>
  <c r="AE105" i="14"/>
  <c r="AG105" i="14"/>
  <c r="AC105" i="14"/>
  <c r="AF105" i="14"/>
  <c r="AD105" i="14"/>
  <c r="AH105" i="14"/>
  <c r="AJ108" i="14"/>
  <c r="AC108" i="14"/>
  <c r="AG108" i="14"/>
  <c r="AF108" i="14"/>
  <c r="AE108" i="14"/>
  <c r="AD108" i="14"/>
  <c r="AI108" i="14"/>
  <c r="AH108" i="14"/>
  <c r="AJ106" i="14"/>
  <c r="AC106" i="14"/>
  <c r="AG106" i="14"/>
  <c r="AD106" i="14"/>
  <c r="AH106" i="14"/>
  <c r="AE106" i="14"/>
  <c r="AI106" i="14"/>
  <c r="AF106" i="14"/>
  <c r="AI103" i="14"/>
  <c r="AG103" i="14"/>
  <c r="AC103" i="14"/>
  <c r="AE103" i="14"/>
  <c r="AF103" i="14"/>
  <c r="AJ103" i="14"/>
  <c r="AD103" i="14"/>
  <c r="AH103" i="14"/>
  <c r="AJ104" i="14"/>
  <c r="AE104" i="14"/>
  <c r="AI104" i="14"/>
  <c r="AF104" i="14"/>
  <c r="AC104" i="14"/>
  <c r="AH104" i="14"/>
  <c r="AG104" i="14"/>
  <c r="AD104" i="14"/>
  <c r="AI99" i="14"/>
  <c r="AC99" i="14"/>
  <c r="AE99" i="14"/>
  <c r="AF99" i="14"/>
  <c r="AJ99" i="14"/>
  <c r="AD99" i="14"/>
  <c r="AH99" i="14"/>
  <c r="AG99" i="14"/>
  <c r="AJ110" i="14"/>
  <c r="AE110" i="14"/>
  <c r="AI110" i="14"/>
  <c r="AD110" i="14"/>
  <c r="AH110" i="14"/>
  <c r="AG110" i="14"/>
  <c r="AF110" i="14"/>
  <c r="AC110" i="14"/>
  <c r="AJ109" i="14"/>
  <c r="AG109" i="14"/>
  <c r="AC109" i="14"/>
  <c r="AI109" i="14"/>
  <c r="AE109" i="14"/>
  <c r="AD109" i="14"/>
  <c r="AH109" i="14"/>
  <c r="AF109" i="14"/>
  <c r="AI107" i="14"/>
  <c r="AE107" i="14"/>
  <c r="AG107" i="14"/>
  <c r="AC107" i="14"/>
  <c r="AD107" i="14"/>
  <c r="AH107" i="14"/>
  <c r="AF107" i="14"/>
  <c r="AJ107" i="14"/>
  <c r="AJ102" i="14"/>
  <c r="AE102" i="14"/>
  <c r="AI102" i="14"/>
  <c r="AD102" i="14"/>
  <c r="AH102" i="14"/>
  <c r="AC102" i="14"/>
  <c r="AF102" i="14"/>
  <c r="AG102" i="14"/>
  <c r="AI101" i="14"/>
  <c r="AC101" i="14"/>
  <c r="AE101" i="14"/>
  <c r="AF101" i="14"/>
  <c r="AJ101" i="14"/>
  <c r="AD101" i="14"/>
  <c r="AH101" i="14"/>
  <c r="AG101" i="14"/>
  <c r="AJ100" i="14"/>
  <c r="AE100" i="14"/>
  <c r="AI100" i="14"/>
  <c r="AD100" i="14"/>
  <c r="AH100" i="14"/>
  <c r="AC100" i="14"/>
  <c r="AF100" i="14"/>
  <c r="AG100" i="14"/>
  <c r="P42" i="14" a="1"/>
  <c r="O12" i="14" l="1" a="1"/>
  <c r="P43" i="14"/>
  <c r="P48" i="14"/>
  <c r="P46" i="14"/>
  <c r="P47" i="14"/>
  <c r="P45" i="14"/>
  <c r="P49" i="14"/>
  <c r="P44" i="14"/>
  <c r="P42" i="14"/>
  <c r="O17" i="14" l="1"/>
  <c r="O16" i="14"/>
  <c r="O15" i="14"/>
  <c r="O14" i="14"/>
  <c r="O19" i="14"/>
  <c r="O13" i="14"/>
  <c r="O12" i="14"/>
  <c r="O18" i="14"/>
  <c r="P52" i="14" a="1"/>
  <c r="O22" i="14" l="1" a="1"/>
  <c r="P52" i="14"/>
  <c r="P53" i="14"/>
  <c r="P58" i="14"/>
  <c r="P54" i="14"/>
  <c r="P57" i="14"/>
  <c r="P59" i="14"/>
  <c r="P56" i="14"/>
  <c r="P55" i="14"/>
  <c r="O24" i="14" l="1"/>
  <c r="O28" i="14"/>
  <c r="O27" i="14"/>
  <c r="O22" i="14"/>
  <c r="O29" i="14"/>
  <c r="O26" i="14"/>
  <c r="O25" i="14"/>
  <c r="O23" i="14"/>
  <c r="O32" i="14" l="1" a="1"/>
  <c r="O32" i="14" l="1"/>
  <c r="O33" i="14"/>
  <c r="O35" i="14"/>
  <c r="O38" i="14"/>
  <c r="O34" i="14"/>
  <c r="O37" i="14"/>
  <c r="O36" i="14"/>
  <c r="O39" i="14"/>
  <c r="O42" i="14" l="1" a="1"/>
  <c r="O43" i="14" l="1"/>
  <c r="O45" i="14"/>
  <c r="O46" i="14"/>
  <c r="O47" i="14"/>
  <c r="O49" i="14"/>
  <c r="O44" i="14"/>
  <c r="O48" i="14"/>
  <c r="O42" i="14"/>
  <c r="O52" i="14" l="1" a="1"/>
  <c r="O57" i="14" l="1"/>
  <c r="O56" i="14"/>
  <c r="O55" i="14"/>
  <c r="O59" i="14"/>
  <c r="O58" i="14"/>
  <c r="O52" i="14"/>
  <c r="O53" i="14"/>
  <c r="O54" i="14"/>
  <c r="AC121" i="14" l="1" a="1"/>
  <c r="AC116" i="14" a="1"/>
  <c r="AC120" i="14" a="1"/>
  <c r="AC118" i="14" a="1"/>
  <c r="AC111" i="14" a="1"/>
  <c r="AC113" i="14" a="1"/>
  <c r="AC115" i="14" a="1"/>
  <c r="AC114" i="14" a="1"/>
  <c r="AC117" i="14" a="1"/>
  <c r="AC122" i="14" a="1"/>
  <c r="AC119" i="14" a="1"/>
  <c r="AC112" i="14" a="1"/>
  <c r="AJ119" i="14" l="1"/>
  <c r="AG119" i="14"/>
  <c r="AC119" i="14"/>
  <c r="AI119" i="14"/>
  <c r="AE119" i="14"/>
  <c r="AD119" i="14"/>
  <c r="AH119" i="14"/>
  <c r="AF119" i="14"/>
  <c r="AJ112" i="14"/>
  <c r="AC112" i="14"/>
  <c r="AG112" i="14"/>
  <c r="AE112" i="14"/>
  <c r="AI112" i="14"/>
  <c r="AD112" i="14"/>
  <c r="AH112" i="14"/>
  <c r="AF112" i="14"/>
  <c r="AJ122" i="14"/>
  <c r="AE122" i="14"/>
  <c r="AI122" i="14"/>
  <c r="AD122" i="14"/>
  <c r="AH122" i="14"/>
  <c r="AC122" i="14"/>
  <c r="AG122" i="14"/>
  <c r="AF122" i="14"/>
  <c r="AJ114" i="14"/>
  <c r="AC114" i="14"/>
  <c r="AG114" i="14"/>
  <c r="AE114" i="14"/>
  <c r="AI114" i="14"/>
  <c r="AD114" i="14"/>
  <c r="AH114" i="14"/>
  <c r="AF114" i="14"/>
  <c r="AI113" i="14"/>
  <c r="AC113" i="14"/>
  <c r="AE113" i="14"/>
  <c r="AD113" i="14"/>
  <c r="AH113" i="14"/>
  <c r="AF113" i="14"/>
  <c r="AJ113" i="14"/>
  <c r="AG113" i="14"/>
  <c r="AJ118" i="14"/>
  <c r="AC118" i="14"/>
  <c r="AG118" i="14"/>
  <c r="AE118" i="14"/>
  <c r="AI118" i="14"/>
  <c r="AD118" i="14"/>
  <c r="AH118" i="14"/>
  <c r="AF118" i="14"/>
  <c r="AJ116" i="14"/>
  <c r="AE116" i="14"/>
  <c r="AI116" i="14"/>
  <c r="AC116" i="14"/>
  <c r="AG116" i="14"/>
  <c r="AF116" i="14"/>
  <c r="AD116" i="14"/>
  <c r="AH116" i="14"/>
  <c r="AJ117" i="14"/>
  <c r="AG117" i="14"/>
  <c r="AC117" i="14"/>
  <c r="AI117" i="14"/>
  <c r="AE117" i="14"/>
  <c r="AF117" i="14"/>
  <c r="AD117" i="14"/>
  <c r="AH117" i="14"/>
  <c r="AJ115" i="14"/>
  <c r="AG115" i="14"/>
  <c r="AC115" i="14"/>
  <c r="AI115" i="14"/>
  <c r="AE115" i="14"/>
  <c r="AD115" i="14"/>
  <c r="AH115" i="14"/>
  <c r="AF115" i="14"/>
  <c r="AI111" i="14"/>
  <c r="AC111" i="14"/>
  <c r="AE111" i="14"/>
  <c r="AD111" i="14"/>
  <c r="AH111" i="14"/>
  <c r="AF111" i="14"/>
  <c r="AJ111" i="14"/>
  <c r="AG111" i="14"/>
  <c r="AJ120" i="14"/>
  <c r="AE120" i="14"/>
  <c r="AC120" i="14"/>
  <c r="AG120" i="14"/>
  <c r="AF120" i="14"/>
  <c r="AI120" i="14"/>
  <c r="AH120" i="14"/>
  <c r="AD120" i="14"/>
  <c r="AJ121" i="14"/>
  <c r="AG121" i="14"/>
  <c r="AC121" i="14"/>
  <c r="AI121" i="14"/>
  <c r="AE121" i="14"/>
  <c r="AD121" i="14"/>
  <c r="AH121" i="14"/>
  <c r="AF121" i="14"/>
</calcChain>
</file>

<file path=xl/sharedStrings.xml><?xml version="1.0" encoding="utf-8"?>
<sst xmlns="http://schemas.openxmlformats.org/spreadsheetml/2006/main" count="243" uniqueCount="167">
  <si>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</si>
  <si>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</si>
  <si>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</si>
  <si>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</si>
  <si>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</si>
  <si>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</si>
  <si>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</si>
  <si>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</si>
  <si>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</si>
  <si>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</si>
  <si>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</si>
  <si>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</si>
  <si>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</si>
  <si>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</si>
  <si>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</si>
  <si>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</si>
  <si>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</si>
  <si>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</si>
  <si>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</si>
  <si>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</si>
  <si>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</si>
  <si>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</si>
  <si>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</si>
  <si>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</si>
  <si>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</si>
  <si>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</si>
  <si>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</si>
  <si>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</si>
  <si>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</si>
  <si>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</si>
  <si>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</si>
  <si>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</si>
  <si>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</si>
  <si>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</si>
  <si>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</si>
  <si>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</si>
  <si>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</si>
  <si>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</si>
  <si>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</si>
  <si>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</si>
  <si>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</si>
  <si>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</si>
  <si>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</si>
  <si>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</si>
  <si>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</si>
  <si>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</si>
  <si>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</si>
  <si>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</si>
  <si>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</si>
  <si>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</si>
  <si>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</si>
  <si>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</si>
  <si>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</si>
  <si>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</si>
  <si>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</si>
  <si>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</si>
  <si>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</si>
  <si>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</si>
  <si>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</si>
  <si>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</si>
  <si>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</si>
  <si>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</si>
  <si>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</si>
  <si>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</si>
  <si>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</si>
  <si>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</si>
  <si>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</si>
  <si>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</si>
  <si>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</si>
  <si>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</si>
  <si>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</si>
  <si>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</si>
  <si>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</si>
  <si>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</si>
  <si>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</si>
  <si>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</si>
  <si>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</si>
  <si>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</si>
  <si>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</si>
  <si>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</si>
  <si>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</si>
  <si>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</si>
  <si>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</si>
  <si>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</si>
  <si>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</si>
  <si>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</si>
  <si>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</si>
  <si>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</si>
  <si>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</si>
  <si>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</si>
  <si>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</si>
  <si>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</si>
  <si>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</si>
  <si>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</si>
  <si>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</si>
  <si>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</si>
  <si>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</si>
  <si>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</si>
  <si>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</si>
  <si>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</si>
  <si>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</si>
  <si>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</si>
  <si>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</si>
  <si>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</si>
  <si>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</si>
  <si>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</si>
  <si>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</si>
  <si>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</si>
  <si>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</si>
  <si>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</si>
  <si>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</si>
  <si>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</si>
  <si>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</si>
  <si>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</si>
  <si>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</si>
  <si>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</si>
  <si>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</si>
  <si>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</si>
  <si>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</si>
  <si>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</si>
  <si>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</si>
  <si>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</si>
  <si>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</si>
  <si>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</si>
  <si>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</si>
  <si>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</si>
  <si>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</si>
  <si>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</si>
  <si>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</si>
  <si>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</si>
  <si>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</si>
  <si>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</si>
  <si>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</si>
  <si>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</si>
  <si>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</si>
  <si>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</si>
  <si>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</si>
  <si>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</si>
  <si>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</si>
  <si>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</si>
  <si>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</si>
  <si>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</si>
  <si>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</si>
  <si>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</si>
  <si>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</si>
  <si>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</si>
  <si>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</si>
  <si>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</si>
  <si>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</si>
  <si>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</si>
  <si>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</si>
  <si>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</si>
  <si>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</si>
  <si>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</si>
  <si>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</si>
  <si>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</si>
  <si>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</si>
  <si>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</si>
  <si>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</si>
  <si>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</si>
  <si>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</si>
  <si>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</si>
  <si>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</si>
  <si>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</si>
  <si>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t0</t>
  </si>
  <si>
    <t>Taylor (O5)</t>
  </si>
  <si>
    <t>Meth. Expl. 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</si>
</sst>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\ _€_-;\-* #,##0.00\ _€_-;_-* &quot;-&quot;??\ _€_-;_-@_-"/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  <numFmt numFmtId="173" formatCode="_-* #,##0\ _€_-;\-* #,##0\ _€_-;_-* &quot;-&quot;??\ _€_-;_-@_-"/>
    <numFmt numFmtId="175" formatCode="0.0E+00"/>
  </numFmts>
  <fonts count="15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sz val="11"/>
      <color rgb="FF000000"/>
      <name val="Liberation Sans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  <xf numFmtId="43" fontId="14" fillId="0" borderId="0" applyFont="0" applyFill="0" applyBorder="0" applyAlignment="0" applyProtection="0"/>
  </cellStyleXfs>
  <cellXfs count="126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  <xf numFmtId="11" fontId="0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173" fontId="3" fillId="3" borderId="27" xfId="5" applyNumberFormat="1" applyFont="1" applyFill="1" applyBorder="1" applyAlignment="1">
      <alignment horizontal="center" wrapText="1"/>
    </xf>
    <xf numFmtId="175" fontId="0" fillId="0" borderId="0" xfId="0" applyNumberFormat="1" applyBorder="1" applyAlignment="1">
      <alignment horizontal="center"/>
    </xf>
    <xf numFmtId="175" fontId="0" fillId="0" borderId="0" xfId="0" applyNumberFormat="1" applyAlignment="1">
      <alignment horizontal="center"/>
    </xf>
    <xf numFmtId="0" fontId="0" fillId="7" borderId="30" xfId="0" applyNumberFormat="1" applyFill="1" applyBorder="1" applyAlignment="1">
      <alignment horizontal="center"/>
    </xf>
  </cellXfs>
  <cellStyles count="6">
    <cellStyle name="Heading" xfId="1"/>
    <cellStyle name="Heading1" xfId="2"/>
    <cellStyle name="Milliers" xfId="5" builtinId="3"/>
    <cellStyle name="Normal" xfId="0" builtinId="0" customBuiltin="1"/>
    <cellStyle name="Result" xfId="3"/>
    <cellStyle name="Result2" xfId="4"/>
  </cellStyles>
  <dxfs count="0"/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466112"/>
        <c:axId val="59467648"/>
      </c:barChart>
      <c:catAx>
        <c:axId val="59466112"/>
        <c:scaling>
          <c:orientation val="minMax"/>
        </c:scaling>
        <c:delete val="0"/>
        <c:axPos val="b"/>
        <c:majorTickMark val="out"/>
        <c:minorTickMark val="none"/>
        <c:tickLblPos val="nextTo"/>
        <c:crossAx val="59467648"/>
        <c:crosses val="autoZero"/>
        <c:auto val="1"/>
        <c:lblAlgn val="ctr"/>
        <c:lblOffset val="100"/>
        <c:noMultiLvlLbl val="0"/>
      </c:catAx>
      <c:valAx>
        <c:axId val="5946764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594661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230912"/>
        <c:axId val="64232832"/>
      </c:barChart>
      <c:catAx>
        <c:axId val="64230912"/>
        <c:scaling>
          <c:orientation val="minMax"/>
        </c:scaling>
        <c:delete val="0"/>
        <c:axPos val="b"/>
        <c:majorTickMark val="out"/>
        <c:minorTickMark val="none"/>
        <c:tickLblPos val="nextTo"/>
        <c:crossAx val="64232832"/>
        <c:crosses val="autoZero"/>
        <c:auto val="1"/>
        <c:lblAlgn val="ctr"/>
        <c:lblOffset val="100"/>
        <c:noMultiLvlLbl val="0"/>
      </c:catAx>
      <c:valAx>
        <c:axId val="6423283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42309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percentStacked"/>
        <c:varyColors val="0"/>
        <c:ser>
          <c:idx val="1"/>
          <c:order val="0"/>
          <c:tx>
            <c:strRef>
              <c:f>mod.simp.!$AC$1</c:f>
              <c:strCache>
                <c:ptCount val="1"/>
                <c:pt idx="0">
                  <c:v>N(Pu238)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mod.simp.!$AC$2:$AC$136</c:f>
              <c:numCache>
                <c:formatCode>General</c:formatCode>
                <c:ptCount val="135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val>
        </c:ser>
        <c:ser>
          <c:idx val="2"/>
          <c:order val="1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3"/>
          <c:order val="2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4"/>
          <c:order val="3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5"/>
          <c:order val="4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6"/>
          <c:order val="5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52672"/>
        <c:axId val="67054592"/>
      </c:areaChart>
      <c:catAx>
        <c:axId val="67052672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67054592"/>
        <c:crosses val="autoZero"/>
        <c:auto val="1"/>
        <c:lblAlgn val="ctr"/>
        <c:lblOffset val="100"/>
        <c:noMultiLvlLbl val="0"/>
      </c:catAx>
      <c:valAx>
        <c:axId val="6705459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67052672"/>
        <c:crosses val="autoZero"/>
        <c:crossBetween val="midCat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Pu238 en fonction du temps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0628614098311883E-2"/>
          <c:y val="0.10943153910795342"/>
          <c:w val="0.78866375897576979"/>
          <c:h val="0.76073819534768661"/>
        </c:manualLayout>
      </c:layout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mod.simp.!$AC$2:$AC$940</c:f>
              <c:numCache>
                <c:formatCode>General</c:formatCode>
                <c:ptCount val="939"/>
                <c:pt idx="0" formatCode="0.00">
                  <c:v>19.041708027546772</c:v>
                </c:pt>
                <c:pt idx="1">
                  <c:v>18.75645408406017</c:v>
                </c:pt>
                <c:pt idx="2">
                  <c:v>18.475473381807451</c:v>
                </c:pt>
                <c:pt idx="3">
                  <c:v>18.198701905411959</c:v>
                </c:pt>
                <c:pt idx="4">
                  <c:v>17.926076597993418</c:v>
                </c:pt>
                <c:pt idx="5">
                  <c:v>17.657535346250199</c:v>
                </c:pt>
                <c:pt idx="6">
                  <c:v>17.393016965541658</c:v>
                </c:pt>
                <c:pt idx="7">
                  <c:v>17.132461184970392</c:v>
                </c:pt>
                <c:pt idx="8">
                  <c:v>16.875808632464576</c:v>
                </c:pt>
                <c:pt idx="9">
                  <c:v>16.62300081986022</c:v>
                </c:pt>
                <c:pt idx="10">
                  <c:v>16.37398012798349</c:v>
                </c:pt>
                <c:pt idx="11">
                  <c:v>16.128689791732988</c:v>
                </c:pt>
                <c:pt idx="12">
                  <c:v>15.88707388516208</c:v>
                </c:pt>
                <c:pt idx="13">
                  <c:v>15.649077878204642</c:v>
                </c:pt>
                <c:pt idx="14">
                  <c:v>15.414647165868551</c:v>
                </c:pt>
                <c:pt idx="15">
                  <c:v>15.183728338185684</c:v>
                </c:pt>
                <c:pt idx="16">
                  <c:v>14.956268784890481</c:v>
                </c:pt>
                <c:pt idx="17">
                  <c:v>14.732216682973654</c:v>
                </c:pt>
                <c:pt idx="18">
                  <c:v>14.511520984235883</c:v>
                </c:pt>
                <c:pt idx="19">
                  <c:v>14.29413140284154</c:v>
                </c:pt>
                <c:pt idx="20">
                  <c:v>14.079998402872381</c:v>
                </c:pt>
                <c:pt idx="21">
                  <c:v>13.869073185881273</c:v>
                </c:pt>
                <c:pt idx="22">
                  <c:v>13.661307678445882</c:v>
                </c:pt>
                <c:pt idx="23">
                  <c:v>13.456654519722388</c:v>
                </c:pt>
                <c:pt idx="24">
                  <c:v>13.255067048999207</c:v>
                </c:pt>
                <c:pt idx="25">
                  <c:v>13.056499770190161</c:v>
                </c:pt>
                <c:pt idx="26">
                  <c:v>12.86090712469603</c:v>
                </c:pt>
                <c:pt idx="27">
                  <c:v>12.668244550962335</c:v>
                </c:pt>
                <c:pt idx="28">
                  <c:v>12.478468154650665</c:v>
                </c:pt>
                <c:pt idx="29">
                  <c:v>12.291534698254363</c:v>
                </c:pt>
                <c:pt idx="30">
                  <c:v>12.107401590714213</c:v>
                </c:pt>
                <c:pt idx="31">
                  <c:v>11.926026877034111</c:v>
                </c:pt>
                <c:pt idx="32">
                  <c:v>11.747369227896757</c:v>
                </c:pt>
                <c:pt idx="33">
                  <c:v>11.571387929279327</c:v>
                </c:pt>
                <c:pt idx="34">
                  <c:v>11.398042872069167</c:v>
                </c:pt>
                <c:pt idx="35">
                  <c:v>11.227294541679459</c:v>
                </c:pt>
                <c:pt idx="36">
                  <c:v>11.059104007664915</c:v>
                </c:pt>
                <c:pt idx="37">
                  <c:v>10.893433311262514</c:v>
                </c:pt>
                <c:pt idx="38">
                  <c:v>10.730244441552705</c:v>
                </c:pt>
                <c:pt idx="39">
                  <c:v>10.569500219480572</c:v>
                </c:pt>
                <c:pt idx="40">
                  <c:v>10.411164022669777</c:v>
                </c:pt>
                <c:pt idx="41">
                  <c:v>10.255199776758619</c:v>
                </c:pt>
                <c:pt idx="42">
                  <c:v>10.101571946736074</c:v>
                </c:pt>
                <c:pt idx="43">
                  <c:v>9.9502455282778488</c:v>
                </c:pt>
                <c:pt idx="44">
                  <c:v>9.8011860390824239</c:v>
                </c:pt>
                <c:pt idx="45">
                  <c:v>9.6543595102071116</c:v>
                </c:pt>
                <c:pt idx="46">
                  <c:v>9.5097324774040963</c:v>
                </c:pt>
                <c:pt idx="47">
                  <c:v>9.3672719724564821</c:v>
                </c:pt>
                <c:pt idx="48">
                  <c:v>9.22694551451435</c:v>
                </c:pt>
                <c:pt idx="49">
                  <c:v>9.0887214334317292</c:v>
                </c:pt>
                <c:pt idx="50">
                  <c:v>8.9525680155468805</c:v>
                </c:pt>
                <c:pt idx="51">
                  <c:v>8.8184542412479345</c:v>
                </c:pt>
                <c:pt idx="52">
                  <c:v>8.6863495553768129</c:v>
                </c:pt>
                <c:pt idx="53">
                  <c:v>8.5562238600006637</c:v>
                </c:pt>
                <c:pt idx="54">
                  <c:v>8.4280475071832353</c:v>
                </c:pt>
                <c:pt idx="55">
                  <c:v>8.3017912917562988</c:v>
                </c:pt>
                <c:pt idx="56">
                  <c:v>8.1774264440910382</c:v>
                </c:pt>
                <c:pt idx="57">
                  <c:v>8.0549246228694624</c:v>
                </c:pt>
                <c:pt idx="58">
                  <c:v>7.9342579078558044</c:v>
                </c:pt>
                <c:pt idx="59">
                  <c:v>7.8153987926679198</c:v>
                </c:pt>
                <c:pt idx="60">
                  <c:v>7.6983201775486974</c:v>
                </c:pt>
                <c:pt idx="61">
                  <c:v>7.5829956391358921</c:v>
                </c:pt>
                <c:pt idx="62">
                  <c:v>7.4693987177607362</c:v>
                </c:pt>
                <c:pt idx="63">
                  <c:v>7.3575035328212879</c:v>
                </c:pt>
                <c:pt idx="64">
                  <c:v>7.247284591223484</c:v>
                </c:pt>
                <c:pt idx="65">
                  <c:v>7.1387167813501096</c:v>
                </c:pt>
                <c:pt idx="66">
                  <c:v>7.0317753670297565</c:v>
                </c:pt>
                <c:pt idx="67">
                  <c:v>6.9264359815057821</c:v>
                </c:pt>
                <c:pt idx="68">
                  <c:v>6.8226746214052794</c:v>
                </c:pt>
                <c:pt idx="69">
                  <c:v>6.7204676407080326</c:v>
                </c:pt>
                <c:pt idx="70">
                  <c:v>6.619791744715485</c:v>
                </c:pt>
                <c:pt idx="71">
                  <c:v>6.5206239840196911</c:v>
                </c:pt>
                <c:pt idx="72">
                  <c:v>6.4229417484722955</c:v>
                </c:pt>
                <c:pt idx="73">
                  <c:v>6.3267229922616695</c:v>
                </c:pt>
                <c:pt idx="74">
                  <c:v>6.2319456392845494</c:v>
                </c:pt>
                <c:pt idx="75">
                  <c:v>6.1385880965706709</c:v>
                </c:pt>
                <c:pt idx="76">
                  <c:v>6.0466290944593331</c:v>
                </c:pt>
                <c:pt idx="77">
                  <c:v>5.9560476815675223</c:v>
                </c:pt>
                <c:pt idx="78">
                  <c:v>5.8668232197580386</c:v>
                </c:pt>
                <c:pt idx="79">
                  <c:v>5.7789353791076117</c:v>
                </c:pt>
                <c:pt idx="80">
                  <c:v>5.6923641328750358</c:v>
                </c:pt>
                <c:pt idx="81">
                  <c:v>5.607089752469272</c:v>
                </c:pt>
                <c:pt idx="82">
                  <c:v>5.5230928024175929</c:v>
                </c:pt>
                <c:pt idx="83">
                  <c:v>5.4403541353336866</c:v>
                </c:pt>
                <c:pt idx="84">
                  <c:v>5.3588548868857941</c:v>
                </c:pt>
                <c:pt idx="85">
                  <c:v>5.2785766635853841</c:v>
                </c:pt>
                <c:pt idx="86">
                  <c:v>5.1995010466706981</c:v>
                </c:pt>
                <c:pt idx="87">
                  <c:v>5.1216100204724748</c:v>
                </c:pt>
                <c:pt idx="88">
                  <c:v>5.0448858390684173</c:v>
                </c:pt>
                <c:pt idx="89">
                  <c:v>4.969311022084943</c:v>
                </c:pt>
                <c:pt idx="90">
                  <c:v>4.894868350498947</c:v>
                </c:pt>
                <c:pt idx="91">
                  <c:v>4.8215408624395399</c:v>
                </c:pt>
                <c:pt idx="92">
                  <c:v>4.7493118489898096</c:v>
                </c:pt>
                <c:pt idx="93">
                  <c:v>4.6781648499885709</c:v>
                </c:pt>
                <c:pt idx="94">
                  <c:v>4.6080836498321123</c:v>
                </c:pt>
                <c:pt idx="95">
                  <c:v>4.5390522732759653</c:v>
                </c:pt>
                <c:pt idx="96">
                  <c:v>4.4710549812366294</c:v>
                </c:pt>
                <c:pt idx="97">
                  <c:v>4.4040764274693878</c:v>
                </c:pt>
                <c:pt idx="98">
                  <c:v>4.3381012446433003</c:v>
                </c:pt>
                <c:pt idx="99">
                  <c:v>4.2731144017397069</c:v>
                </c:pt>
                <c:pt idx="100">
                  <c:v>4.2091010927980141</c:v>
                </c:pt>
                <c:pt idx="101">
                  <c:v>4.1460467334129687</c:v>
                </c:pt>
                <c:pt idx="102">
                  <c:v>4.0839369572319324</c:v>
                </c:pt>
                <c:pt idx="103">
                  <c:v>4.0227576124521551</c:v>
                </c:pt>
                <c:pt idx="104">
                  <c:v>3.9624947583180514</c:v>
                </c:pt>
                <c:pt idx="105">
                  <c:v>3.9031346616184766</c:v>
                </c:pt>
                <c:pt idx="106">
                  <c:v>3.8446637931839978</c:v>
                </c:pt>
                <c:pt idx="107">
                  <c:v>3.7870688243841695</c:v>
                </c:pt>
                <c:pt idx="108">
                  <c:v>3.7303366236248108</c:v>
                </c:pt>
                <c:pt idx="109">
                  <c:v>3.6744543870690305</c:v>
                </c:pt>
                <c:pt idx="110">
                  <c:v>3.6194092932870632</c:v>
                </c:pt>
                <c:pt idx="111">
                  <c:v>3.5651888014446724</c:v>
                </c:pt>
                <c:pt idx="112">
                  <c:v>3.5117805584803778</c:v>
                </c:pt>
                <c:pt idx="113">
                  <c:v>3.4591723961830358</c:v>
                </c:pt>
                <c:pt idx="114">
                  <c:v>3.4073523282694054</c:v>
                </c:pt>
                <c:pt idx="115">
                  <c:v>3.3563085474617154</c:v>
                </c:pt>
                <c:pt idx="116">
                  <c:v>3.3060294225652398</c:v>
                </c:pt>
                <c:pt idx="117">
                  <c:v>3.2565034955458652</c:v>
                </c:pt>
                <c:pt idx="118">
                  <c:v>3.2077194786076619</c:v>
                </c:pt>
                <c:pt idx="119">
                  <c:v>3.1596662512704525</c:v>
                </c:pt>
                <c:pt idx="120">
                  <c:v>3.1123328574473832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mod.RK1!$I$2:$I$940</c:f>
              <c:numCache>
                <c:formatCode>0.00</c:formatCode>
                <c:ptCount val="939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  <c:pt idx="93">
                  <c:v>4.6283697729477007</c:v>
                </c:pt>
                <c:pt idx="94">
                  <c:v>4.5585099849938704</c:v>
                </c:pt>
                <c:pt idx="95">
                  <c:v>4.4897046482209886</c:v>
                </c:pt>
                <c:pt idx="96">
                  <c:v>4.4219378469309767</c:v>
                </c:pt>
                <c:pt idx="97">
                  <c:v>4.3551939056544624</c:v>
                </c:pt>
                <c:pt idx="98">
                  <c:v>4.2894573855248135</c:v>
                </c:pt>
                <c:pt idx="99">
                  <c:v>4.2247130807068967</c:v>
                </c:pt>
                <c:pt idx="100">
                  <c:v>4.1609460148797446</c:v>
                </c:pt>
                <c:pt idx="101">
                  <c:v>4.0981414377723056</c:v>
                </c:pt>
                <c:pt idx="102">
                  <c:v>4.0362848217514893</c:v>
                </c:pt>
                <c:pt idx="103">
                  <c:v>3.9753618584617083</c:v>
                </c:pt>
                <c:pt idx="104">
                  <c:v>3.9153584555151437</c:v>
                </c:pt>
                <c:pt idx="105">
                  <c:v>3.8562607332319643</c:v>
                </c:pt>
                <c:pt idx="106">
                  <c:v>3.798055021429751</c:v>
                </c:pt>
                <c:pt idx="107">
                  <c:v>3.740727856261381</c:v>
                </c:pt>
                <c:pt idx="108">
                  <c:v>3.6842659771006381</c:v>
                </c:pt>
                <c:pt idx="109">
                  <c:v>3.6286563234748339</c:v>
                </c:pt>
                <c:pt idx="110">
                  <c:v>3.5738860320437253</c:v>
                </c:pt>
                <c:pt idx="111">
                  <c:v>3.5199424336240335</c:v>
                </c:pt>
                <c:pt idx="112">
                  <c:v>3.4668130502588714</c:v>
                </c:pt>
                <c:pt idx="113">
                  <c:v>3.4144855923314092</c:v>
                </c:pt>
                <c:pt idx="114">
                  <c:v>3.3629479557221016</c:v>
                </c:pt>
                <c:pt idx="115">
                  <c:v>3.3121882190088248</c:v>
                </c:pt>
                <c:pt idx="116">
                  <c:v>3.2621946407092746</c:v>
                </c:pt>
                <c:pt idx="117">
                  <c:v>3.2129556565649868</c:v>
                </c:pt>
                <c:pt idx="118">
                  <c:v>3.1644598768663523</c:v>
                </c:pt>
                <c:pt idx="119">
                  <c:v>3.1166960838180073</c:v>
                </c:pt>
                <c:pt idx="120">
                  <c:v>3.0696532289439915</c:v>
                </c:pt>
                <c:pt idx="121">
                  <c:v>3.0233204305320696</c:v>
                </c:pt>
                <c:pt idx="122">
                  <c:v>2.9776869711166305</c:v>
                </c:pt>
                <c:pt idx="123">
                  <c:v>2.9327422949995774</c:v>
                </c:pt>
                <c:pt idx="124">
                  <c:v>2.8884760058086387</c:v>
                </c:pt>
                <c:pt idx="125">
                  <c:v>2.8448778640925316</c:v>
                </c:pt>
                <c:pt idx="126">
                  <c:v>2.801937784952425</c:v>
                </c:pt>
                <c:pt idx="127">
                  <c:v>2.759645835709152</c:v>
                </c:pt>
                <c:pt idx="128">
                  <c:v>2.7179922336056341</c:v>
                </c:pt>
                <c:pt idx="129">
                  <c:v>2.6769673435439829</c:v>
                </c:pt>
                <c:pt idx="130">
                  <c:v>2.6365616758567598</c:v>
                </c:pt>
                <c:pt idx="131">
                  <c:v>2.5967658841118744</c:v>
                </c:pt>
                <c:pt idx="132">
                  <c:v>2.5575707629506148</c:v>
                </c:pt>
                <c:pt idx="133">
                  <c:v>2.5189672459583119</c:v>
                </c:pt>
                <c:pt idx="134">
                  <c:v>2.4809464035671436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14560"/>
        <c:axId val="72516736"/>
      </c:scatterChart>
      <c:valAx>
        <c:axId val="725145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2516736"/>
        <c:crosses val="autoZero"/>
        <c:crossBetween val="midCat"/>
      </c:valAx>
      <c:valAx>
        <c:axId val="7251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725145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mod.RK1!$K$2:$K$940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  <c:pt idx="131">
                  <c:v>2610.8774260093014</c:v>
                </c:pt>
                <c:pt idx="132">
                  <c:v>2604.4578393664833</c:v>
                </c:pt>
                <c:pt idx="133">
                  <c:v>2598.0489953474626</c:v>
                </c:pt>
                <c:pt idx="134">
                  <c:v>2591.6509741088953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dPt>
            <c:idx val="113"/>
            <c:marker>
              <c:symbol val="circle"/>
              <c:size val="4"/>
            </c:marker>
            <c:bubble3D val="0"/>
          </c:dPt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mod.simp.!$AD$2:$AD$940</c:f>
              <c:numCache>
                <c:formatCode>0.00</c:formatCode>
                <c:ptCount val="939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54272"/>
        <c:axId val="90133632"/>
      </c:scatterChart>
      <c:valAx>
        <c:axId val="86854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0133632"/>
        <c:crosses val="autoZero"/>
        <c:crossBetween val="midCat"/>
      </c:valAx>
      <c:valAx>
        <c:axId val="90133632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86854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mod.simp.!$AE$2:$AE$940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mod.RK1!$M$2:$M$940</c:f>
              <c:numCache>
                <c:formatCode>0.00</c:formatCode>
                <c:ptCount val="939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  <c:pt idx="131">
                  <c:v>1411.6598287993531</c:v>
                </c:pt>
                <c:pt idx="132">
                  <c:v>1411.4380408553602</c:v>
                </c:pt>
                <c:pt idx="133">
                  <c:v>1411.1935766154465</c:v>
                </c:pt>
                <c:pt idx="134">
                  <c:v>1410.9266387445894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738368"/>
        <c:axId val="124052608"/>
      </c:scatterChart>
      <c:valAx>
        <c:axId val="12173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4052608"/>
        <c:crosses val="autoZero"/>
        <c:crossBetween val="midCat"/>
      </c:valAx>
      <c:valAx>
        <c:axId val="124052608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2173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4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mod.RK1!$O$2:$O$940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  <c:pt idx="131">
                  <c:v>189.40369330581157</c:v>
                </c:pt>
                <c:pt idx="132">
                  <c:v>189.44143033976718</c:v>
                </c:pt>
                <c:pt idx="133">
                  <c:v>189.47728827797133</c:v>
                </c:pt>
                <c:pt idx="134">
                  <c:v>189.51123422644147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mod.simp.!$AF$2:$AF$940</c:f>
              <c:numCache>
                <c:formatCode>0.00</c:formatCode>
                <c:ptCount val="939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557376"/>
        <c:axId val="59559296"/>
      </c:scatterChart>
      <c:valAx>
        <c:axId val="595573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9559296"/>
        <c:crosses val="autoZero"/>
        <c:crossBetween val="midCat"/>
      </c:valAx>
      <c:valAx>
        <c:axId val="59559296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1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595573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mod.RK1!$Q$2:$Q$940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  <c:pt idx="131">
                  <c:v>110.83427374000165</c:v>
                </c:pt>
                <c:pt idx="132">
                  <c:v>110.957658784988</c:v>
                </c:pt>
                <c:pt idx="133">
                  <c:v>111.08039191864259</c:v>
                </c:pt>
                <c:pt idx="134">
                  <c:v>111.20247109341864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mod.simp.!$AG$2:$AG$940</c:f>
              <c:numCache>
                <c:formatCode>0.00</c:formatCode>
                <c:ptCount val="939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18368"/>
        <c:axId val="60220544"/>
      </c:scatterChart>
      <c:valAx>
        <c:axId val="60218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0220544"/>
        <c:crosses val="autoZero"/>
        <c:crossBetween val="midCat"/>
      </c:valAx>
      <c:valAx>
        <c:axId val="6022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021836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</a:t>
            </a:r>
            <a:r>
              <a:rPr lang="fr-FR" sz="1400" baseline="0"/>
              <a:t> d'Am241 en fonction du temps</a:t>
            </a:r>
            <a:endParaRPr lang="fr-FR" sz="14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mod.RK1!$F$2:$F$945</c:f>
              <c:numCache>
                <c:formatCode>General</c:formatCode>
                <c:ptCount val="944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mod.RK1!$S$2:$S$945</c:f>
              <c:numCache>
                <c:formatCode>0.00</c:formatCode>
                <c:ptCount val="944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  <c:pt idx="131">
                  <c:v>47.154560124727439</c:v>
                </c:pt>
                <c:pt idx="132">
                  <c:v>47.139700233206696</c:v>
                </c:pt>
                <c:pt idx="133">
                  <c:v>47.125237864849325</c:v>
                </c:pt>
                <c:pt idx="134">
                  <c:v>47.111158878979715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mod.simp.!$AH$2:$AH$940</c:f>
              <c:numCache>
                <c:formatCode>0.00</c:formatCode>
                <c:ptCount val="939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231872"/>
        <c:axId val="61233792"/>
      </c:scatterChart>
      <c:valAx>
        <c:axId val="6123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>
            <c:manualLayout>
              <c:xMode val="edge"/>
              <c:yMode val="edge"/>
              <c:x val="0.41002033666127591"/>
              <c:y val="0.9281846665749325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1233792"/>
        <c:crosses val="autoZero"/>
        <c:crossBetween val="midCat"/>
      </c:valAx>
      <c:valAx>
        <c:axId val="61233792"/>
        <c:scaling>
          <c:orientation val="minMax"/>
          <c:max val="90"/>
          <c:min val="4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231872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mod.RK1!$W$2:$W$940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  <c:pt idx="93">
                  <c:v>22.907810334887934</c:v>
                </c:pt>
                <c:pt idx="94">
                  <c:v>22.471475239369511</c:v>
                </c:pt>
                <c:pt idx="95">
                  <c:v>22.043565648656852</c:v>
                </c:pt>
                <c:pt idx="96">
                  <c:v>21.623918570103363</c:v>
                </c:pt>
                <c:pt idx="97">
                  <c:v>21.212374164927574</c:v>
                </c:pt>
                <c:pt idx="98">
                  <c:v>20.808775687185214</c:v>
                </c:pt>
                <c:pt idx="99">
                  <c:v>20.412969423922164</c:v>
                </c:pt>
                <c:pt idx="100">
                  <c:v>20.024804636485474</c:v>
                </c:pt>
                <c:pt idx="101">
                  <c:v>19.644133502970011</c:v>
                </c:pt>
                <c:pt idx="102">
                  <c:v>19.27081106177878</c:v>
                </c:pt>
                <c:pt idx="103">
                  <c:v>18.904695156275341</c:v>
                </c:pt>
                <c:pt idx="104">
                  <c:v>18.545646380507243</c:v>
                </c:pt>
                <c:pt idx="105">
                  <c:v>18.193528025979674</c:v>
                </c:pt>
                <c:pt idx="106">
                  <c:v>17.848206029459089</c:v>
                </c:pt>
                <c:pt idx="107">
                  <c:v>17.509548921786816</c:v>
                </c:pt>
                <c:pt idx="108">
                  <c:v>17.177427777683146</c:v>
                </c:pt>
                <c:pt idx="109">
                  <c:v>16.851716166522703</c:v>
                </c:pt>
                <c:pt idx="110">
                  <c:v>16.532290104062341</c:v>
                </c:pt>
                <c:pt idx="111">
                  <c:v>16.219028005103088</c:v>
                </c:pt>
                <c:pt idx="112">
                  <c:v>15.911810637068111</c:v>
                </c:pt>
                <c:pt idx="113">
                  <c:v>15.610521074478942</c:v>
                </c:pt>
                <c:pt idx="114">
                  <c:v>15.315044654312601</c:v>
                </c:pt>
                <c:pt idx="115">
                  <c:v>15.025268932222563</c:v>
                </c:pt>
                <c:pt idx="116">
                  <c:v>14.741083639606861</c:v>
                </c:pt>
                <c:pt idx="117">
                  <c:v>14.462380641506932</c:v>
                </c:pt>
                <c:pt idx="118">
                  <c:v>14.189053895321113</c:v>
                </c:pt>
                <c:pt idx="119">
                  <c:v>13.920999410317055</c:v>
                </c:pt>
                <c:pt idx="120">
                  <c:v>13.658115207927571</c:v>
                </c:pt>
                <c:pt idx="121">
                  <c:v>13.400301282814768</c:v>
                </c:pt>
                <c:pt idx="122">
                  <c:v>13.147459564687592</c:v>
                </c:pt>
                <c:pt idx="123">
                  <c:v>12.899493880858222</c:v>
                </c:pt>
                <c:pt idx="124">
                  <c:v>12.65630991952299</c:v>
                </c:pt>
                <c:pt idx="125">
                  <c:v>12.417815193753833</c:v>
                </c:pt>
                <c:pt idx="126">
                  <c:v>12.183919006186517</c:v>
                </c:pt>
                <c:pt idx="127">
                  <c:v>11.954532414392142</c:v>
                </c:pt>
                <c:pt idx="128">
                  <c:v>11.729568196918731</c:v>
                </c:pt>
                <c:pt idx="129">
                  <c:v>11.508940819989903</c:v>
                </c:pt>
                <c:pt idx="130">
                  <c:v>11.292566404847953</c:v>
                </c:pt>
                <c:pt idx="131">
                  <c:v>11.080362695728837</c:v>
                </c:pt>
                <c:pt idx="132">
                  <c:v>10.872249028456849</c:v>
                </c:pt>
                <c:pt idx="133">
                  <c:v>10.668146299647006</c:v>
                </c:pt>
                <c:pt idx="134">
                  <c:v>10.467976936503364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mod.simp.!$AI$2:$AI$940</c:f>
              <c:numCache>
                <c:formatCode>0.00</c:formatCode>
                <c:ptCount val="939"/>
                <c:pt idx="0">
                  <c:v>138.97314965789133</c:v>
                </c:pt>
                <c:pt idx="1">
                  <c:v>136.31852279464772</c:v>
                </c:pt>
                <c:pt idx="2">
                  <c:v>133.71474795809846</c:v>
                </c:pt>
                <c:pt idx="3">
                  <c:v>131.16085065640141</c:v>
                </c:pt>
                <c:pt idx="4">
                  <c:v>128.65587505725949</c:v>
                </c:pt>
                <c:pt idx="5">
                  <c:v>126.19888361232353</c:v>
                </c:pt>
                <c:pt idx="6">
                  <c:v>123.78895668159478</c:v>
                </c:pt>
                <c:pt idx="7">
                  <c:v>121.42519215782782</c:v>
                </c:pt>
                <c:pt idx="8">
                  <c:v>119.10670509093309</c:v>
                </c:pt>
                <c:pt idx="9">
                  <c:v>116.83262731237949</c:v>
                </c:pt>
                <c:pt idx="10">
                  <c:v>114.6021070595971</c:v>
                </c:pt>
                <c:pt idx="11">
                  <c:v>112.41430860037998</c:v>
                </c:pt>
                <c:pt idx="12">
                  <c:v>110.26841185728868</c:v>
                </c:pt>
                <c:pt idx="13">
                  <c:v>108.16363044670778</c:v>
                </c:pt>
                <c:pt idx="14">
                  <c:v>106.09916432664177</c:v>
                </c:pt>
                <c:pt idx="15">
                  <c:v>104.07424093242909</c:v>
                </c:pt>
                <c:pt idx="16">
                  <c:v>102.0881024924598</c:v>
                </c:pt>
                <c:pt idx="17">
                  <c:v>100.14000573040612</c:v>
                </c:pt>
                <c:pt idx="18">
                  <c:v>98.229221567453166</c:v>
                </c:pt>
                <c:pt idx="19">
                  <c:v>96.35503482452954</c:v>
                </c:pt>
                <c:pt idx="20">
                  <c:v>94.516743924538005</c:v>
                </c:pt>
                <c:pt idx="21">
                  <c:v>92.713660594586116</c:v>
                </c:pt>
                <c:pt idx="22">
                  <c:v>90.945109568216793</c:v>
                </c:pt>
                <c:pt idx="23">
                  <c:v>89.21042828763909</c:v>
                </c:pt>
                <c:pt idx="24">
                  <c:v>87.508966605958804</c:v>
                </c:pt>
                <c:pt idx="25">
                  <c:v>85.840101088368527</c:v>
                </c:pt>
                <c:pt idx="26">
                  <c:v>84.203197471780243</c:v>
                </c:pt>
                <c:pt idx="27">
                  <c:v>82.597643276821245</c:v>
                </c:pt>
                <c:pt idx="28">
                  <c:v>81.022837751858503</c:v>
                </c:pt>
                <c:pt idx="29">
                  <c:v>79.478191636930461</c:v>
                </c:pt>
                <c:pt idx="30">
                  <c:v>77.963126927678999</c:v>
                </c:pt>
                <c:pt idx="31">
                  <c:v>76.477076639281293</c:v>
                </c:pt>
                <c:pt idx="32">
                  <c:v>75.019484570381806</c:v>
                </c:pt>
                <c:pt idx="33">
                  <c:v>73.589805067023974</c:v>
                </c:pt>
                <c:pt idx="34">
                  <c:v>72.1875027865823</c:v>
                </c:pt>
                <c:pt idx="35">
                  <c:v>70.812052461694137</c:v>
                </c:pt>
                <c:pt idx="36">
                  <c:v>69.46293866419164</c:v>
                </c:pt>
                <c:pt idx="37">
                  <c:v>68.139667142941974</c:v>
                </c:pt>
                <c:pt idx="38">
                  <c:v>66.84173506222136</c:v>
                </c:pt>
                <c:pt idx="39">
                  <c:v>65.568656856178748</c:v>
                </c:pt>
                <c:pt idx="40">
                  <c:v>64.31995625655955</c:v>
                </c:pt>
                <c:pt idx="41">
                  <c:v>63.095166105553609</c:v>
                </c:pt>
                <c:pt idx="42">
                  <c:v>61.893828168643246</c:v>
                </c:pt>
                <c:pt idx="43">
                  <c:v>60.715492947451267</c:v>
                </c:pt>
                <c:pt idx="44">
                  <c:v>59.559719492588975</c:v>
                </c:pt>
                <c:pt idx="45">
                  <c:v>58.426075216504202</c:v>
                </c:pt>
                <c:pt idx="46">
                  <c:v>57.314135706329274</c:v>
                </c:pt>
                <c:pt idx="47">
                  <c:v>56.223484536729117</c:v>
                </c:pt>
                <c:pt idx="48">
                  <c:v>55.15371308274915</c:v>
                </c:pt>
                <c:pt idx="49">
                  <c:v>54.104429508337567</c:v>
                </c:pt>
                <c:pt idx="50">
                  <c:v>53.075235171637793</c:v>
                </c:pt>
                <c:pt idx="51">
                  <c:v>52.065745122139305</c:v>
                </c:pt>
                <c:pt idx="52">
                  <c:v>51.075581780339931</c:v>
                </c:pt>
                <c:pt idx="53">
                  <c:v>50.104374789374148</c:v>
                </c:pt>
                <c:pt idx="54">
                  <c:v>49.151760866641212</c:v>
                </c:pt>
                <c:pt idx="55">
                  <c:v>48.217383655433366</c:v>
                </c:pt>
                <c:pt idx="56">
                  <c:v>47.300893576564107</c:v>
                </c:pt>
                <c:pt idx="57">
                  <c:v>46.401947679996319</c:v>
                </c:pt>
                <c:pt idx="58">
                  <c:v>45.520209496470457</c:v>
                </c:pt>
                <c:pt idx="59">
                  <c:v>44.65534888913281</c:v>
                </c:pt>
                <c:pt idx="60">
                  <c:v>43.807041905163686</c:v>
                </c:pt>
                <c:pt idx="61">
                  <c:v>42.974977901781351</c:v>
                </c:pt>
                <c:pt idx="62">
                  <c:v>42.158840840611752</c:v>
                </c:pt>
                <c:pt idx="63">
                  <c:v>41.358325537609943</c:v>
                </c:pt>
                <c:pt idx="64">
                  <c:v>40.573132652364372</c:v>
                </c:pt>
                <c:pt idx="65">
                  <c:v>39.802968570469702</c:v>
                </c:pt>
                <c:pt idx="66">
                  <c:v>39.047545285899481</c:v>
                </c:pt>
                <c:pt idx="67">
                  <c:v>38.306580283378814</c:v>
                </c:pt>
                <c:pt idx="68">
                  <c:v>37.57979642075712</c:v>
                </c:pt>
                <c:pt idx="69">
                  <c:v>36.866921811380827</c:v>
                </c:pt>
                <c:pt idx="70">
                  <c:v>36.167689706466057</c:v>
                </c:pt>
                <c:pt idx="71">
                  <c:v>35.481838377471384</c:v>
                </c:pt>
                <c:pt idx="72">
                  <c:v>34.809110998470473</c:v>
                </c:pt>
                <c:pt idx="73">
                  <c:v>34.149261295569154</c:v>
                </c:pt>
                <c:pt idx="74">
                  <c:v>33.502038717289501</c:v>
                </c:pt>
                <c:pt idx="75">
                  <c:v>32.867201317327542</c:v>
                </c:pt>
                <c:pt idx="76">
                  <c:v>32.244511782129521</c:v>
                </c:pt>
                <c:pt idx="77">
                  <c:v>31.633737337638486</c:v>
                </c:pt>
                <c:pt idx="78">
                  <c:v>31.034649656040962</c:v>
                </c:pt>
                <c:pt idx="79">
                  <c:v>30.447024762513493</c:v>
                </c:pt>
                <c:pt idx="80">
                  <c:v>29.870642941969269</c:v>
                </c:pt>
                <c:pt idx="81">
                  <c:v>29.305288645804747</c:v>
                </c:pt>
                <c:pt idx="82">
                  <c:v>28.750750398646243</c:v>
                </c:pt>
                <c:pt idx="83">
                  <c:v>28.206820705096547</c:v>
                </c:pt>
                <c:pt idx="84">
                  <c:v>27.673295956481514</c:v>
                </c:pt>
                <c:pt idx="85">
                  <c:v>27.149980909643322</c:v>
                </c:pt>
                <c:pt idx="86">
                  <c:v>26.636676930190955</c:v>
                </c:pt>
                <c:pt idx="87">
                  <c:v>26.133192205803297</c:v>
                </c:pt>
                <c:pt idx="88">
                  <c:v>25.639338596937186</c:v>
                </c:pt>
                <c:pt idx="89">
                  <c:v>25.154931562897364</c:v>
                </c:pt>
                <c:pt idx="90">
                  <c:v>24.679790087906426</c:v>
                </c:pt>
                <c:pt idx="91">
                  <c:v>24.213736607174773</c:v>
                </c:pt>
                <c:pt idx="92">
                  <c:v>23.756596932970574</c:v>
                </c:pt>
                <c:pt idx="93">
                  <c:v>23.308200180689699</c:v>
                </c:pt>
                <c:pt idx="94">
                  <c:v>22.868378694925678</c:v>
                </c:pt>
                <c:pt idx="95">
                  <c:v>22.436967975539662</c:v>
                </c:pt>
                <c:pt idx="96">
                  <c:v>22.013806603730355</c:v>
                </c:pt>
                <c:pt idx="97">
                  <c:v>21.598739792768505</c:v>
                </c:pt>
                <c:pt idx="98">
                  <c:v>21.191610067384872</c:v>
                </c:pt>
                <c:pt idx="99">
                  <c:v>20.792265360756506</c:v>
                </c:pt>
                <c:pt idx="100">
                  <c:v>20.400556517785436</c:v>
                </c:pt>
                <c:pt idx="101">
                  <c:v>20.016337236487846</c:v>
                </c:pt>
                <c:pt idx="102">
                  <c:v>19.639464009383431</c:v>
                </c:pt>
                <c:pt idx="103">
                  <c:v>19.269796064884581</c:v>
                </c:pt>
                <c:pt idx="104">
                  <c:v>18.907195308685726</c:v>
                </c:pt>
                <c:pt idx="105">
                  <c:v>18.55152626515255</c:v>
                </c:pt>
                <c:pt idx="106">
                  <c:v>18.202656018711274</c:v>
                </c:pt>
                <c:pt idx="107">
                  <c:v>17.86045415523791</c:v>
                </c:pt>
                <c:pt idx="108">
                  <c:v>17.524792703447559</c:v>
                </c:pt>
                <c:pt idx="109">
                  <c:v>17.195548949873555</c:v>
                </c:pt>
                <c:pt idx="110">
                  <c:v>16.872598049599727</c:v>
                </c:pt>
                <c:pt idx="111">
                  <c:v>16.555819445452872</c:v>
                </c:pt>
                <c:pt idx="112">
                  <c:v>16.24509488863244</c:v>
                </c:pt>
                <c:pt idx="113">
                  <c:v>15.940308392244779</c:v>
                </c:pt>
                <c:pt idx="114">
                  <c:v>15.641346184837378</c:v>
                </c:pt>
                <c:pt idx="115">
                  <c:v>15.34809666393307</c:v>
                </c:pt>
                <c:pt idx="116">
                  <c:v>15.060450349564301</c:v>
                </c:pt>
                <c:pt idx="117">
                  <c:v>14.778299837807326</c:v>
                </c:pt>
                <c:pt idx="118">
                  <c:v>14.501539754316459</c:v>
                </c:pt>
                <c:pt idx="119">
                  <c:v>14.230066707858311</c:v>
                </c:pt>
                <c:pt idx="120">
                  <c:v>13.963779243845998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00096"/>
        <c:axId val="61306368"/>
      </c:scatterChart>
      <c:valAx>
        <c:axId val="613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06368"/>
        <c:crosses val="autoZero"/>
        <c:crossBetween val="midCat"/>
      </c:valAx>
      <c:valAx>
        <c:axId val="613063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0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mod.simp.!$D$7</c:f>
              <c:strCache>
                <c:ptCount val="1"/>
                <c:pt idx="0">
                  <c:v>Meth. Expl. O5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mod.simp.!$U$2:$U$940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mod.simp.!$AJ$2:$AJ$940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26518.179844802413</c:v>
                </c:pt>
                <c:pt idx="2">
                  <c:v>26449.903381393447</c:v>
                </c:pt>
                <c:pt idx="3">
                  <c:v>26381.802709773881</c:v>
                </c:pt>
                <c:pt idx="4">
                  <c:v>26313.877377330136</c:v>
                </c:pt>
                <c:pt idx="5">
                  <c:v>26246.126932613992</c:v>
                </c:pt>
                <c:pt idx="6">
                  <c:v>26178.55092533955</c:v>
                </c:pt>
                <c:pt idx="7">
                  <c:v>26111.148906380222</c:v>
                </c:pt>
                <c:pt idx="8">
                  <c:v>26043.920427765694</c:v>
                </c:pt>
                <c:pt idx="9">
                  <c:v>25976.865042678884</c:v>
                </c:pt>
                <c:pt idx="10">
                  <c:v>25909.982305452937</c:v>
                </c:pt>
                <c:pt idx="11">
                  <c:v>25843.271771568161</c:v>
                </c:pt>
                <c:pt idx="12">
                  <c:v>25776.732997649044</c:v>
                </c:pt>
                <c:pt idx="13">
                  <c:v>25710.365541481227</c:v>
                </c:pt>
                <c:pt idx="14">
                  <c:v>25644.168961957697</c:v>
                </c:pt>
                <c:pt idx="15">
                  <c:v>25578.142819120403</c:v>
                </c:pt>
                <c:pt idx="16">
                  <c:v>25512.286674144103</c:v>
                </c:pt>
                <c:pt idx="17">
                  <c:v>25446.600089333358</c:v>
                </c:pt>
                <c:pt idx="18">
                  <c:v>25381.082628119679</c:v>
                </c:pt>
                <c:pt idx="19">
                  <c:v>25315.733855058541</c:v>
                </c:pt>
                <c:pt idx="20">
                  <c:v>25250.553335826433</c:v>
                </c:pt>
                <c:pt idx="21">
                  <c:v>25185.540637217957</c:v>
                </c:pt>
                <c:pt idx="22">
                  <c:v>25120.695327142876</c:v>
                </c:pt>
                <c:pt idx="23">
                  <c:v>25056.016974623184</c:v>
                </c:pt>
                <c:pt idx="24">
                  <c:v>24991.505149790148</c:v>
                </c:pt>
                <c:pt idx="25">
                  <c:v>24927.159423900812</c:v>
                </c:pt>
                <c:pt idx="26">
                  <c:v>24862.979369285847</c:v>
                </c:pt>
                <c:pt idx="27">
                  <c:v>24798.964559389871</c:v>
                </c:pt>
                <c:pt idx="28">
                  <c:v>24735.114568755766</c:v>
                </c:pt>
                <c:pt idx="29">
                  <c:v>24671.428973021826</c:v>
                </c:pt>
                <c:pt idx="30">
                  <c:v>24607.907348918932</c:v>
                </c:pt>
                <c:pt idx="31">
                  <c:v>24544.549274267654</c:v>
                </c:pt>
                <c:pt idx="32">
                  <c:v>24481.354327975474</c:v>
                </c:pt>
                <c:pt idx="33">
                  <c:v>24418.322090033886</c:v>
                </c:pt>
                <c:pt idx="34">
                  <c:v>24355.452141515569</c:v>
                </c:pt>
                <c:pt idx="35">
                  <c:v>24292.744064571529</c:v>
                </c:pt>
                <c:pt idx="36">
                  <c:v>24230.197442428267</c:v>
                </c:pt>
                <c:pt idx="37">
                  <c:v>24167.811859403737</c:v>
                </c:pt>
                <c:pt idx="38">
                  <c:v>24105.586900856815</c:v>
                </c:pt>
                <c:pt idx="39">
                  <c:v>24043.522153226397</c:v>
                </c:pt>
                <c:pt idx="40">
                  <c:v>23981.617204016158</c:v>
                </c:pt>
                <c:pt idx="41">
                  <c:v>23919.871641791826</c:v>
                </c:pt>
                <c:pt idx="42">
                  <c:v>23858.2850561784</c:v>
                </c:pt>
                <c:pt idx="43">
                  <c:v>23796.857037857415</c:v>
                </c:pt>
                <c:pt idx="44">
                  <c:v>23735.587178564136</c:v>
                </c:pt>
                <c:pt idx="45">
                  <c:v>23674.47507108486</c:v>
                </c:pt>
                <c:pt idx="46">
                  <c:v>23613.520309254094</c:v>
                </c:pt>
                <c:pt idx="47">
                  <c:v>23552.722487951854</c:v>
                </c:pt>
                <c:pt idx="48">
                  <c:v>23492.081203100857</c:v>
                </c:pt>
                <c:pt idx="49">
                  <c:v>23431.596051681994</c:v>
                </c:pt>
                <c:pt idx="50">
                  <c:v>23371.266631685427</c:v>
                </c:pt>
                <c:pt idx="51">
                  <c:v>23311.092542148373</c:v>
                </c:pt>
                <c:pt idx="52">
                  <c:v>23251.073383140425</c:v>
                </c:pt>
                <c:pt idx="53">
                  <c:v>23191.208755760843</c:v>
                </c:pt>
                <c:pt idx="54">
                  <c:v>23131.498262135909</c:v>
                </c:pt>
                <c:pt idx="55">
                  <c:v>23071.941505416224</c:v>
                </c:pt>
                <c:pt idx="56">
                  <c:v>23012.538089774051</c:v>
                </c:pt>
                <c:pt idx="57">
                  <c:v>22953.287620400617</c:v>
                </c:pt>
                <c:pt idx="58">
                  <c:v>22894.189703503474</c:v>
                </c:pt>
                <c:pt idx="59">
                  <c:v>22835.243946303784</c:v>
                </c:pt>
                <c:pt idx="60">
                  <c:v>22776.449957033674</c:v>
                </c:pt>
                <c:pt idx="61">
                  <c:v>22717.807344951176</c:v>
                </c:pt>
                <c:pt idx="62">
                  <c:v>22659.315720292863</c:v>
                </c:pt>
                <c:pt idx="63">
                  <c:v>22600.974694310469</c:v>
                </c:pt>
                <c:pt idx="64">
                  <c:v>22542.783879256644</c:v>
                </c:pt>
                <c:pt idx="65">
                  <c:v>22484.742888382334</c:v>
                </c:pt>
                <c:pt idx="66">
                  <c:v>22426.851335934211</c:v>
                </c:pt>
                <c:pt idx="67">
                  <c:v>22369.108837152067</c:v>
                </c:pt>
                <c:pt idx="68">
                  <c:v>22311.515008266222</c:v>
                </c:pt>
                <c:pt idx="69">
                  <c:v>22254.069466494937</c:v>
                </c:pt>
                <c:pt idx="70">
                  <c:v>22196.771830041813</c:v>
                </c:pt>
                <c:pt idx="71">
                  <c:v>22139.621718093182</c:v>
                </c:pt>
                <c:pt idx="72">
                  <c:v>22082.618750815549</c:v>
                </c:pt>
                <c:pt idx="73">
                  <c:v>22025.762549370065</c:v>
                </c:pt>
                <c:pt idx="74">
                  <c:v>21969.052735866619</c:v>
                </c:pt>
                <c:pt idx="75">
                  <c:v>21912.488933399316</c:v>
                </c:pt>
                <c:pt idx="76">
                  <c:v>21856.070766032695</c:v>
                </c:pt>
                <c:pt idx="77">
                  <c:v>21799.797858799189</c:v>
                </c:pt>
                <c:pt idx="78">
                  <c:v>21743.669837696594</c:v>
                </c:pt>
                <c:pt idx="79">
                  <c:v>21687.686329685599</c:v>
                </c:pt>
                <c:pt idx="80">
                  <c:v>21631.846962687228</c:v>
                </c:pt>
                <c:pt idx="81">
                  <c:v>21576.151365580354</c:v>
                </c:pt>
                <c:pt idx="82">
                  <c:v>21520.599168199155</c:v>
                </c:pt>
                <c:pt idx="83">
                  <c:v>21465.190001330633</c:v>
                </c:pt>
                <c:pt idx="84">
                  <c:v>21409.923496712079</c:v>
                </c:pt>
                <c:pt idx="85">
                  <c:v>21354.799287045131</c:v>
                </c:pt>
                <c:pt idx="86">
                  <c:v>21299.817005951256</c:v>
                </c:pt>
                <c:pt idx="87">
                  <c:v>21244.976288006183</c:v>
                </c:pt>
                <c:pt idx="88">
                  <c:v>21190.276768726482</c:v>
                </c:pt>
                <c:pt idx="89">
                  <c:v>21135.718084567125</c:v>
                </c:pt>
                <c:pt idx="90">
                  <c:v>21081.299872919073</c:v>
                </c:pt>
                <c:pt idx="91">
                  <c:v>21027.021772106807</c:v>
                </c:pt>
                <c:pt idx="92">
                  <c:v>20972.883421385912</c:v>
                </c:pt>
                <c:pt idx="93">
                  <c:v>20918.884460940626</c:v>
                </c:pt>
                <c:pt idx="94">
                  <c:v>20865.024531881416</c:v>
                </c:pt>
                <c:pt idx="95">
                  <c:v>20811.30327624251</c:v>
                </c:pt>
                <c:pt idx="96">
                  <c:v>20757.720336979502</c:v>
                </c:pt>
                <c:pt idx="97">
                  <c:v>20704.27535798294</c:v>
                </c:pt>
                <c:pt idx="98">
                  <c:v>20650.967984035182</c:v>
                </c:pt>
                <c:pt idx="99">
                  <c:v>20597.797860843777</c:v>
                </c:pt>
                <c:pt idx="100">
                  <c:v>20544.76463502847</c:v>
                </c:pt>
                <c:pt idx="101">
                  <c:v>20491.867954118796</c:v>
                </c:pt>
                <c:pt idx="102">
                  <c:v>20439.107466551781</c:v>
                </c:pt>
                <c:pt idx="103">
                  <c:v>20386.482821669517</c:v>
                </c:pt>
                <c:pt idx="104">
                  <c:v>20333.99366971686</c:v>
                </c:pt>
                <c:pt idx="105">
                  <c:v>20281.63966183901</c:v>
                </c:pt>
                <c:pt idx="106">
                  <c:v>20229.420450079171</c:v>
                </c:pt>
                <c:pt idx="107">
                  <c:v>20177.335687376184</c:v>
                </c:pt>
                <c:pt idx="108">
                  <c:v>20125.385027562181</c:v>
                </c:pt>
                <c:pt idx="109">
                  <c:v>20073.568125375768</c:v>
                </c:pt>
                <c:pt idx="110">
                  <c:v>20021.884636420207</c:v>
                </c:pt>
                <c:pt idx="111">
                  <c:v>19970.334217195737</c:v>
                </c:pt>
                <c:pt idx="112">
                  <c:v>19918.916525087017</c:v>
                </c:pt>
                <c:pt idx="113">
                  <c:v>19867.631218360795</c:v>
                </c:pt>
                <c:pt idx="114">
                  <c:v>19816.477956163639</c:v>
                </c:pt>
                <c:pt idx="115">
                  <c:v>19765.45639851964</c:v>
                </c:pt>
                <c:pt idx="116">
                  <c:v>19714.566206328116</c:v>
                </c:pt>
                <c:pt idx="117">
                  <c:v>19663.807041361339</c:v>
                </c:pt>
                <c:pt idx="118">
                  <c:v>19613.178566262202</c:v>
                </c:pt>
                <c:pt idx="119">
                  <c:v>19562.680444541966</c:v>
                </c:pt>
                <c:pt idx="120">
                  <c:v>19512.312340577966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mod.RK1!$F$2:$F$940</c:f>
              <c:numCache>
                <c:formatCode>General</c:formatCode>
                <c:ptCount val="939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xVal>
          <c:yVal>
            <c:numRef>
              <c:f>mod.RK1!$Y$2:$Y$940</c:f>
              <c:numCache>
                <c:formatCode>0.00</c:formatCode>
                <c:ptCount val="939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  <c:pt idx="93">
                  <c:v>20912.409374769522</c:v>
                </c:pt>
                <c:pt idx="94">
                  <c:v>20858.496682696197</c:v>
                </c:pt>
                <c:pt idx="95">
                  <c:v>20804.722978898775</c:v>
                </c:pt>
                <c:pt idx="96">
                  <c:v>20751.087905061926</c:v>
                </c:pt>
                <c:pt idx="97">
                  <c:v>20697.591103794064</c:v>
                </c:pt>
                <c:pt idx="98">
                  <c:v>20644.232218624973</c:v>
                </c:pt>
                <c:pt idx="99">
                  <c:v>20591.010894003426</c:v>
                </c:pt>
                <c:pt idx="100">
                  <c:v>20537.926775294814</c:v>
                </c:pt>
                <c:pt idx="101">
                  <c:v>20484.979508778793</c:v>
                </c:pt>
                <c:pt idx="102">
                  <c:v>20432.168741646918</c:v>
                </c:pt>
                <c:pt idx="103">
                  <c:v>20379.494122000291</c:v>
                </c:pt>
                <c:pt idx="104">
                  <c:v>20326.955298847221</c:v>
                </c:pt>
                <c:pt idx="105">
                  <c:v>20274.551922100884</c:v>
                </c:pt>
                <c:pt idx="106">
                  <c:v>20222.283642576989</c:v>
                </c:pt>
                <c:pt idx="107">
                  <c:v>20170.15011199145</c:v>
                </c:pt>
                <c:pt idx="108">
                  <c:v>20118.150982958068</c:v>
                </c:pt>
                <c:pt idx="109">
                  <c:v>20066.285908986218</c:v>
                </c:pt>
                <c:pt idx="110">
                  <c:v>20014.554544478531</c:v>
                </c:pt>
                <c:pt idx="111">
                  <c:v>19962.956544728604</c:v>
                </c:pt>
                <c:pt idx="112">
                  <c:v>19911.491565918692</c:v>
                </c:pt>
                <c:pt idx="113">
                  <c:v>19860.159265117421</c:v>
                </c:pt>
                <c:pt idx="114">
                  <c:v>19808.959300277507</c:v>
                </c:pt>
                <c:pt idx="115">
                  <c:v>19757.891330233466</c:v>
                </c:pt>
                <c:pt idx="116">
                  <c:v>19706.955014699353</c:v>
                </c:pt>
                <c:pt idx="117">
                  <c:v>19656.150014266488</c:v>
                </c:pt>
                <c:pt idx="118">
                  <c:v>19605.475990401192</c:v>
                </c:pt>
                <c:pt idx="119">
                  <c:v>19554.932605442536</c:v>
                </c:pt>
                <c:pt idx="120">
                  <c:v>19504.519522600094</c:v>
                </c:pt>
                <c:pt idx="121">
                  <c:v>19454.236405951688</c:v>
                </c:pt>
                <c:pt idx="122">
                  <c:v>19404.082920441157</c:v>
                </c:pt>
                <c:pt idx="123">
                  <c:v>19354.058731876125</c:v>
                </c:pt>
                <c:pt idx="124">
                  <c:v>19304.163506925772</c:v>
                </c:pt>
                <c:pt idx="125">
                  <c:v>19254.396913118613</c:v>
                </c:pt>
                <c:pt idx="126">
                  <c:v>19204.758618840282</c:v>
                </c:pt>
                <c:pt idx="127">
                  <c:v>19155.248293331322</c:v>
                </c:pt>
                <c:pt idx="128">
                  <c:v>19105.865606684984</c:v>
                </c:pt>
                <c:pt idx="129">
                  <c:v>19056.610229845024</c:v>
                </c:pt>
                <c:pt idx="130">
                  <c:v>19007.481834603517</c:v>
                </c:pt>
                <c:pt idx="131">
                  <c:v>18958.48009359866</c:v>
                </c:pt>
                <c:pt idx="132">
                  <c:v>18909.604680312605</c:v>
                </c:pt>
                <c:pt idx="133">
                  <c:v>18860.855269069267</c:v>
                </c:pt>
                <c:pt idx="134">
                  <c:v>18812.231535032162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318272"/>
        <c:axId val="61320192"/>
      </c:scatterChart>
      <c:valAx>
        <c:axId val="6131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320192"/>
        <c:crosses val="autoZero"/>
        <c:crossBetween val="midCat"/>
      </c:valAx>
      <c:valAx>
        <c:axId val="6132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31827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fr-FR" sz="14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453824"/>
        <c:axId val="61455744"/>
      </c:scatterChart>
      <c:valAx>
        <c:axId val="61453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1455744"/>
        <c:crosses val="autoZero"/>
        <c:crossBetween val="midCat"/>
      </c:valAx>
      <c:valAx>
        <c:axId val="61455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fr-FR" sz="10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614538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>
                <a:solidFill>
                  <a:schemeClr val="bg1"/>
                </a:solidFill>
              </a:rPr>
              <a:t>Répartition de</a:t>
            </a:r>
            <a:r>
              <a:rPr lang="fr-FR" sz="1600" baseline="0">
                <a:solidFill>
                  <a:schemeClr val="bg1"/>
                </a:solidFill>
              </a:rPr>
              <a:t> l'enrichissement massique au cours du temps pour RK1</a:t>
            </a:r>
            <a:endParaRPr lang="fr-FR" sz="1600">
              <a:solidFill>
                <a:schemeClr val="bg1"/>
              </a:solidFill>
            </a:endParaRP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546496"/>
        <c:axId val="61548032"/>
      </c:areaChart>
      <c:catAx>
        <c:axId val="61546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 (années)</a:t>
                </a: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1548032"/>
        <c:crosses val="autoZero"/>
        <c:auto val="1"/>
        <c:lblAlgn val="ctr"/>
        <c:lblOffset val="100"/>
        <c:noMultiLvlLbl val="0"/>
      </c:catAx>
      <c:valAx>
        <c:axId val="615480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/>
                  <a:t>E %wt</a:t>
                </a: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15464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1600" b="1" i="0" baseline="0">
                <a:solidFill>
                  <a:schemeClr val="bg1"/>
                </a:solidFill>
                <a:effectLst/>
              </a:rPr>
              <a:t>Répartition de l'enrichissement massique au cours du temps pour méthode explicite</a:t>
            </a:r>
            <a:endParaRPr lang="fr-FR" sz="1600">
              <a:solidFill>
                <a:schemeClr val="bg1"/>
              </a:solidFill>
              <a:effectLst/>
            </a:endParaRPr>
          </a:p>
        </c:rich>
      </c:tx>
      <c:layout>
        <c:manualLayout>
          <c:xMode val="edge"/>
          <c:yMode val="edge"/>
          <c:x val="8.3317274031091459E-2"/>
          <c:y val="2.0926755367547973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mod.simp.!$AD$1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mod.simp.!$AD$2:$AD$136</c:f>
              <c:numCache>
                <c:formatCode>0.00</c:formatCode>
                <c:ptCount val="135"/>
                <c:pt idx="0">
                  <c:v>3461.5820803761339</c:v>
                </c:pt>
                <c:pt idx="1">
                  <c:v>3456.2578200885641</c:v>
                </c:pt>
                <c:pt idx="2">
                  <c:v>3450.8815097280003</c:v>
                </c:pt>
                <c:pt idx="3">
                  <c:v>3445.4544852047056</c:v>
                </c:pt>
                <c:pt idx="4">
                  <c:v>3439.9780570882031</c:v>
                </c:pt>
                <c:pt idx="5">
                  <c:v>3434.453511093448</c:v>
                </c:pt>
                <c:pt idx="6">
                  <c:v>3428.8821085669852</c:v>
                </c:pt>
                <c:pt idx="7">
                  <c:v>3423.2650869731233</c:v>
                </c:pt>
                <c:pt idx="8">
                  <c:v>3417.6036603800944</c:v>
                </c:pt>
                <c:pt idx="9">
                  <c:v>3411.8990199462273</c:v>
                </c:pt>
                <c:pt idx="10">
                  <c:v>3406.1523344061052</c:v>
                </c:pt>
                <c:pt idx="11">
                  <c:v>3400.3647505567415</c:v>
                </c:pt>
                <c:pt idx="12">
                  <c:v>3394.5373937437366</c:v>
                </c:pt>
                <c:pt idx="13">
                  <c:v>3388.6713457147162</c:v>
                </c:pt>
                <c:pt idx="14">
                  <c:v>3382.7677028199109</c:v>
                </c:pt>
                <c:pt idx="15">
                  <c:v>3376.827525514062</c:v>
                </c:pt>
                <c:pt idx="16">
                  <c:v>3370.8518539546417</c:v>
                </c:pt>
                <c:pt idx="17">
                  <c:v>3364.8417083918512</c:v>
                </c:pt>
                <c:pt idx="18">
                  <c:v>3358.7980895586088</c:v>
                </c:pt>
                <c:pt idx="19">
                  <c:v>3352.7219790605441</c:v>
                </c:pt>
                <c:pt idx="20">
                  <c:v>3346.6143397659926</c:v>
                </c:pt>
                <c:pt idx="21">
                  <c:v>3340.476116195985</c:v>
                </c:pt>
                <c:pt idx="22">
                  <c:v>3334.3082349142437</c:v>
                </c:pt>
                <c:pt idx="23">
                  <c:v>3328.1116049171728</c:v>
                </c:pt>
                <c:pt idx="24">
                  <c:v>3321.8871180238534</c:v>
                </c:pt>
                <c:pt idx="25">
                  <c:v>3315.635631102768</c:v>
                </c:pt>
                <c:pt idx="26">
                  <c:v>3309.3580127789592</c:v>
                </c:pt>
                <c:pt idx="27">
                  <c:v>3303.0551029079093</c:v>
                </c:pt>
                <c:pt idx="28">
                  <c:v>3296.7277250933471</c:v>
                </c:pt>
                <c:pt idx="29">
                  <c:v>3290.37668700006</c:v>
                </c:pt>
                <c:pt idx="30">
                  <c:v>3284.0027806667067</c:v>
                </c:pt>
                <c:pt idx="31">
                  <c:v>3277.6067828186324</c:v>
                </c:pt>
                <c:pt idx="32">
                  <c:v>3271.189455180684</c:v>
                </c:pt>
                <c:pt idx="33">
                  <c:v>3264.7515447900191</c:v>
                </c:pt>
                <c:pt idx="34">
                  <c:v>3258.2937843089207</c:v>
                </c:pt>
                <c:pt idx="35">
                  <c:v>3251.8168923376138</c:v>
                </c:pt>
                <c:pt idx="36">
                  <c:v>3245.3215737270743</c:v>
                </c:pt>
                <c:pt idx="37">
                  <c:v>3238.8085053162358</c:v>
                </c:pt>
                <c:pt idx="38">
                  <c:v>3232.2783734133468</c:v>
                </c:pt>
                <c:pt idx="39">
                  <c:v>3225.7318412744203</c:v>
                </c:pt>
                <c:pt idx="40">
                  <c:v>3219.1695591483958</c:v>
                </c:pt>
                <c:pt idx="41">
                  <c:v>3212.5921645280141</c:v>
                </c:pt>
                <c:pt idx="42">
                  <c:v>3206.0002824007001</c:v>
                </c:pt>
                <c:pt idx="43">
                  <c:v>3199.3945254994455</c:v>
                </c:pt>
                <c:pt idx="44">
                  <c:v>3192.7754945536835</c:v>
                </c:pt>
                <c:pt idx="45">
                  <c:v>3186.1437785401745</c:v>
                </c:pt>
                <c:pt idx="46">
                  <c:v>3179.4999549338831</c:v>
                </c:pt>
                <c:pt idx="47">
                  <c:v>3172.8445899588596</c:v>
                </c:pt>
                <c:pt idx="48">
                  <c:v>3166.1782388391211</c:v>
                </c:pt>
                <c:pt idx="49">
                  <c:v>3159.5014343536191</c:v>
                </c:pt>
                <c:pt idx="50">
                  <c:v>3152.8147169123426</c:v>
                </c:pt>
                <c:pt idx="51">
                  <c:v>3146.118608459828</c:v>
                </c:pt>
                <c:pt idx="52">
                  <c:v>3139.4136205355981</c:v>
                </c:pt>
                <c:pt idx="53">
                  <c:v>3132.700254475355</c:v>
                </c:pt>
                <c:pt idx="54">
                  <c:v>3125.9790016121592</c:v>
                </c:pt>
                <c:pt idx="55">
                  <c:v>3119.2503434776168</c:v>
                </c:pt>
                <c:pt idx="56">
                  <c:v>3112.5147520030641</c:v>
                </c:pt>
                <c:pt idx="57">
                  <c:v>3105.7726897207517</c:v>
                </c:pt>
                <c:pt idx="58">
                  <c:v>3099.0246099650294</c:v>
                </c:pt>
                <c:pt idx="59">
                  <c:v>3092.2709570735287</c:v>
                </c:pt>
                <c:pt idx="60">
                  <c:v>3085.5121665883512</c:v>
                </c:pt>
                <c:pt idx="61">
                  <c:v>3078.7486560726838</c:v>
                </c:pt>
                <c:pt idx="62">
                  <c:v>3071.9808492432021</c:v>
                </c:pt>
                <c:pt idx="63">
                  <c:v>3065.2091550305636</c:v>
                </c:pt>
                <c:pt idx="64">
                  <c:v>3058.4339740468708</c:v>
                </c:pt>
                <c:pt idx="65">
                  <c:v>3051.6556987469808</c:v>
                </c:pt>
                <c:pt idx="66">
                  <c:v>3044.8747135898202</c:v>
                </c:pt>
                <c:pt idx="67">
                  <c:v>3038.0913951996886</c:v>
                </c:pt>
                <c:pt idx="68">
                  <c:v>3031.3061125275781</c:v>
                </c:pt>
                <c:pt idx="69">
                  <c:v>3024.5192270124776</c:v>
                </c:pt>
                <c:pt idx="70">
                  <c:v>3017.7310927426879</c:v>
                </c:pt>
                <c:pt idx="71">
                  <c:v>3010.9420566171316</c:v>
                </c:pt>
                <c:pt idx="72">
                  <c:v>3004.1524585066609</c:v>
                </c:pt>
                <c:pt idx="73">
                  <c:v>2997.362623885881</c:v>
                </c:pt>
                <c:pt idx="74">
                  <c:v>2990.5728831951642</c:v>
                </c:pt>
                <c:pt idx="75">
                  <c:v>2983.7835550401505</c:v>
                </c:pt>
                <c:pt idx="76">
                  <c:v>2976.9949513806855</c:v>
                </c:pt>
                <c:pt idx="77">
                  <c:v>2970.2073776601478</c:v>
                </c:pt>
                <c:pt idx="78">
                  <c:v>2963.421132934764</c:v>
                </c:pt>
                <c:pt idx="79">
                  <c:v>2956.6365100029316</c:v>
                </c:pt>
                <c:pt idx="80">
                  <c:v>2949.8537955345387</c:v>
                </c:pt>
                <c:pt idx="81">
                  <c:v>2943.0732702002847</c:v>
                </c:pt>
                <c:pt idx="82">
                  <c:v>2936.2952088009965</c:v>
                </c:pt>
                <c:pt idx="83">
                  <c:v>2929.519880396957</c:v>
                </c:pt>
                <c:pt idx="84">
                  <c:v>2922.7475484372162</c:v>
                </c:pt>
                <c:pt idx="85">
                  <c:v>2915.9784648482255</c:v>
                </c:pt>
                <c:pt idx="86">
                  <c:v>2909.2128855673586</c:v>
                </c:pt>
                <c:pt idx="87">
                  <c:v>2902.4510570642069</c:v>
                </c:pt>
                <c:pt idx="88">
                  <c:v>2895.6932205034464</c:v>
                </c:pt>
                <c:pt idx="89">
                  <c:v>2888.9396118484992</c:v>
                </c:pt>
                <c:pt idx="90">
                  <c:v>2882.1904619651823</c:v>
                </c:pt>
                <c:pt idx="91">
                  <c:v>2875.4459967253692</c:v>
                </c:pt>
                <c:pt idx="92">
                  <c:v>2868.7064371106426</c:v>
                </c:pt>
                <c:pt idx="93">
                  <c:v>2861.9719993159501</c:v>
                </c:pt>
                <c:pt idx="94">
                  <c:v>2855.2428948532634</c:v>
                </c:pt>
                <c:pt idx="95">
                  <c:v>2848.5193306552296</c:v>
                </c:pt>
                <c:pt idx="96">
                  <c:v>2841.8015091788297</c:v>
                </c:pt>
                <c:pt idx="97">
                  <c:v>2835.0896236631284</c:v>
                </c:pt>
                <c:pt idx="98">
                  <c:v>2828.3838705903713</c:v>
                </c:pt>
                <c:pt idx="99">
                  <c:v>2821.6844388730942</c:v>
                </c:pt>
                <c:pt idx="100">
                  <c:v>2814.9915131935541</c:v>
                </c:pt>
                <c:pt idx="101">
                  <c:v>2808.3052740868006</c:v>
                </c:pt>
                <c:pt idx="102">
                  <c:v>2801.6258980237408</c:v>
                </c:pt>
                <c:pt idx="103">
                  <c:v>2794.9535574942079</c:v>
                </c:pt>
                <c:pt idx="104">
                  <c:v>2788.2884210900329</c:v>
                </c:pt>
                <c:pt idx="105">
                  <c:v>2781.630653588109</c:v>
                </c:pt>
                <c:pt idx="106">
                  <c:v>2774.9804160334625</c:v>
                </c:pt>
                <c:pt idx="107">
                  <c:v>2768.3378658223201</c:v>
                </c:pt>
                <c:pt idx="108">
                  <c:v>2761.7031567851768</c:v>
                </c:pt>
                <c:pt idx="109">
                  <c:v>2755.0764353827412</c:v>
                </c:pt>
                <c:pt idx="110">
                  <c:v>2748.4578507015026</c:v>
                </c:pt>
                <c:pt idx="111">
                  <c:v>2741.8475457800923</c:v>
                </c:pt>
                <c:pt idx="112">
                  <c:v>2735.2456602879383</c:v>
                </c:pt>
                <c:pt idx="113">
                  <c:v>2728.6523305918163</c:v>
                </c:pt>
                <c:pt idx="114">
                  <c:v>2722.0676898224074</c:v>
                </c:pt>
                <c:pt idx="115">
                  <c:v>2715.4918679408524</c:v>
                </c:pt>
                <c:pt idx="116">
                  <c:v>2708.9249918053069</c:v>
                </c:pt>
                <c:pt idx="117">
                  <c:v>2702.3671852374932</c:v>
                </c:pt>
                <c:pt idx="118">
                  <c:v>2695.8185690892583</c:v>
                </c:pt>
                <c:pt idx="119">
                  <c:v>2689.2792613091287</c:v>
                </c:pt>
                <c:pt idx="120">
                  <c:v>2682.7493770088622</c:v>
                </c:pt>
              </c:numCache>
            </c:numRef>
          </c:val>
        </c:ser>
        <c:ser>
          <c:idx val="2"/>
          <c:order val="1"/>
          <c:tx>
            <c:strRef>
              <c:f>mod.simp.!$AE$1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mod.simp.!$AE$2:$AE$136</c:f>
              <c:numCache>
                <c:formatCode>0.00</c:formatCode>
                <c:ptCount val="135"/>
                <c:pt idx="0">
                  <c:v>1154.5288235649409</c:v>
                </c:pt>
                <c:pt idx="1">
                  <c:v>1159.3325357284086</c:v>
                </c:pt>
                <c:pt idx="2">
                  <c:v>1164.0818898803097</c:v>
                </c:pt>
                <c:pt idx="3">
                  <c:v>1168.7770796419172</c:v>
                </c:pt>
                <c:pt idx="4">
                  <c:v>1173.418302232566</c:v>
                </c:pt>
                <c:pt idx="5">
                  <c:v>1178.0057583426776</c:v>
                </c:pt>
                <c:pt idx="6">
                  <c:v>1182.539652006787</c:v>
                </c:pt>
                <c:pt idx="7">
                  <c:v>1187.0201904765663</c:v>
                </c:pt>
                <c:pt idx="8">
                  <c:v>1191.4475840938514</c:v>
                </c:pt>
                <c:pt idx="9">
                  <c:v>1195.822046163669</c:v>
                </c:pt>
                <c:pt idx="10">
                  <c:v>1200.1437928272592</c:v>
                </c:pt>
                <c:pt idx="11">
                  <c:v>1204.4130429351037</c:v>
                </c:pt>
                <c:pt idx="12">
                  <c:v>1208.6300179199504</c:v>
                </c:pt>
                <c:pt idx="13">
                  <c:v>1212.7949486242549</c:v>
                </c:pt>
                <c:pt idx="14">
                  <c:v>1216.9080574314719</c:v>
                </c:pt>
                <c:pt idx="15">
                  <c:v>1220.969573817124</c:v>
                </c:pt>
                <c:pt idx="16">
                  <c:v>1224.9797295729268</c:v>
                </c:pt>
                <c:pt idx="17">
                  <c:v>1228.9387587091826</c:v>
                </c:pt>
                <c:pt idx="18">
                  <c:v>1232.8468973571735</c:v>
                </c:pt>
                <c:pt idx="19">
                  <c:v>1236.7043836715586</c:v>
                </c:pt>
                <c:pt idx="20">
                  <c:v>1240.5114577327674</c:v>
                </c:pt>
                <c:pt idx="21">
                  <c:v>1244.2683614493924</c:v>
                </c:pt>
                <c:pt idx="22">
                  <c:v>1247.9753384605863</c:v>
                </c:pt>
                <c:pt idx="23">
                  <c:v>1251.6326340384549</c:v>
                </c:pt>
                <c:pt idx="24">
                  <c:v>1255.2404949904512</c:v>
                </c:pt>
                <c:pt idx="25">
                  <c:v>1258.7991750630374</c:v>
                </c:pt>
                <c:pt idx="26">
                  <c:v>1262.3089208085707</c:v>
                </c:pt>
                <c:pt idx="27">
                  <c:v>1265.769983891272</c:v>
                </c:pt>
                <c:pt idx="28">
                  <c:v>1269.1826173114457</c:v>
                </c:pt>
                <c:pt idx="29">
                  <c:v>1272.5470753310822</c:v>
                </c:pt>
                <c:pt idx="30">
                  <c:v>1275.8636133994605</c:v>
                </c:pt>
                <c:pt idx="31">
                  <c:v>1279.1324880787527</c:v>
                </c:pt>
                <c:pt idx="32">
                  <c:v>1282.3539569696254</c:v>
                </c:pt>
                <c:pt idx="33">
                  <c:v>1285.5282786368462</c:v>
                </c:pt>
                <c:pt idx="34">
                  <c:v>1288.6557125348852</c:v>
                </c:pt>
                <c:pt idx="35">
                  <c:v>1291.7365189335176</c:v>
                </c:pt>
                <c:pt idx="36">
                  <c:v>1294.7709588434293</c:v>
                </c:pt>
                <c:pt idx="37">
                  <c:v>1297.7592982834792</c:v>
                </c:pt>
                <c:pt idx="38">
                  <c:v>1300.7017971284224</c:v>
                </c:pt>
                <c:pt idx="39">
                  <c:v>1303.5987188249599</c:v>
                </c:pt>
                <c:pt idx="40">
                  <c:v>1306.4503274138519</c:v>
                </c:pt>
                <c:pt idx="41">
                  <c:v>1309.2568874738174</c:v>
                </c:pt>
                <c:pt idx="42">
                  <c:v>1312.0186640654313</c:v>
                </c:pt>
                <c:pt idx="43">
                  <c:v>1314.7359226750243</c:v>
                </c:pt>
                <c:pt idx="44">
                  <c:v>1317.4089291585817</c:v>
                </c:pt>
                <c:pt idx="45">
                  <c:v>1320.0379496856419</c:v>
                </c:pt>
                <c:pt idx="46">
                  <c:v>1322.6232506831948</c:v>
                </c:pt>
                <c:pt idx="47">
                  <c:v>1325.1650987795811</c:v>
                </c:pt>
                <c:pt idx="48">
                  <c:v>1327.663760748391</c:v>
                </c:pt>
                <c:pt idx="49">
                  <c:v>1330.1195068694794</c:v>
                </c:pt>
                <c:pt idx="50">
                  <c:v>1332.5326021531469</c:v>
                </c:pt>
                <c:pt idx="51">
                  <c:v>1334.9033139909466</c:v>
                </c:pt>
                <c:pt idx="52">
                  <c:v>1337.2319098137962</c:v>
                </c:pt>
                <c:pt idx="53">
                  <c:v>1339.5186570502549</c:v>
                </c:pt>
                <c:pt idx="54">
                  <c:v>1341.7638230848002</c:v>
                </c:pt>
                <c:pt idx="55">
                  <c:v>1343.9676752161097</c:v>
                </c:pt>
                <c:pt idx="56">
                  <c:v>1346.1304806153369</c:v>
                </c:pt>
                <c:pt idx="57">
                  <c:v>1348.2525062843886</c:v>
                </c:pt>
                <c:pt idx="58">
                  <c:v>1350.3340190142069</c:v>
                </c:pt>
                <c:pt idx="59">
                  <c:v>1352.3752853430422</c:v>
                </c:pt>
                <c:pt idx="60">
                  <c:v>1354.3765715147363</c:v>
                </c:pt>
                <c:pt idx="61">
                  <c:v>1356.3381461177337</c:v>
                </c:pt>
                <c:pt idx="62">
                  <c:v>1358.2602732019386</c:v>
                </c:pt>
                <c:pt idx="63">
                  <c:v>1360.1432182843025</c:v>
                </c:pt>
                <c:pt idx="64">
                  <c:v>1361.9872465133471</c:v>
                </c:pt>
                <c:pt idx="65">
                  <c:v>1363.7926226387051</c:v>
                </c:pt>
                <c:pt idx="66">
                  <c:v>1365.5596109806595</c:v>
                </c:pt>
                <c:pt idx="67">
                  <c:v>1367.2884753996852</c:v>
                </c:pt>
                <c:pt idx="68">
                  <c:v>1368.9794792659886</c:v>
                </c:pt>
                <c:pt idx="69">
                  <c:v>1370.6328854290493</c:v>
                </c:pt>
                <c:pt idx="70">
                  <c:v>1372.2489561871578</c:v>
                </c:pt>
                <c:pt idx="71">
                  <c:v>1373.8279532569582</c:v>
                </c:pt>
                <c:pt idx="72">
                  <c:v>1375.3701377429875</c:v>
                </c:pt>
                <c:pt idx="73">
                  <c:v>1376.8757722021278</c:v>
                </c:pt>
                <c:pt idx="74">
                  <c:v>1378.3451152660557</c:v>
                </c:pt>
                <c:pt idx="75">
                  <c:v>1379.7784263377107</c:v>
                </c:pt>
                <c:pt idx="76">
                  <c:v>1381.1759641585547</c:v>
                </c:pt>
                <c:pt idx="77">
                  <c:v>1382.5379867868992</c:v>
                </c:pt>
                <c:pt idx="78">
                  <c:v>1383.8647515762289</c:v>
                </c:pt>
                <c:pt idx="79">
                  <c:v>1385.1565151535247</c:v>
                </c:pt>
                <c:pt idx="80">
                  <c:v>1386.4135333975878</c:v>
                </c:pt>
                <c:pt idx="81">
                  <c:v>1387.6360614173641</c:v>
                </c:pt>
                <c:pt idx="82">
                  <c:v>1388.8243535302684</c:v>
                </c:pt>
                <c:pt idx="83">
                  <c:v>1389.9786632405062</c:v>
                </c:pt>
                <c:pt idx="84">
                  <c:v>1391.0992432174007</c:v>
                </c:pt>
                <c:pt idx="85">
                  <c:v>1392.1863469032075</c:v>
                </c:pt>
                <c:pt idx="86">
                  <c:v>1393.240224331603</c:v>
                </c:pt>
                <c:pt idx="87">
                  <c:v>1394.2611257838446</c:v>
                </c:pt>
                <c:pt idx="88">
                  <c:v>1395.2493006758743</c:v>
                </c:pt>
                <c:pt idx="89">
                  <c:v>1396.2049975434588</c:v>
                </c:pt>
                <c:pt idx="90">
                  <c:v>1397.1284640273291</c:v>
                </c:pt>
                <c:pt idx="91">
                  <c:v>1398.0199468583187</c:v>
                </c:pt>
                <c:pt idx="92">
                  <c:v>1398.879691842506</c:v>
                </c:pt>
                <c:pt idx="93">
                  <c:v>1399.7079438463518</c:v>
                </c:pt>
                <c:pt idx="94">
                  <c:v>1400.5049467818399</c:v>
                </c:pt>
                <c:pt idx="95">
                  <c:v>1401.2709435916165</c:v>
                </c:pt>
                <c:pt idx="96">
                  <c:v>1402.0061762341311</c:v>
                </c:pt>
                <c:pt idx="97">
                  <c:v>1402.7108869290919</c:v>
                </c:pt>
                <c:pt idx="98">
                  <c:v>1403.3853149245656</c:v>
                </c:pt>
                <c:pt idx="99">
                  <c:v>1404.0296993277232</c:v>
                </c:pt>
                <c:pt idx="100">
                  <c:v>1404.644278245529</c:v>
                </c:pt>
                <c:pt idx="101">
                  <c:v>1405.2292887751362</c:v>
                </c:pt>
                <c:pt idx="102">
                  <c:v>1405.7849669942832</c:v>
                </c:pt>
                <c:pt idx="103">
                  <c:v>1406.3115479516885</c:v>
                </c:pt>
                <c:pt idx="104">
                  <c:v>1406.8092656574479</c:v>
                </c:pt>
                <c:pt idx="105">
                  <c:v>1407.2783530734287</c:v>
                </c:pt>
                <c:pt idx="106">
                  <c:v>1407.7190421036673</c:v>
                </c:pt>
                <c:pt idx="107">
                  <c:v>1408.1315635847641</c:v>
                </c:pt>
                <c:pt idx="108">
                  <c:v>1408.5161472762793</c:v>
                </c:pt>
                <c:pt idx="109">
                  <c:v>1408.8730228191509</c:v>
                </c:pt>
                <c:pt idx="110">
                  <c:v>1409.2024172537672</c:v>
                </c:pt>
                <c:pt idx="111">
                  <c:v>1409.5045571969715</c:v>
                </c:pt>
                <c:pt idx="112">
                  <c:v>1409.7796681834245</c:v>
                </c:pt>
                <c:pt idx="113">
                  <c:v>1410.0279746600195</c:v>
                </c:pt>
                <c:pt idx="114">
                  <c:v>1410.2496999803018</c:v>
                </c:pt>
                <c:pt idx="115">
                  <c:v>1410.4450663988875</c:v>
                </c:pt>
                <c:pt idx="116">
                  <c:v>1410.6142950658814</c:v>
                </c:pt>
                <c:pt idx="117">
                  <c:v>1410.7576060212944</c:v>
                </c:pt>
                <c:pt idx="118">
                  <c:v>1410.8752181894636</c:v>
                </c:pt>
                <c:pt idx="119">
                  <c:v>1410.9673493734692</c:v>
                </c:pt>
                <c:pt idx="120">
                  <c:v>1411.0342162495533</c:v>
                </c:pt>
              </c:numCache>
            </c:numRef>
          </c:val>
        </c:ser>
        <c:ser>
          <c:idx val="3"/>
          <c:order val="2"/>
          <c:tx>
            <c:strRef>
              <c:f>mod.simp.!$AF$1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mod.simp.!$AF$2:$AF$136</c:f>
              <c:numCache>
                <c:formatCode>0.00</c:formatCode>
                <c:ptCount val="135"/>
                <c:pt idx="0">
                  <c:v>241.52903340204062</c:v>
                </c:pt>
                <c:pt idx="1">
                  <c:v>239.19737987227384</c:v>
                </c:pt>
                <c:pt idx="2">
                  <c:v>236.94721362277392</c:v>
                </c:pt>
                <c:pt idx="3">
                  <c:v>234.77610350031111</c:v>
                </c:pt>
                <c:pt idx="4">
                  <c:v>232.68168550302579</c:v>
                </c:pt>
                <c:pt idx="5">
                  <c:v>230.66166082255856</c:v>
                </c:pt>
                <c:pt idx="6">
                  <c:v>228.71379388617999</c:v>
                </c:pt>
                <c:pt idx="7">
                  <c:v>226.83591039892116</c:v>
                </c:pt>
                <c:pt idx="8">
                  <c:v>225.02589538570362</c:v>
                </c:pt>
                <c:pt idx="9">
                  <c:v>223.28169123346962</c:v>
                </c:pt>
                <c:pt idx="10">
                  <c:v>221.60129573331213</c:v>
                </c:pt>
                <c:pt idx="11">
                  <c:v>219.98276012260501</c:v>
                </c:pt>
                <c:pt idx="12">
                  <c:v>218.42418712713325</c:v>
                </c:pt>
                <c:pt idx="13">
                  <c:v>216.92386495192966</c:v>
                </c:pt>
                <c:pt idx="14">
                  <c:v>215.47991741816992</c:v>
                </c:pt>
                <c:pt idx="15">
                  <c:v>214.09061019698234</c:v>
                </c:pt>
                <c:pt idx="16">
                  <c:v>212.75425720057652</c:v>
                </c:pt>
                <c:pt idx="17">
                  <c:v>211.46921917470669</c:v>
                </c:pt>
                <c:pt idx="18">
                  <c:v>210.23390229113599</c:v>
                </c:pt>
                <c:pt idx="19">
                  <c:v>209.04675674010011</c:v>
                </c:pt>
                <c:pt idx="20">
                  <c:v>207.90627532277108</c:v>
                </c:pt>
                <c:pt idx="21">
                  <c:v>206.81099204372146</c:v>
                </c:pt>
                <c:pt idx="22">
                  <c:v>205.75948070338782</c:v>
                </c:pt>
                <c:pt idx="23">
                  <c:v>204.75035349053479</c:v>
                </c:pt>
                <c:pt idx="24">
                  <c:v>203.78225957471884</c:v>
                </c:pt>
                <c:pt idx="25">
                  <c:v>202.85398137494013</c:v>
                </c:pt>
                <c:pt idx="26">
                  <c:v>201.96418319161731</c:v>
                </c:pt>
                <c:pt idx="27">
                  <c:v>201.11163122513597</c:v>
                </c:pt>
                <c:pt idx="28">
                  <c:v>200.29512632038612</c:v>
                </c:pt>
                <c:pt idx="29">
                  <c:v>199.51350295466963</c:v>
                </c:pt>
                <c:pt idx="30">
                  <c:v>198.7656282256074</c:v>
                </c:pt>
                <c:pt idx="31">
                  <c:v>198.050400839047</c:v>
                </c:pt>
                <c:pt idx="32">
                  <c:v>197.36675009697015</c:v>
                </c:pt>
                <c:pt idx="33">
                  <c:v>196.71363488540001</c:v>
                </c:pt>
                <c:pt idx="34">
                  <c:v>196.0900426623086</c:v>
                </c:pt>
                <c:pt idx="35">
                  <c:v>195.49498844552426</c:v>
                </c:pt>
                <c:pt idx="36">
                  <c:v>194.9275138006391</c:v>
                </c:pt>
                <c:pt idx="37">
                  <c:v>194.38675602403035</c:v>
                </c:pt>
                <c:pt idx="38">
                  <c:v>193.8717674977762</c:v>
                </c:pt>
                <c:pt idx="39">
                  <c:v>193.38167380343947</c:v>
                </c:pt>
                <c:pt idx="40">
                  <c:v>192.91562538929912</c:v>
                </c:pt>
                <c:pt idx="41">
                  <c:v>192.47279684247522</c:v>
                </c:pt>
                <c:pt idx="42">
                  <c:v>192.05238616105365</c:v>
                </c:pt>
                <c:pt idx="43">
                  <c:v>191.65361402621062</c:v>
                </c:pt>
                <c:pt idx="44">
                  <c:v>191.27572307433775</c:v>
                </c:pt>
                <c:pt idx="45">
                  <c:v>190.91797716916631</c:v>
                </c:pt>
                <c:pt idx="46">
                  <c:v>190.57966067389239</c:v>
                </c:pt>
                <c:pt idx="47">
                  <c:v>190.26007772330152</c:v>
                </c:pt>
                <c:pt idx="48">
                  <c:v>189.95855149589309</c:v>
                </c:pt>
                <c:pt idx="49">
                  <c:v>189.67447394475934</c:v>
                </c:pt>
                <c:pt idx="50">
                  <c:v>189.40717594418919</c:v>
                </c:pt>
                <c:pt idx="51">
                  <c:v>189.15604094543318</c:v>
                </c:pt>
                <c:pt idx="52">
                  <c:v>188.92047023381417</c:v>
                </c:pt>
                <c:pt idx="53">
                  <c:v>188.69988240518168</c:v>
                </c:pt>
                <c:pt idx="54">
                  <c:v>188.49371284236599</c:v>
                </c:pt>
                <c:pt idx="55">
                  <c:v>188.30141319163195</c:v>
                </c:pt>
                <c:pt idx="56">
                  <c:v>188.12245083913336</c:v>
                </c:pt>
                <c:pt idx="57">
                  <c:v>187.95630838736673</c:v>
                </c:pt>
                <c:pt idx="58">
                  <c:v>187.80248313162551</c:v>
                </c:pt>
                <c:pt idx="59">
                  <c:v>187.66048653645416</c:v>
                </c:pt>
                <c:pt idx="60">
                  <c:v>187.52984371210218</c:v>
                </c:pt>
                <c:pt idx="61">
                  <c:v>187.41012917236452</c:v>
                </c:pt>
                <c:pt idx="62">
                  <c:v>187.30087346665991</c:v>
                </c:pt>
                <c:pt idx="63">
                  <c:v>187.20164490051843</c:v>
                </c:pt>
                <c:pt idx="64">
                  <c:v>187.11202455478823</c:v>
                </c:pt>
                <c:pt idx="65">
                  <c:v>187.03160590902706</c:v>
                </c:pt>
                <c:pt idx="66">
                  <c:v>186.95999446489284</c:v>
                </c:pt>
                <c:pt idx="67">
                  <c:v>186.89680736953488</c:v>
                </c:pt>
                <c:pt idx="68">
                  <c:v>186.84167303898479</c:v>
                </c:pt>
                <c:pt idx="69">
                  <c:v>186.7942307815477</c:v>
                </c:pt>
                <c:pt idx="70">
                  <c:v>186.75413042119288</c:v>
                </c:pt>
                <c:pt idx="71">
                  <c:v>186.72103192094517</c:v>
                </c:pt>
                <c:pt idx="72">
                  <c:v>186.69460500627574</c:v>
                </c:pt>
                <c:pt idx="73">
                  <c:v>186.67455488330157</c:v>
                </c:pt>
                <c:pt idx="74">
                  <c:v>186.66055508595173</c:v>
                </c:pt>
                <c:pt idx="75">
                  <c:v>186.65230625109805</c:v>
                </c:pt>
                <c:pt idx="76">
                  <c:v>186.64951815189931</c:v>
                </c:pt>
                <c:pt idx="77">
                  <c:v>186.65190942688801</c:v>
                </c:pt>
                <c:pt idx="78">
                  <c:v>186.65920730905626</c:v>
                </c:pt>
                <c:pt idx="79">
                  <c:v>186.6711473549426</c:v>
                </c:pt>
                <c:pt idx="80">
                  <c:v>186.68747317371827</c:v>
                </c:pt>
                <c:pt idx="81">
                  <c:v>186.70793615627318</c:v>
                </c:pt>
                <c:pt idx="82">
                  <c:v>186.73229520430266</c:v>
                </c:pt>
                <c:pt idx="83">
                  <c:v>186.76031645939386</c:v>
                </c:pt>
                <c:pt idx="84">
                  <c:v>186.79177303211176</c:v>
                </c:pt>
                <c:pt idx="85">
                  <c:v>186.82646350482216</c:v>
                </c:pt>
                <c:pt idx="86">
                  <c:v>186.8641636195153</c:v>
                </c:pt>
                <c:pt idx="87">
                  <c:v>186.90466856250657</c:v>
                </c:pt>
                <c:pt idx="88">
                  <c:v>186.94778003880262</c:v>
                </c:pt>
                <c:pt idx="89">
                  <c:v>186.99330607723914</c:v>
                </c:pt>
                <c:pt idx="90">
                  <c:v>187.04106083561879</c:v>
                </c:pt>
                <c:pt idx="91">
                  <c:v>187.09086440584889</c:v>
                </c:pt>
                <c:pt idx="92">
                  <c:v>187.14254261907953</c:v>
                </c:pt>
                <c:pt idx="93">
                  <c:v>187.19592685084118</c:v>
                </c:pt>
                <c:pt idx="94">
                  <c:v>187.25085382618281</c:v>
                </c:pt>
                <c:pt idx="95">
                  <c:v>187.30716542480957</c:v>
                </c:pt>
                <c:pt idx="96">
                  <c:v>187.36470848622054</c:v>
                </c:pt>
                <c:pt idx="97">
                  <c:v>187.42334812544817</c:v>
                </c:pt>
                <c:pt idx="98">
                  <c:v>187.48293296541223</c:v>
                </c:pt>
                <c:pt idx="99">
                  <c:v>187.54332556688183</c:v>
                </c:pt>
                <c:pt idx="100">
                  <c:v>187.60439312681893</c:v>
                </c:pt>
                <c:pt idx="101">
                  <c:v>187.66600733825405</c:v>
                </c:pt>
                <c:pt idx="102">
                  <c:v>187.72804425016176</c:v>
                </c:pt>
                <c:pt idx="103">
                  <c:v>187.79038412733618</c:v>
                </c:pt>
                <c:pt idx="104">
                  <c:v>187.85291131026642</c:v>
                </c:pt>
                <c:pt idx="105">
                  <c:v>187.91551407501234</c:v>
                </c:pt>
                <c:pt idx="106">
                  <c:v>187.97808449307982</c:v>
                </c:pt>
                <c:pt idx="107">
                  <c:v>188.04051829129639</c:v>
                </c:pt>
                <c:pt idx="108">
                  <c:v>188.10271471168679</c:v>
                </c:pt>
                <c:pt idx="109">
                  <c:v>188.16458609710759</c:v>
                </c:pt>
                <c:pt idx="110">
                  <c:v>188.22603286373533</c:v>
                </c:pt>
                <c:pt idx="111">
                  <c:v>188.28696540621453</c:v>
                </c:pt>
                <c:pt idx="112">
                  <c:v>188.34729740206444</c:v>
                </c:pt>
                <c:pt idx="113">
                  <c:v>188.40694571096284</c:v>
                </c:pt>
                <c:pt idx="114">
                  <c:v>188.4658302740298</c:v>
                </c:pt>
                <c:pt idx="115">
                  <c:v>188.52387401311145</c:v>
                </c:pt>
                <c:pt idx="116">
                  <c:v>188.58100273006369</c:v>
                </c:pt>
                <c:pt idx="117">
                  <c:v>188.63714500603595</c:v>
                </c:pt>
                <c:pt idx="118">
                  <c:v>188.69223210075498</c:v>
                </c:pt>
                <c:pt idx="119">
                  <c:v>188.74619785180869</c:v>
                </c:pt>
                <c:pt idx="120">
                  <c:v>188.79897857392965</c:v>
                </c:pt>
              </c:numCache>
            </c:numRef>
          </c:val>
        </c:ser>
        <c:ser>
          <c:idx val="0"/>
          <c:order val="3"/>
          <c:tx>
            <c:strRef>
              <c:f>mod.simp.!$AG$1</c:f>
              <c:strCache>
                <c:ptCount val="1"/>
                <c:pt idx="0">
                  <c:v>N(Pu242)</c:v>
                </c:pt>
              </c:strCache>
            </c:strRef>
          </c:tx>
          <c:spPr>
            <a:solidFill>
              <a:schemeClr val="accent5"/>
            </a:solidFill>
          </c:spPr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mod.simp.!$AG$2:$AG$136</c:f>
              <c:numCache>
                <c:formatCode>0.00</c:formatCode>
                <c:ptCount val="135"/>
                <c:pt idx="0">
                  <c:v>82.180003066254471</c:v>
                </c:pt>
                <c:pt idx="1">
                  <c:v>82.677242875259623</c:v>
                </c:pt>
                <c:pt idx="2">
                  <c:v>83.163231226918398</c:v>
                </c:pt>
                <c:pt idx="3">
                  <c:v>83.638308826912052</c:v>
                </c:pt>
                <c:pt idx="4">
                  <c:v>84.102806575148861</c:v>
                </c:pt>
                <c:pt idx="5">
                  <c:v>84.557045849757287</c:v>
                </c:pt>
                <c:pt idx="6">
                  <c:v>85.00133879107949</c:v>
                </c:pt>
                <c:pt idx="7">
                  <c:v>85.435988585664361</c:v>
                </c:pt>
                <c:pt idx="8">
                  <c:v>85.861289750261079</c:v>
                </c:pt>
                <c:pt idx="9">
                  <c:v>86.277528415812341</c:v>
                </c:pt>
                <c:pt idx="10">
                  <c:v>86.68498261144758</c:v>
                </c:pt>
                <c:pt idx="11">
                  <c:v>87.083922548476494</c:v>
                </c:pt>
                <c:pt idx="12">
                  <c:v>87.47461090438216</c:v>
                </c:pt>
                <c:pt idx="13">
                  <c:v>87.857283817387398</c:v>
                </c:pt>
                <c:pt idx="14">
                  <c:v>88.232200523028396</c:v>
                </c:pt>
                <c:pt idx="15">
                  <c:v>88.599599926712358</c:v>
                </c:pt>
                <c:pt idx="16">
                  <c:v>88.959713884116141</c:v>
                </c:pt>
                <c:pt idx="17">
                  <c:v>89.312767406853922</c:v>
                </c:pt>
                <c:pt idx="18">
                  <c:v>89.658978868145098</c:v>
                </c:pt>
                <c:pt idx="19">
                  <c:v>89.998560208481692</c:v>
                </c:pt>
                <c:pt idx="20">
                  <c:v>90.331717141296352</c:v>
                </c:pt>
                <c:pt idx="21">
                  <c:v>90.658649358629717</c:v>
                </c:pt>
                <c:pt idx="22">
                  <c:v>90.979550736798416</c:v>
                </c:pt>
                <c:pt idx="23">
                  <c:v>91.29460954206256</c:v>
                </c:pt>
                <c:pt idx="24">
                  <c:v>91.604008636293543</c:v>
                </c:pt>
                <c:pt idx="25">
                  <c:v>91.907911723565761</c:v>
                </c:pt>
                <c:pt idx="26">
                  <c:v>92.206499269561206</c:v>
                </c:pt>
                <c:pt idx="27">
                  <c:v>92.499937076370131</c:v>
                </c:pt>
                <c:pt idx="28">
                  <c:v>92.788385892495796</c:v>
                </c:pt>
                <c:pt idx="29">
                  <c:v>93.072001561819349</c:v>
                </c:pt>
                <c:pt idx="30">
                  <c:v>93.350935172564817</c:v>
                </c:pt>
                <c:pt idx="31">
                  <c:v>93.625333206263846</c:v>
                </c:pt>
                <c:pt idx="32">
                  <c:v>93.895337686720723</c:v>
                </c:pt>
                <c:pt idx="33">
                  <c:v>94.161086328977177</c:v>
                </c:pt>
                <c:pt idx="34">
                  <c:v>94.422712688277301</c:v>
                </c:pt>
                <c:pt idx="35">
                  <c:v>94.680346309032402</c:v>
                </c:pt>
                <c:pt idx="36">
                  <c:v>94.934112873785978</c:v>
                </c:pt>
                <c:pt idx="37">
                  <c:v>95.184124241717129</c:v>
                </c:pt>
                <c:pt idx="38">
                  <c:v>95.430504464099215</c:v>
                </c:pt>
                <c:pt idx="39">
                  <c:v>95.673367024385755</c:v>
                </c:pt>
                <c:pt idx="40">
                  <c:v>95.912821798157012</c:v>
                </c:pt>
                <c:pt idx="41">
                  <c:v>96.148975160999626</c:v>
                </c:pt>
                <c:pt idx="42">
                  <c:v>96.381930096386668</c:v>
                </c:pt>
                <c:pt idx="43">
                  <c:v>96.611786303557537</c:v>
                </c:pt>
                <c:pt idx="44">
                  <c:v>96.838640305397945</c:v>
                </c:pt>
                <c:pt idx="45">
                  <c:v>97.062585556319775</c:v>
                </c:pt>
                <c:pt idx="46">
                  <c:v>97.283712550141033</c:v>
                </c:pt>
                <c:pt idx="47">
                  <c:v>97.502108927965736</c:v>
                </c:pt>
                <c:pt idx="48">
                  <c:v>97.717859586064037</c:v>
                </c:pt>
                <c:pt idx="49">
                  <c:v>97.931039454464454</c:v>
                </c:pt>
                <c:pt idx="50">
                  <c:v>98.141732355491442</c:v>
                </c:pt>
                <c:pt idx="51">
                  <c:v>98.35001450532674</c:v>
                </c:pt>
                <c:pt idx="52">
                  <c:v>98.5559595589461</c:v>
                </c:pt>
                <c:pt idx="53">
                  <c:v>98.759638688205001</c:v>
                </c:pt>
                <c:pt idx="54">
                  <c:v>98.961120659924319</c:v>
                </c:pt>
                <c:pt idx="55">
                  <c:v>99.160471913975755</c:v>
                </c:pt>
                <c:pt idx="56">
                  <c:v>99.357756641367601</c:v>
                </c:pt>
                <c:pt idx="57">
                  <c:v>99.553036862330373</c:v>
                </c:pt>
                <c:pt idx="58">
                  <c:v>99.746372504402274</c:v>
                </c:pt>
                <c:pt idx="59">
                  <c:v>99.93782148051497</c:v>
                </c:pt>
                <c:pt idx="60">
                  <c:v>100.12743976707903</c:v>
                </c:pt>
                <c:pt idx="61">
                  <c:v>100.31527616445777</c:v>
                </c:pt>
                <c:pt idx="62">
                  <c:v>100.50138597885133</c:v>
                </c:pt>
                <c:pt idx="63">
                  <c:v>100.68581905257214</c:v>
                </c:pt>
                <c:pt idx="64">
                  <c:v>100.86862342385641</c:v>
                </c:pt>
                <c:pt idx="65">
                  <c:v>101.04984538332575</c:v>
                </c:pt>
                <c:pt idx="66">
                  <c:v>101.22952953044863</c:v>
                </c:pt>
                <c:pt idx="67">
                  <c:v>101.40771883000205</c:v>
                </c:pt>
                <c:pt idx="68">
                  <c:v>101.58445466853296</c:v>
                </c:pt>
                <c:pt idx="69">
                  <c:v>101.75977691081982</c:v>
                </c:pt>
                <c:pt idx="70">
                  <c:v>101.93372395633429</c:v>
                </c:pt>
                <c:pt idx="71">
                  <c:v>102.1063327957026</c:v>
                </c:pt>
                <c:pt idx="72">
                  <c:v>102.27763906716712</c:v>
                </c:pt>
                <c:pt idx="73">
                  <c:v>102.44767325197908</c:v>
                </c:pt>
                <c:pt idx="74">
                  <c:v>102.61647060822565</c:v>
                </c:pt>
                <c:pt idx="75">
                  <c:v>102.78406247985058</c:v>
                </c:pt>
                <c:pt idx="76">
                  <c:v>102.95047895360932</c:v>
                </c:pt>
                <c:pt idx="77">
                  <c:v>103.11574889982492</c:v>
                </c:pt>
                <c:pt idx="78">
                  <c:v>103.27990001314373</c:v>
                </c:pt>
                <c:pt idx="79">
                  <c:v>103.44295885329134</c:v>
                </c:pt>
                <c:pt idx="80">
                  <c:v>103.60495088582823</c:v>
                </c:pt>
                <c:pt idx="81">
                  <c:v>103.7659005229058</c:v>
                </c:pt>
                <c:pt idx="82">
                  <c:v>103.92583116402199</c:v>
                </c:pt>
                <c:pt idx="83">
                  <c:v>104.08476523677717</c:v>
                </c:pt>
                <c:pt idx="84">
                  <c:v>104.24272423763007</c:v>
                </c:pt>
                <c:pt idx="85">
                  <c:v>104.39972596731103</c:v>
                </c:pt>
                <c:pt idx="86">
                  <c:v>104.55579174805715</c:v>
                </c:pt>
                <c:pt idx="87">
                  <c:v>104.71094010894075</c:v>
                </c:pt>
                <c:pt idx="88">
                  <c:v>104.86518871597251</c:v>
                </c:pt>
                <c:pt idx="89">
                  <c:v>105.01855440144328</c:v>
                </c:pt>
                <c:pt idx="90">
                  <c:v>105.17105319326609</c:v>
                </c:pt>
                <c:pt idx="91">
                  <c:v>105.32270034431792</c:v>
                </c:pt>
                <c:pt idx="92">
                  <c:v>105.47351036178152</c:v>
                </c:pt>
                <c:pt idx="93">
                  <c:v>105.62349703648736</c:v>
                </c:pt>
                <c:pt idx="94">
                  <c:v>105.77267347225545</c:v>
                </c:pt>
                <c:pt idx="95">
                  <c:v>105.92105211523725</c:v>
                </c:pt>
                <c:pt idx="96">
                  <c:v>106.0686447832575</c:v>
                </c:pt>
                <c:pt idx="97">
                  <c:v>106.21546065587813</c:v>
                </c:pt>
                <c:pt idx="98">
                  <c:v>106.36151152045271</c:v>
                </c:pt>
                <c:pt idx="99">
                  <c:v>106.5068071816392</c:v>
                </c:pt>
                <c:pt idx="100">
                  <c:v>106.65135686411303</c:v>
                </c:pt>
                <c:pt idx="101">
                  <c:v>106.79516923361048</c:v>
                </c:pt>
                <c:pt idx="102">
                  <c:v>106.93825241797273</c:v>
                </c:pt>
                <c:pt idx="103">
                  <c:v>107.0806140281893</c:v>
                </c:pt>
                <c:pt idx="104">
                  <c:v>107.22226117944183</c:v>
                </c:pt>
                <c:pt idx="105">
                  <c:v>107.36320051214781</c:v>
                </c:pt>
                <c:pt idx="106">
                  <c:v>107.5034382130043</c:v>
                </c:pt>
                <c:pt idx="107">
                  <c:v>107.64298003603153</c:v>
                </c:pt>
                <c:pt idx="108">
                  <c:v>107.78183132361671</c:v>
                </c:pt>
                <c:pt idx="109">
                  <c:v>107.91999554480043</c:v>
                </c:pt>
                <c:pt idx="110">
                  <c:v>108.05747810937964</c:v>
                </c:pt>
                <c:pt idx="111">
                  <c:v>108.19428302989375</c:v>
                </c:pt>
                <c:pt idx="112">
                  <c:v>108.33041394123731</c:v>
                </c:pt>
                <c:pt idx="113">
                  <c:v>108.46587411567016</c:v>
                </c:pt>
                <c:pt idx="114">
                  <c:v>108.60066647782774</c:v>
                </c:pt>
                <c:pt idx="115">
                  <c:v>108.73479361973122</c:v>
                </c:pt>
                <c:pt idx="116">
                  <c:v>108.86825781579776</c:v>
                </c:pt>
                <c:pt idx="117">
                  <c:v>109.00106103785075</c:v>
                </c:pt>
                <c:pt idx="118">
                  <c:v>109.13320497012988</c:v>
                </c:pt>
                <c:pt idx="119">
                  <c:v>109.2646910243016</c:v>
                </c:pt>
                <c:pt idx="120">
                  <c:v>109.39552035446908</c:v>
                </c:pt>
              </c:numCache>
            </c:numRef>
          </c:val>
        </c:ser>
        <c:ser>
          <c:idx val="5"/>
          <c:order val="4"/>
          <c:tx>
            <c:strRef>
              <c:f>mod.simp.!$AH$1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mod.simp.!$U$2:$U$136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mod.simp.!$AH$2:$AH$136</c:f>
              <c:numCache>
                <c:formatCode>0.00</c:formatCode>
                <c:ptCount val="135"/>
                <c:pt idx="0">
                  <c:v>52.114148285917473</c:v>
                </c:pt>
                <c:pt idx="1">
                  <c:v>52.221948130898213</c:v>
                </c:pt>
                <c:pt idx="2">
                  <c:v>52.318822215222603</c:v>
                </c:pt>
                <c:pt idx="3">
                  <c:v>52.405270453893458</c:v>
                </c:pt>
                <c:pt idx="4">
                  <c:v>52.481775026391347</c:v>
                </c:pt>
                <c:pt idx="5">
                  <c:v>52.548800975861084</c:v>
                </c:pt>
                <c:pt idx="6">
                  <c:v>52.606796808298085</c:v>
                </c:pt>
                <c:pt idx="7">
                  <c:v>52.656195091734823</c:v>
                </c:pt>
                <c:pt idx="8">
                  <c:v>52.697413055427276</c:v>
                </c:pt>
                <c:pt idx="9">
                  <c:v>52.730853189041355</c:v>
                </c:pt>
                <c:pt idx="10">
                  <c:v>52.756903841839261</c:v>
                </c:pt>
                <c:pt idx="11">
                  <c:v>52.775939821865997</c:v>
                </c:pt>
                <c:pt idx="12">
                  <c:v>52.788322995135772</c:v>
                </c:pt>
                <c:pt idx="13">
                  <c:v>52.794358010294928</c:v>
                </c:pt>
                <c:pt idx="14">
                  <c:v>52.794407787238079</c:v>
                </c:pt>
                <c:pt idx="15">
                  <c:v>52.788792306078044</c:v>
                </c:pt>
                <c:pt idx="16">
                  <c:v>52.777819495412139</c:v>
                </c:pt>
                <c:pt idx="17">
                  <c:v>52.761785651007649</c:v>
                </c:pt>
                <c:pt idx="18">
                  <c:v>52.74097585448726</c:v>
                </c:pt>
                <c:pt idx="19">
                  <c:v>52.71566439201446</c:v>
                </c:pt>
                <c:pt idx="20">
                  <c:v>52.686115172979051</c:v>
                </c:pt>
                <c:pt idx="21">
                  <c:v>52.652582148682512</c:v>
                </c:pt>
                <c:pt idx="22">
                  <c:v>52.615309731023459</c:v>
                </c:pt>
                <c:pt idx="23">
                  <c:v>52.574533211183137</c:v>
                </c:pt>
                <c:pt idx="24">
                  <c:v>52.530479178310763</c:v>
                </c:pt>
                <c:pt idx="25">
                  <c:v>52.483334183176687</c:v>
                </c:pt>
                <c:pt idx="26">
                  <c:v>52.433326463111513</c:v>
                </c:pt>
                <c:pt idx="27">
                  <c:v>52.380654306458439</c:v>
                </c:pt>
                <c:pt idx="28">
                  <c:v>52.32550790918674</c:v>
                </c:pt>
                <c:pt idx="29">
                  <c:v>52.268069665978572</c:v>
                </c:pt>
                <c:pt idx="30">
                  <c:v>52.208514461315673</c:v>
                </c:pt>
                <c:pt idx="31">
                  <c:v>52.147009960566209</c:v>
                </c:pt>
                <c:pt idx="32">
                  <c:v>52.083716901071476</c:v>
                </c:pt>
                <c:pt idx="33">
                  <c:v>52.018789383232686</c:v>
                </c:pt>
                <c:pt idx="34">
                  <c:v>51.952375161597764</c:v>
                </c:pt>
                <c:pt idx="35">
                  <c:v>51.884615935948069</c:v>
                </c:pt>
                <c:pt idx="36">
                  <c:v>51.815647642385194</c:v>
                </c:pt>
                <c:pt idx="37">
                  <c:v>51.745578328461491</c:v>
                </c:pt>
                <c:pt idx="38">
                  <c:v>51.674545843484481</c:v>
                </c:pt>
                <c:pt idx="39">
                  <c:v>51.602667258569383</c:v>
                </c:pt>
                <c:pt idx="40">
                  <c:v>51.530054294317601</c:v>
                </c:pt>
                <c:pt idx="41">
                  <c:v>51.456813521942095</c:v>
                </c:pt>
                <c:pt idx="42">
                  <c:v>51.383046564392643</c:v>
                </c:pt>
                <c:pt idx="43">
                  <c:v>51.308850297481278</c:v>
                </c:pt>
                <c:pt idx="44">
                  <c:v>51.234317051007601</c:v>
                </c:pt>
                <c:pt idx="45">
                  <c:v>51.159534809884136</c:v>
                </c:pt>
                <c:pt idx="46">
                  <c:v>51.084587415261659</c:v>
                </c:pt>
                <c:pt idx="47">
                  <c:v>51.009554765654578</c:v>
                </c:pt>
                <c:pt idx="48">
                  <c:v>50.934513018066234</c:v>
                </c:pt>
                <c:pt idx="49">
                  <c:v>50.859519012254523</c:v>
                </c:pt>
                <c:pt idx="50">
                  <c:v>50.784650874904976</c:v>
                </c:pt>
                <c:pt idx="51">
                  <c:v>50.709972409987756</c:v>
                </c:pt>
                <c:pt idx="52">
                  <c:v>50.63554395632692</c:v>
                </c:pt>
                <c:pt idx="53">
                  <c:v>50.5614225255026</c:v>
                </c:pt>
                <c:pt idx="54">
                  <c:v>50.487661939753124</c:v>
                </c:pt>
                <c:pt idx="55">
                  <c:v>50.414312969877322</c:v>
                </c:pt>
                <c:pt idx="56">
                  <c:v>50.341423473136601</c:v>
                </c:pt>
                <c:pt idx="57">
                  <c:v>50.269038531157207</c:v>
                </c:pt>
                <c:pt idx="58">
                  <c:v>50.19720058783242</c:v>
                </c:pt>
                <c:pt idx="59">
                  <c:v>50.125949587224696</c:v>
                </c:pt>
                <c:pt idx="60">
                  <c:v>50.055323111467885</c:v>
                </c:pt>
                <c:pt idx="61">
                  <c:v>49.985345453987108</c:v>
                </c:pt>
                <c:pt idx="62">
                  <c:v>49.91605609654512</c:v>
                </c:pt>
                <c:pt idx="63">
                  <c:v>49.847484726634896</c:v>
                </c:pt>
                <c:pt idx="64">
                  <c:v>49.779658851511279</c:v>
                </c:pt>
                <c:pt idx="65">
                  <c:v>49.712603891832714</c:v>
                </c:pt>
                <c:pt idx="66">
                  <c:v>49.646343275303032</c:v>
                </c:pt>
                <c:pt idx="67">
                  <c:v>49.580898530313114</c:v>
                </c:pt>
                <c:pt idx="68">
                  <c:v>49.516289379582737</c:v>
                </c:pt>
                <c:pt idx="69">
                  <c:v>49.452533833802249</c:v>
                </c:pt>
                <c:pt idx="70">
                  <c:v>49.38964828527439</c:v>
                </c:pt>
                <c:pt idx="71">
                  <c:v>49.327647601555952</c:v>
                </c:pt>
                <c:pt idx="72">
                  <c:v>49.266545219099633</c:v>
                </c:pt>
                <c:pt idx="73">
                  <c:v>49.206345510385297</c:v>
                </c:pt>
                <c:pt idx="74">
                  <c:v>49.14706366990228</c:v>
                </c:pt>
                <c:pt idx="75">
                  <c:v>49.088708261302571</c:v>
                </c:pt>
                <c:pt idx="76">
                  <c:v>49.031286533790251</c:v>
                </c:pt>
                <c:pt idx="77">
                  <c:v>48.974804484923538</c:v>
                </c:pt>
                <c:pt idx="78">
                  <c:v>48.919266923416728</c:v>
                </c:pt>
                <c:pt idx="79">
                  <c:v>48.864677531942256</c:v>
                </c:pt>
                <c:pt idx="80">
                  <c:v>48.8110389299327</c:v>
                </c:pt>
                <c:pt idx="81">
                  <c:v>48.75835273638274</c:v>
                </c:pt>
                <c:pt idx="82">
                  <c:v>48.706619632651247</c:v>
                </c:pt>
                <c:pt idx="83">
                  <c:v>48.655839425263217</c:v>
                </c:pt>
                <c:pt idx="84">
                  <c:v>48.606011108711805</c:v>
                </c:pt>
                <c:pt idx="85">
                  <c:v>48.557127561188764</c:v>
                </c:pt>
                <c:pt idx="86">
                  <c:v>48.509189358317997</c:v>
                </c:pt>
                <c:pt idx="87">
                  <c:v>48.462192643585922</c:v>
                </c:pt>
                <c:pt idx="88">
                  <c:v>48.416132820847409</c:v>
                </c:pt>
                <c:pt idx="89">
                  <c:v>48.371004595762926</c:v>
                </c:pt>
                <c:pt idx="90">
                  <c:v>48.326802017235941</c:v>
                </c:pt>
                <c:pt idx="91">
                  <c:v>48.283518518850215</c:v>
                </c:pt>
                <c:pt idx="92">
                  <c:v>48.241146960307098</c:v>
                </c:pt>
                <c:pt idx="93">
                  <c:v>48.199679668862821</c:v>
                </c:pt>
                <c:pt idx="94">
                  <c:v>48.159108480765823</c:v>
                </c:pt>
                <c:pt idx="95">
                  <c:v>48.11942478269404</c:v>
                </c:pt>
                <c:pt idx="96">
                  <c:v>48.080619553192207</c:v>
                </c:pt>
                <c:pt idx="97">
                  <c:v>48.042679700161102</c:v>
                </c:pt>
                <c:pt idx="98">
                  <c:v>48.005597594345694</c:v>
                </c:pt>
                <c:pt idx="99">
                  <c:v>47.969362693056702</c:v>
                </c:pt>
                <c:pt idx="100">
                  <c:v>47.933964088116397</c:v>
                </c:pt>
                <c:pt idx="101">
                  <c:v>47.899390532600897</c:v>
                </c:pt>
                <c:pt idx="102">
                  <c:v>47.865630467582356</c:v>
                </c:pt>
                <c:pt idx="103">
                  <c:v>47.83267204887126</c:v>
                </c:pt>
                <c:pt idx="104">
                  <c:v>47.800503173758607</c:v>
                </c:pt>
                <c:pt idx="105">
                  <c:v>47.769111507758211</c:v>
                </c:pt>
                <c:pt idx="106">
                  <c:v>47.738484511348823</c:v>
                </c:pt>
                <c:pt idx="107">
                  <c:v>47.708609466716567</c:v>
                </c:pt>
                <c:pt idx="108">
                  <c:v>47.679473504496961</c:v>
                </c:pt>
                <c:pt idx="109">
                  <c:v>47.651061095027373</c:v>
                </c:pt>
                <c:pt idx="110">
                  <c:v>47.623360574639683</c:v>
                </c:pt>
                <c:pt idx="111">
                  <c:v>47.596358407184816</c:v>
                </c:pt>
                <c:pt idx="112">
                  <c:v>47.570040927916658</c:v>
                </c:pt>
                <c:pt idx="113">
                  <c:v>47.544394360217311</c:v>
                </c:pt>
                <c:pt idx="114">
                  <c:v>47.519404832322522</c:v>
                </c:pt>
                <c:pt idx="115">
                  <c:v>47.495058394046829</c:v>
                </c:pt>
                <c:pt idx="116">
                  <c:v>47.471341033508935</c:v>
                </c:pt>
                <c:pt idx="117">
                  <c:v>47.448238693857036</c:v>
                </c:pt>
                <c:pt idx="118">
                  <c:v>47.425737289994032</c:v>
                </c:pt>
                <c:pt idx="119">
                  <c:v>47.403822725302895</c:v>
                </c:pt>
                <c:pt idx="120">
                  <c:v>47.38248090837191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260352"/>
        <c:axId val="62261888"/>
      </c:areaChart>
      <c:catAx>
        <c:axId val="62260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t (années)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#,##0.00" sourceLinked="0"/>
        <c:majorTickMark val="out"/>
        <c:minorTickMark val="none"/>
        <c:tickLblPos val="nextTo"/>
        <c:crossAx val="62261888"/>
        <c:crosses val="autoZero"/>
        <c:auto val="1"/>
        <c:lblAlgn val="ctr"/>
        <c:lblOffset val="100"/>
        <c:noMultiLvlLbl val="0"/>
      </c:catAx>
      <c:valAx>
        <c:axId val="62261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 b="1" i="0" baseline="0">
                    <a:effectLst/>
                  </a:rPr>
                  <a:t>E %wt</a:t>
                </a:r>
                <a:endParaRPr lang="fr-FR" sz="1400">
                  <a:effectLst/>
                </a:endParaRPr>
              </a:p>
            </c:rich>
          </c:tx>
          <c:layout/>
          <c:overlay val="0"/>
        </c:title>
        <c:numFmt formatCode="0%" sourceLinked="1"/>
        <c:majorTickMark val="out"/>
        <c:minorTickMark val="none"/>
        <c:tickLblPos val="nextTo"/>
        <c:crossAx val="622603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3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806823</xdr:colOff>
      <xdr:row>6</xdr:row>
      <xdr:rowOff>60032</xdr:rowOff>
    </xdr:from>
    <xdr:to>
      <xdr:col>42</xdr:col>
      <xdr:colOff>112058</xdr:colOff>
      <xdr:row>27</xdr:row>
      <xdr:rowOff>123264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omade/Documents/projects/physor-smr-fbo/Philippe/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3" refreshError="1"/>
      <sheetData sheetId="4" refreshError="1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zoomScale="70" zoomScaleNormal="70" workbookViewId="0">
      <selection activeCell="D38" sqref="D38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17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18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18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18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18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18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18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18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18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18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18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18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19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16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16"/>
      <c r="B24" s="45" t="s">
        <v>58</v>
      </c>
      <c r="C24" s="76">
        <v>75</v>
      </c>
      <c r="I24" s="7"/>
    </row>
    <row r="25" spans="1:16" ht="15.75" customHeight="1" thickBot="1">
      <c r="A25" s="116"/>
      <c r="B25" s="45" t="s">
        <v>71</v>
      </c>
      <c r="C25" s="46">
        <f>C24/100*C23</f>
        <v>2250</v>
      </c>
      <c r="E25" s="9" t="s">
        <v>57</v>
      </c>
      <c r="G25" s="113" t="s">
        <v>141</v>
      </c>
      <c r="H25" s="114"/>
      <c r="I25" s="114"/>
      <c r="J25" s="115" t="s">
        <v>144</v>
      </c>
      <c r="K25" s="115"/>
    </row>
    <row r="26" spans="1:16" ht="15.75" thickBot="1">
      <c r="A26" s="116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16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16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16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16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16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16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16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16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zoomScale="70" zoomScaleNormal="70" workbookViewId="0">
      <selection activeCell="B34" sqref="B34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L146"/>
  <sheetViews>
    <sheetView tabSelected="1" topLeftCell="N10" zoomScale="90" zoomScaleNormal="90" workbookViewId="0">
      <selection activeCell="F11" sqref="F11:K18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8" style="19" bestFit="1" customWidth="1"/>
    <col min="7" max="8" width="9.375" style="110" customWidth="1"/>
    <col min="9" max="9" width="9.125" style="110" bestFit="1" customWidth="1"/>
    <col min="10" max="10" width="8.125" style="110" bestFit="1" customWidth="1"/>
    <col min="11" max="11" width="8.5" style="110" customWidth="1"/>
    <col min="12" max="12" width="8.125" style="110" bestFit="1" customWidth="1"/>
    <col min="13" max="13" width="12.25" style="110" bestFit="1" customWidth="1"/>
    <col min="14" max="16" width="12.25" style="110" customWidth="1"/>
    <col min="17" max="17" width="13.375" style="110" bestFit="1" customWidth="1"/>
    <col min="18" max="18" width="7.5" style="110" customWidth="1"/>
    <col min="19" max="19" width="6.375" style="19" customWidth="1"/>
    <col min="20" max="20" width="4.375" style="2" bestFit="1" customWidth="1"/>
    <col min="21" max="21" width="5.25" style="2" customWidth="1"/>
    <col min="22" max="22" width="11.375" style="2" bestFit="1" customWidth="1"/>
    <col min="23" max="26" width="7.75" style="124" bestFit="1" customWidth="1"/>
    <col min="27" max="27" width="10.5" style="124" bestFit="1" customWidth="1"/>
    <col min="28" max="28" width="7.75" style="124" customWidth="1"/>
    <col min="29" max="31" width="10.875" style="1" bestFit="1" customWidth="1"/>
    <col min="32" max="32" width="10.5" style="1" bestFit="1" customWidth="1"/>
    <col min="33" max="34" width="10.875" style="1" bestFit="1" customWidth="1"/>
    <col min="35" max="36" width="9.625" style="2" bestFit="1" customWidth="1"/>
    <col min="37" max="16384" width="15.5" style="2"/>
  </cols>
  <sheetData>
    <row r="1" spans="1:38" s="31" customFormat="1" ht="15.75" thickBot="1">
      <c r="A1" s="109" t="s">
        <v>149</v>
      </c>
      <c r="B1" s="5" t="s">
        <v>81</v>
      </c>
      <c r="C1" s="2"/>
      <c r="D1" s="29"/>
      <c r="E1" s="109" t="s">
        <v>148</v>
      </c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08"/>
      <c r="R1" s="110"/>
      <c r="S1" s="108"/>
      <c r="T1" s="105" t="s">
        <v>23</v>
      </c>
      <c r="U1" s="30" t="s">
        <v>24</v>
      </c>
      <c r="V1" s="34" t="s">
        <v>25</v>
      </c>
      <c r="W1" s="122">
        <v>1</v>
      </c>
      <c r="X1" s="122">
        <v>2</v>
      </c>
      <c r="Y1" s="122">
        <v>3</v>
      </c>
      <c r="Z1" s="122">
        <v>4</v>
      </c>
      <c r="AA1" s="122">
        <v>5</v>
      </c>
      <c r="AB1" s="122"/>
      <c r="AC1" s="32" t="s">
        <v>26</v>
      </c>
      <c r="AD1" s="32" t="s">
        <v>28</v>
      </c>
      <c r="AE1" s="36" t="s">
        <v>29</v>
      </c>
      <c r="AF1" s="32" t="s">
        <v>31</v>
      </c>
      <c r="AG1" s="32" t="s">
        <v>33</v>
      </c>
      <c r="AH1" s="32" t="s">
        <v>78</v>
      </c>
      <c r="AI1" s="32" t="s">
        <v>79</v>
      </c>
      <c r="AJ1" s="32" t="s">
        <v>80</v>
      </c>
    </row>
    <row r="2" spans="1:38" ht="15.75" thickBot="1">
      <c r="A2" s="101" t="s">
        <v>7</v>
      </c>
      <c r="B2" s="73">
        <f>Données!D10</f>
        <v>19.041708027546772</v>
      </c>
      <c r="D2" s="16"/>
      <c r="F2" s="111">
        <f>-(Données!I$44*1E-24*B$12+Données!F$44)</f>
        <v>-5.7434633429516339E-9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21"/>
      <c r="O2" s="121"/>
      <c r="P2" s="121"/>
      <c r="T2" s="106">
        <v>0</v>
      </c>
      <c r="U2" s="26">
        <f t="shared" ref="U2:U65" si="0">V2/(3600*365*24)</f>
        <v>0</v>
      </c>
      <c r="V2" s="17">
        <f t="shared" ref="V2:V65" si="1">T2*D$5</f>
        <v>0</v>
      </c>
      <c r="W2" s="123">
        <f>POWER($V2-$V$2,W$1)/FACT(W$1)</f>
        <v>0</v>
      </c>
      <c r="X2" s="123">
        <f t="shared" ref="X2:AA17" si="2">POWER($V2-$V$2,X$1)/FACT(X$1)</f>
        <v>0</v>
      </c>
      <c r="Y2" s="123">
        <f t="shared" si="2"/>
        <v>0</v>
      </c>
      <c r="Z2" s="123">
        <f t="shared" si="2"/>
        <v>0</v>
      </c>
      <c r="AA2" s="123">
        <f t="shared" si="2"/>
        <v>0</v>
      </c>
      <c r="AB2" s="123"/>
      <c r="AC2" s="42">
        <f t="array" ref="AC2:AJ2">TRANSPOSE(B2:B9)</f>
        <v>19.041708027546772</v>
      </c>
      <c r="AD2" s="42">
        <v>3461.5820803761339</v>
      </c>
      <c r="AE2" s="42">
        <v>1154.5288235649409</v>
      </c>
      <c r="AF2" s="42">
        <v>241.52903340204062</v>
      </c>
      <c r="AG2" s="42">
        <v>82.180003066254471</v>
      </c>
      <c r="AH2" s="42">
        <v>52.114148285917473</v>
      </c>
      <c r="AI2" s="42">
        <v>138.97314965789133</v>
      </c>
      <c r="AJ2" s="42">
        <v>26586.632553782751</v>
      </c>
    </row>
    <row r="3" spans="1:38" ht="15.75" thickBot="1">
      <c r="A3" s="101" t="s">
        <v>9</v>
      </c>
      <c r="B3" s="73">
        <f>Données!D11</f>
        <v>3461.5820803761339</v>
      </c>
      <c r="F3" s="111">
        <f>Données!H$44*1E-24*B$12</f>
        <v>1.5619926534195389E-9</v>
      </c>
      <c r="G3" s="111">
        <f>-(Données!I$45*1E-24*B$12+Données!F$45)</f>
        <v>-6.9349911725794344E-9</v>
      </c>
      <c r="H3" s="112">
        <v>0</v>
      </c>
      <c r="I3" s="112">
        <v>0</v>
      </c>
      <c r="J3" s="112">
        <v>0</v>
      </c>
      <c r="K3" s="112">
        <v>0</v>
      </c>
      <c r="L3" s="112">
        <v>0</v>
      </c>
      <c r="M3" s="111">
        <f>(Données!H$51*1E-24*B$12)</f>
        <v>8.2599399375528609E-10</v>
      </c>
      <c r="T3" s="107">
        <v>1</v>
      </c>
      <c r="U3" s="27">
        <f t="shared" si="0"/>
        <v>8.3333333333333329E-2</v>
      </c>
      <c r="V3" s="18">
        <f t="shared" si="1"/>
        <v>2628000</v>
      </c>
      <c r="W3" s="123">
        <f>POWER($V3-$V2,W$1)/FACT(W$1)</f>
        <v>2628000</v>
      </c>
      <c r="X3" s="123">
        <f>POWER($V3-$V2,X$1)/FACT(X$1)</f>
        <v>3453192000000</v>
      </c>
      <c r="Y3" s="123">
        <f>POWER($V3-$V2,Y$1)/FACT(Y$1)</f>
        <v>3.024996192E+18</v>
      </c>
      <c r="Z3" s="123">
        <f>POWER($V3-$V2,Z$1)/FACT(Z$1)</f>
        <v>1.9874224981439998E+24</v>
      </c>
      <c r="AA3" s="123">
        <f>POWER($V3-$V2,AA$1)/FACT(AA$1)</f>
        <v>1.0445892650244864E+30</v>
      </c>
      <c r="AB3" s="123"/>
      <c r="AC3" s="125">
        <f t="array" ref="AC3:AJ3">AC2:AJ2+TRANSPOSE(F$12:F$19)*W3+TRANSPOSE(F$22:F$29)*X3+TRANSPOSE(F$32:F$39)*Y3+TRANSPOSE(F$42:F$49)*Z3+TRANSPOSE(F$52:F$59)*AA3</f>
        <v>18.75645408406017</v>
      </c>
      <c r="AD3" s="42">
        <v>3456.2578200885641</v>
      </c>
      <c r="AE3" s="42">
        <v>1159.3325357284086</v>
      </c>
      <c r="AF3" s="42">
        <v>239.19737987227384</v>
      </c>
      <c r="AG3" s="42">
        <v>82.677242875259623</v>
      </c>
      <c r="AH3" s="42">
        <v>52.221948130898213</v>
      </c>
      <c r="AI3" s="42">
        <v>136.31852279464772</v>
      </c>
      <c r="AJ3" s="42">
        <v>26518.179844802413</v>
      </c>
    </row>
    <row r="4" spans="1:38" ht="15.75" thickBot="1">
      <c r="A4" s="101" t="s">
        <v>10</v>
      </c>
      <c r="B4" s="73">
        <f>Données!D12</f>
        <v>1154.5288235649409</v>
      </c>
      <c r="D4" s="3" t="s">
        <v>39</v>
      </c>
      <c r="E4" s="109"/>
      <c r="F4" s="112">
        <v>0</v>
      </c>
      <c r="G4" s="111">
        <f>Données!H$45*1E-24*B$12</f>
        <v>1.4380810506627284E-9</v>
      </c>
      <c r="H4" s="111">
        <f>-(Données!I$46*1E-24*B$12+Données!F$46)</f>
        <v>-2.71952737369777E-9</v>
      </c>
      <c r="I4" s="112">
        <v>0</v>
      </c>
      <c r="J4" s="112">
        <v>0</v>
      </c>
      <c r="K4" s="112">
        <v>0</v>
      </c>
      <c r="L4" s="112">
        <v>0</v>
      </c>
      <c r="M4" s="112">
        <v>0</v>
      </c>
      <c r="N4" s="121"/>
      <c r="O4" s="121"/>
      <c r="P4" s="121"/>
      <c r="S4" s="109"/>
      <c r="T4" s="107">
        <v>2</v>
      </c>
      <c r="U4" s="27">
        <f t="shared" si="0"/>
        <v>0.16666666666666666</v>
      </c>
      <c r="V4" s="18">
        <f t="shared" si="1"/>
        <v>5256000</v>
      </c>
      <c r="W4" s="123">
        <f>POWER($V4-$V2,W$1)/FACT(W$1)</f>
        <v>5256000</v>
      </c>
      <c r="X4" s="123">
        <f>POWER($V4-$V2,X$1)/FACT(X$1)</f>
        <v>13812768000000</v>
      </c>
      <c r="Y4" s="123">
        <f>POWER($V4-$V2,Y$1)/FACT(Y$1)</f>
        <v>2.4199969536E+19</v>
      </c>
      <c r="Z4" s="123">
        <f>POWER($V4-$V2,Z$1)/FACT(Z$1)</f>
        <v>3.1798759970303997E+25</v>
      </c>
      <c r="AA4" s="123">
        <f>POWER($V4-$V2,AA$1)/FACT(AA$1)</f>
        <v>3.3426856480783565E+31</v>
      </c>
      <c r="AB4" s="123"/>
      <c r="AC4" s="125">
        <f t="array" ref="AC4:AJ4">AC2:AJ2+TRANSPOSE(F$12:F$19)*W4+TRANSPOSE(F$22:F$29)*X4+TRANSPOSE(F$32:F$39)*Y4+TRANSPOSE(F$42:F$49)*Z4+TRANSPOSE(F$52:F$59)*AA4</f>
        <v>18.475473381807451</v>
      </c>
      <c r="AD4" s="42">
        <v>3450.8815097280003</v>
      </c>
      <c r="AE4" s="42">
        <v>1164.0818898803097</v>
      </c>
      <c r="AF4" s="42">
        <v>236.94721362277392</v>
      </c>
      <c r="AG4" s="42">
        <v>83.163231226918398</v>
      </c>
      <c r="AH4" s="42">
        <v>52.318822215222603</v>
      </c>
      <c r="AI4" s="42">
        <v>133.71474795809846</v>
      </c>
      <c r="AJ4" s="42">
        <v>26449.903381393447</v>
      </c>
    </row>
    <row r="5" spans="1:38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2">
        <v>0</v>
      </c>
      <c r="G5" s="112">
        <v>0</v>
      </c>
      <c r="H5" s="111">
        <f>Données!H$46*1E-24*B$12</f>
        <v>1.427077800367472E-9</v>
      </c>
      <c r="I5" s="111">
        <f>-(Données!I$47*1E-24*B$12+Données!F$47)</f>
        <v>-1.0560453001086941E-8</v>
      </c>
      <c r="J5" s="112">
        <v>0</v>
      </c>
      <c r="K5" s="112">
        <v>0</v>
      </c>
      <c r="L5" s="112">
        <v>0</v>
      </c>
      <c r="M5" s="112">
        <v>0</v>
      </c>
      <c r="N5" s="121"/>
      <c r="O5" s="121"/>
      <c r="P5" s="121"/>
      <c r="T5" s="107">
        <v>3</v>
      </c>
      <c r="U5" s="27">
        <f t="shared" si="0"/>
        <v>0.25</v>
      </c>
      <c r="V5" s="18">
        <f t="shared" si="1"/>
        <v>7884000</v>
      </c>
      <c r="W5" s="123">
        <f>POWER($V5-$V2,W$1)/FACT(W$1)</f>
        <v>7884000</v>
      </c>
      <c r="X5" s="123">
        <f>POWER($V5-$V2,X$1)/FACT(X$1)</f>
        <v>31078728000000</v>
      </c>
      <c r="Y5" s="123">
        <f>POWER($V5-$V2,Y$1)/FACT(Y$1)</f>
        <v>8.1674897184E+19</v>
      </c>
      <c r="Z5" s="123">
        <f>POWER($V5-$V2,Z$1)/FACT(Z$1)</f>
        <v>1.6098122234966398E+26</v>
      </c>
      <c r="AA5" s="123">
        <f>POWER($V5-$V2,AA$1)/FACT(AA$1)</f>
        <v>2.5383519140095018E+32</v>
      </c>
      <c r="AB5" s="123"/>
      <c r="AC5" s="125">
        <f t="array" ref="AC5:AJ5">AC2:AJ2+TRANSPOSE(F$12:F$19)*W5+TRANSPOSE(F$22:F$29)*X5+TRANSPOSE(F$32:F$39)*Y5+TRANSPOSE(F$42:F$49)*Z5+TRANSPOSE(F$52:F$59)*AA5</f>
        <v>18.198701905411959</v>
      </c>
      <c r="AD5" s="42">
        <v>3445.4544852047056</v>
      </c>
      <c r="AE5" s="42">
        <v>1168.7770796419172</v>
      </c>
      <c r="AF5" s="42">
        <v>234.77610350031111</v>
      </c>
      <c r="AG5" s="42">
        <v>83.638308826912052</v>
      </c>
      <c r="AH5" s="42">
        <v>52.405270453893458</v>
      </c>
      <c r="AI5" s="42">
        <v>131.16085065640141</v>
      </c>
      <c r="AJ5" s="42">
        <v>26381.802709773881</v>
      </c>
    </row>
    <row r="6" spans="1:38" ht="15.75" thickBot="1">
      <c r="A6" s="101" t="s">
        <v>13</v>
      </c>
      <c r="B6" s="73">
        <f>Données!D14</f>
        <v>82.180003066254471</v>
      </c>
      <c r="F6" s="112">
        <v>0</v>
      </c>
      <c r="G6" s="112">
        <v>0</v>
      </c>
      <c r="H6" s="112">
        <v>0</v>
      </c>
      <c r="I6" s="111">
        <f>Données!H$47*1E-24*B$12</f>
        <v>1.4051025590107522E-9</v>
      </c>
      <c r="J6" s="111">
        <f>-(Données!I$48*1E-24*B$12+Données!F$48)</f>
        <v>-2.3381555221817427E-9</v>
      </c>
      <c r="K6" s="111">
        <f>Données!I$49*1E-24*B$12*0.85*0.16</f>
        <v>8.475601142601187E-10</v>
      </c>
      <c r="L6" s="112">
        <v>0</v>
      </c>
      <c r="M6" s="112">
        <v>0</v>
      </c>
      <c r="N6" s="121"/>
      <c r="O6" s="121"/>
      <c r="P6" s="121"/>
      <c r="T6" s="107">
        <v>4</v>
      </c>
      <c r="U6" s="27">
        <f t="shared" si="0"/>
        <v>0.33333333333333331</v>
      </c>
      <c r="V6" s="18">
        <f t="shared" si="1"/>
        <v>10512000</v>
      </c>
      <c r="W6" s="123">
        <f>POWER($V6-$V2,W$1)/FACT(W$1)</f>
        <v>10512000</v>
      </c>
      <c r="X6" s="123">
        <f>POWER($V6-$V2,X$1)/FACT(X$1)</f>
        <v>55251072000000</v>
      </c>
      <c r="Y6" s="123">
        <f>POWER($V6-$V2,Y$1)/FACT(Y$1)</f>
        <v>1.93599756288E+20</v>
      </c>
      <c r="Z6" s="123">
        <f>POWER($V6-$V2,Z$1)/FACT(Z$1)</f>
        <v>5.0878015952486396E+26</v>
      </c>
      <c r="AA6" s="123">
        <f>POWER($V6-$V2,AA$1)/FACT(AA$1)</f>
        <v>1.0696594073850741E+33</v>
      </c>
      <c r="AB6" s="123"/>
      <c r="AC6" s="125">
        <f t="array" ref="AC6:AJ6">AC2:AJ2+TRANSPOSE(F$12:F$19)*W6+TRANSPOSE(F$22:F$29)*X6+TRANSPOSE(F$32:F$39)*Y6+TRANSPOSE(F$42:F$49)*Z6+TRANSPOSE(F$52:F$59)*AA6</f>
        <v>17.926076597993418</v>
      </c>
      <c r="AD6" s="42">
        <v>3439.9780570882031</v>
      </c>
      <c r="AE6" s="42">
        <v>1173.418302232566</v>
      </c>
      <c r="AF6" s="42">
        <v>232.68168550302579</v>
      </c>
      <c r="AG6" s="42">
        <v>84.102806575148861</v>
      </c>
      <c r="AH6" s="42">
        <v>52.481775026391347</v>
      </c>
      <c r="AI6" s="42">
        <v>128.65587505725949</v>
      </c>
      <c r="AJ6" s="42">
        <v>26313.877377330136</v>
      </c>
    </row>
    <row r="7" spans="1:38" ht="15.75" thickBot="1">
      <c r="A7" s="101" t="s">
        <v>14</v>
      </c>
      <c r="B7" s="73">
        <f>Données!D15</f>
        <v>52.114148285917473</v>
      </c>
      <c r="D7" s="3" t="s">
        <v>166</v>
      </c>
      <c r="F7" s="112">
        <v>0</v>
      </c>
      <c r="G7" s="112">
        <v>0</v>
      </c>
      <c r="H7" s="112">
        <v>0</v>
      </c>
      <c r="I7" s="112">
        <f>Données!F$47</f>
        <v>1.5343492432592516E-9</v>
      </c>
      <c r="J7" s="112">
        <v>0</v>
      </c>
      <c r="K7" s="111">
        <f>-(Données!I$49*1E-24*B$12+Données!F$49)</f>
        <v>-6.2828676916701522E-9</v>
      </c>
      <c r="L7" s="112">
        <v>0</v>
      </c>
      <c r="M7" s="112">
        <v>0</v>
      </c>
      <c r="N7" s="121"/>
      <c r="O7" s="121"/>
      <c r="P7" s="121"/>
      <c r="S7" s="109"/>
      <c r="T7" s="107">
        <v>5</v>
      </c>
      <c r="U7" s="27">
        <f t="shared" si="0"/>
        <v>0.41666666666666669</v>
      </c>
      <c r="V7" s="18">
        <f t="shared" si="1"/>
        <v>13140000</v>
      </c>
      <c r="W7" s="123">
        <f>POWER($V7-$V2,W$1)/FACT(W$1)</f>
        <v>13140000</v>
      </c>
      <c r="X7" s="123">
        <f>POWER($V7-$V2,X$1)/FACT(X$1)</f>
        <v>86329800000000</v>
      </c>
      <c r="Y7" s="123">
        <f>POWER($V7-$V2,Y$1)/FACT(Y$1)</f>
        <v>3.7812452400000002E+20</v>
      </c>
      <c r="Z7" s="123">
        <f>POWER($V7-$V2,Z$1)/FACT(Z$1)</f>
        <v>1.2421390613399999E+27</v>
      </c>
      <c r="AA7" s="123">
        <f>POWER($V7-$V2,AA$1)/FACT(AA$1)</f>
        <v>3.2643414532015203E+33</v>
      </c>
      <c r="AB7" s="123"/>
      <c r="AC7" s="125">
        <f t="array" ref="AC7:AJ7">AC2:AJ2+TRANSPOSE(F$12:F$19)*W7+TRANSPOSE(F$22:F$29)*X7+TRANSPOSE(F$32:F$39)*Y7+TRANSPOSE(F$42:F$49)*Z7+TRANSPOSE(F$52:F$59)*AA7</f>
        <v>17.657535346250199</v>
      </c>
      <c r="AD7" s="42">
        <v>3434.453511093448</v>
      </c>
      <c r="AE7" s="42">
        <v>1178.0057583426776</v>
      </c>
      <c r="AF7" s="42">
        <v>230.66166082255856</v>
      </c>
      <c r="AG7" s="42">
        <v>84.557045849757287</v>
      </c>
      <c r="AH7" s="42">
        <v>52.548800975861084</v>
      </c>
      <c r="AI7" s="42">
        <v>126.19888361232353</v>
      </c>
      <c r="AJ7" s="42">
        <v>26246.126932613992</v>
      </c>
      <c r="AL7" s="19"/>
    </row>
    <row r="8" spans="1:38" ht="15.75" thickBot="1">
      <c r="A8" s="101" t="s">
        <v>15</v>
      </c>
      <c r="B8" s="73">
        <f>Données!D16</f>
        <v>138.97314965789133</v>
      </c>
      <c r="D8" s="16" t="s">
        <v>165</v>
      </c>
      <c r="F8" s="112">
        <v>0</v>
      </c>
      <c r="G8" s="111">
        <f>Données!F$45</f>
        <v>9.1163637120235491E-13</v>
      </c>
      <c r="H8" s="112">
        <v>0</v>
      </c>
      <c r="I8" s="112">
        <v>0</v>
      </c>
      <c r="J8" s="112">
        <v>0</v>
      </c>
      <c r="K8" s="112">
        <v>0</v>
      </c>
      <c r="L8" s="111">
        <f>-(Données!I$50*1E-24*B$12+Données!F$50)</f>
        <v>-7.3617684041897035E-9</v>
      </c>
      <c r="M8" s="112">
        <v>0</v>
      </c>
      <c r="N8" s="121"/>
      <c r="O8" s="121"/>
      <c r="P8" s="121"/>
      <c r="T8" s="107">
        <v>6</v>
      </c>
      <c r="U8" s="27">
        <f t="shared" si="0"/>
        <v>0.5</v>
      </c>
      <c r="V8" s="18">
        <f t="shared" si="1"/>
        <v>15768000</v>
      </c>
      <c r="W8" s="123">
        <f>POWER($V8-$V2,W$1)/FACT(W$1)</f>
        <v>15768000</v>
      </c>
      <c r="X8" s="123">
        <f>POWER($V8-$V2,X$1)/FACT(X$1)</f>
        <v>124314912000000</v>
      </c>
      <c r="Y8" s="123">
        <f>POWER($V8-$V2,Y$1)/FACT(Y$1)</f>
        <v>6.53399177472E+20</v>
      </c>
      <c r="Z8" s="123">
        <f>POWER($V8-$V2,Z$1)/FACT(Z$1)</f>
        <v>2.5756995575946237E+27</v>
      </c>
      <c r="AA8" s="123">
        <f>POWER($V8-$V2,AA$1)/FACT(AA$1)</f>
        <v>8.1227261248304059E+33</v>
      </c>
      <c r="AB8" s="123"/>
      <c r="AC8" s="125">
        <f t="array" ref="AC8:AJ8">AC2:AJ2+TRANSPOSE(F$12:F$19)*W8+TRANSPOSE(F$22:F$29)*X8+TRANSPOSE(F$32:F$39)*Y8+TRANSPOSE(F$42:F$49)*Z8+TRANSPOSE(F$52:F$59)*AA8</f>
        <v>17.393016965541658</v>
      </c>
      <c r="AD8" s="42">
        <v>3428.8821085669852</v>
      </c>
      <c r="AE8" s="42">
        <v>1182.539652006787</v>
      </c>
      <c r="AF8" s="42">
        <v>228.71379388617999</v>
      </c>
      <c r="AG8" s="42">
        <v>85.00133879107949</v>
      </c>
      <c r="AH8" s="42">
        <v>52.606796808298085</v>
      </c>
      <c r="AI8" s="42">
        <v>123.78895668159478</v>
      </c>
      <c r="AJ8" s="42">
        <v>26178.55092533955</v>
      </c>
      <c r="AL8" s="19"/>
    </row>
    <row r="9" spans="1:38" ht="15.75" thickBot="1">
      <c r="A9" s="101" t="s">
        <v>16</v>
      </c>
      <c r="B9" s="73">
        <f>Données!D17</f>
        <v>26586.632553782751</v>
      </c>
      <c r="F9" s="112">
        <v>0</v>
      </c>
      <c r="G9" s="112">
        <v>0</v>
      </c>
      <c r="H9" s="112">
        <v>0</v>
      </c>
      <c r="I9" s="112">
        <v>0</v>
      </c>
      <c r="J9" s="111">
        <f>Données!F$48</f>
        <v>5.8612141092503409E-14</v>
      </c>
      <c r="K9" s="112">
        <v>0</v>
      </c>
      <c r="L9" s="112">
        <v>0</v>
      </c>
      <c r="M9" s="111">
        <f>-(Données!I$51*1E-24*B$12+Données!F$51)</f>
        <v>-9.8098353166876458E-10</v>
      </c>
      <c r="T9" s="107">
        <v>7</v>
      </c>
      <c r="U9" s="27">
        <f t="shared" si="0"/>
        <v>0.58333333333333337</v>
      </c>
      <c r="V9" s="18">
        <f t="shared" si="1"/>
        <v>18396000</v>
      </c>
      <c r="W9" s="123">
        <f>POWER($V9-$V2,W$1)/FACT(W$1)</f>
        <v>18396000</v>
      </c>
      <c r="X9" s="123">
        <f>POWER($V9-$V2,X$1)/FACT(X$1)</f>
        <v>169206408000000</v>
      </c>
      <c r="Y9" s="123">
        <f>POWER($V9-$V2,Y$1)/FACT(Y$1)</f>
        <v>1.037573693856E+21</v>
      </c>
      <c r="Z9" s="123">
        <f>POWER($V9-$V2,Z$1)/FACT(Z$1)</f>
        <v>4.7718014180437445E+27</v>
      </c>
      <c r="AA9" s="123">
        <f>POWER($V9-$V2,AA$1)/FACT(AA$1)</f>
        <v>1.7556411777266544E+34</v>
      </c>
      <c r="AB9" s="123"/>
      <c r="AC9" s="125">
        <f t="array" ref="AC9:AJ9">AC2:AJ2+TRANSPOSE(F$12:F$19)*W9+TRANSPOSE(F$22:F$29)*X9+TRANSPOSE(F$32:F$39)*Y9+TRANSPOSE(F$42:F$49)*Z9+TRANSPOSE(F$52:F$59)*AA9</f>
        <v>17.132461184970392</v>
      </c>
      <c r="AD9" s="42">
        <v>3423.2650869731233</v>
      </c>
      <c r="AE9" s="42">
        <v>1187.0201904765663</v>
      </c>
      <c r="AF9" s="42">
        <v>226.83591039892116</v>
      </c>
      <c r="AG9" s="42">
        <v>85.435988585664361</v>
      </c>
      <c r="AH9" s="42">
        <v>52.656195091734823</v>
      </c>
      <c r="AI9" s="42">
        <v>121.42519215782782</v>
      </c>
      <c r="AJ9" s="42">
        <v>26111.148906380222</v>
      </c>
      <c r="AL9" s="19"/>
    </row>
    <row r="10" spans="1:38">
      <c r="T10" s="107">
        <v>8</v>
      </c>
      <c r="U10" s="27">
        <f t="shared" si="0"/>
        <v>0.66666666666666663</v>
      </c>
      <c r="V10" s="18">
        <f t="shared" si="1"/>
        <v>21024000</v>
      </c>
      <c r="W10" s="123">
        <f>POWER($V10-$V2,W$1)/FACT(W$1)</f>
        <v>21024000</v>
      </c>
      <c r="X10" s="123">
        <f>POWER($V10-$V2,X$1)/FACT(X$1)</f>
        <v>221004288000000</v>
      </c>
      <c r="Y10" s="123">
        <f>POWER($V10-$V2,Y$1)/FACT(Y$1)</f>
        <v>1.548798050304E+21</v>
      </c>
      <c r="Z10" s="123">
        <f>POWER($V10-$V2,Z$1)/FACT(Z$1)</f>
        <v>8.1404825523978233E+27</v>
      </c>
      <c r="AA10" s="123">
        <f>POWER($V10-$V2,AA$1)/FACT(AA$1)</f>
        <v>3.422910103632237E+34</v>
      </c>
      <c r="AB10" s="123"/>
      <c r="AC10" s="125">
        <f t="array" ref="AC10:AJ10">AC2:AJ2+TRANSPOSE(F$12:F$19)*W10+TRANSPOSE(F$22:F$29)*X10+TRANSPOSE(F$32:F$39)*Y10+TRANSPOSE(F$42:F$49)*Z10+TRANSPOSE(F$52:F$59)*AA10</f>
        <v>16.875808632464576</v>
      </c>
      <c r="AD10" s="42">
        <v>3417.6036603800944</v>
      </c>
      <c r="AE10" s="42">
        <v>1191.4475840938514</v>
      </c>
      <c r="AF10" s="42">
        <v>225.02589538570362</v>
      </c>
      <c r="AG10" s="42">
        <v>85.861289750261079</v>
      </c>
      <c r="AH10" s="42">
        <v>52.697413055427276</v>
      </c>
      <c r="AI10" s="42">
        <v>119.10670509093309</v>
      </c>
      <c r="AJ10" s="42">
        <v>26043.920427765694</v>
      </c>
      <c r="AL10" s="19"/>
    </row>
    <row r="11" spans="1:38" ht="15.75" thickBot="1">
      <c r="B11" s="101" t="s">
        <v>59</v>
      </c>
      <c r="F11" s="120" t="s">
        <v>164</v>
      </c>
      <c r="G11" s="120" t="s">
        <v>154</v>
      </c>
      <c r="H11" s="19" t="s">
        <v>155</v>
      </c>
      <c r="I11" s="19" t="s">
        <v>156</v>
      </c>
      <c r="J11" s="120" t="s">
        <v>157</v>
      </c>
      <c r="K11" s="120" t="s">
        <v>158</v>
      </c>
      <c r="L11" s="120" t="s">
        <v>159</v>
      </c>
      <c r="M11" s="120" t="s">
        <v>160</v>
      </c>
      <c r="N11" s="120" t="s">
        <v>161</v>
      </c>
      <c r="O11" s="120" t="s">
        <v>162</v>
      </c>
      <c r="P11" s="120" t="s">
        <v>163</v>
      </c>
      <c r="Q11" s="108"/>
      <c r="T11" s="107">
        <v>9</v>
      </c>
      <c r="U11" s="27">
        <f t="shared" si="0"/>
        <v>0.75</v>
      </c>
      <c r="V11" s="18">
        <f t="shared" si="1"/>
        <v>23652000</v>
      </c>
      <c r="W11" s="123">
        <f>POWER($V11-$V2,W$1)/FACT(W$1)</f>
        <v>23652000</v>
      </c>
      <c r="X11" s="123">
        <f>POWER($V11-$V2,X$1)/FACT(X$1)</f>
        <v>279708552000000</v>
      </c>
      <c r="Y11" s="123">
        <f>POWER($V11-$V2,Y$1)/FACT(Y$1)</f>
        <v>2.205222223968E+21</v>
      </c>
      <c r="Z11" s="123">
        <f>POWER($V11-$V2,Z$1)/FACT(Z$1)</f>
        <v>1.3039479010322784E+28</v>
      </c>
      <c r="AA11" s="123">
        <f>POWER($V11-$V2,AA$1)/FACT(AA$1)</f>
        <v>6.1681951510430897E+34</v>
      </c>
      <c r="AB11" s="123"/>
      <c r="AC11" s="125">
        <f t="array" ref="AC11:AJ11">AC2:AJ2+TRANSPOSE(F$12:F$19)*W11+TRANSPOSE(F$22:F$29)*X11+TRANSPOSE(F$32:F$39)*Y11+TRANSPOSE(F$42:F$49)*Z11+TRANSPOSE(F$52:F$59)*AA11</f>
        <v>16.62300081986022</v>
      </c>
      <c r="AD11" s="42">
        <v>3411.8990199462273</v>
      </c>
      <c r="AE11" s="42">
        <v>1195.822046163669</v>
      </c>
      <c r="AF11" s="42">
        <v>223.28169123346962</v>
      </c>
      <c r="AG11" s="42">
        <v>86.277528415812341</v>
      </c>
      <c r="AH11" s="42">
        <v>52.730853189041355</v>
      </c>
      <c r="AI11" s="42">
        <v>116.83262731237949</v>
      </c>
      <c r="AJ11" s="42">
        <v>25976.865042678884</v>
      </c>
      <c r="AL11" s="19"/>
    </row>
    <row r="12" spans="1:38" ht="15">
      <c r="B12" s="75">
        <f>IF(U2&lt;Données!C$26/365,Données!C$30,0)</f>
        <v>3125923379334265</v>
      </c>
      <c r="E12" s="108" t="s">
        <v>147</v>
      </c>
      <c r="F12" s="111">
        <f t="array" ref="F12:F19">MMULT($F$2:$M$9,B2:B9)</f>
        <v>-1.0936535204340274E-7</v>
      </c>
      <c r="G12" s="111">
        <f t="array" ref="G12:G19">MMULT($F$2:$M$9,TRANSPOSE(AC14:AJ14))</f>
        <v>-9.1246826486192598E-8</v>
      </c>
      <c r="H12" s="111">
        <f t="array" ref="H12:H19">MMULT($F$2:$M$9,TRANSPOSE(AC26:AJ26))</f>
        <v>-7.6129991704293034E-8</v>
      </c>
      <c r="I12" s="111">
        <f t="array" ref="I12:I19">MMULT($F$2:$M$9,TRANSPOSE(AC38:AJ38))</f>
        <v>-6.3517558473912947E-8</v>
      </c>
      <c r="J12" s="111">
        <f t="array" ref="J12:J19">MMULT($F$2:$M$9,TRANSPOSE(AC50:AJ50))</f>
        <v>-5.2994623330025174E-8</v>
      </c>
      <c r="K12" s="111">
        <f t="array" ref="K12:K19">MMULT($F$2:$M$9,TRANSPOSE(AC62:AJ62))</f>
        <v>-4.4215019742055858E-8</v>
      </c>
      <c r="L12" s="111">
        <f t="array" ref="L12:L19">MMULT($F$2:$M$9,TRANSPOSE(AC74:AJ74))</f>
        <v>-3.6889930486264303E-8</v>
      </c>
      <c r="M12" s="111">
        <f t="array" ref="M12:M19">MMULT($F$2:$M$9,TRANSPOSE(AC86:AJ86))</f>
        <v>-3.0778386603025781E-8</v>
      </c>
      <c r="N12" s="111">
        <f t="array" ref="N12:N19">MMULT($F$2:$M$9,TRANSPOSE(AC98:AJ98))</f>
        <v>-2.5679340389053886E-8</v>
      </c>
      <c r="O12" s="111">
        <f t="array" ref="O12:O19">MMULT($F$2:$M$9,TRANSPOSE(AC110:AJ110))</f>
        <v>-2.1425051654659067E-8</v>
      </c>
      <c r="P12" s="111" t="e">
        <f t="array" ref="P12:P19">MMULT($F$2:$M$9,TRANSPOSE(AC123:AJ123))</f>
        <v>#VALUE!</v>
      </c>
      <c r="T12" s="107">
        <v>10</v>
      </c>
      <c r="U12" s="27">
        <f t="shared" si="0"/>
        <v>0.83333333333333337</v>
      </c>
      <c r="V12" s="18">
        <f t="shared" si="1"/>
        <v>26280000</v>
      </c>
      <c r="W12" s="123">
        <f>POWER($V12-$V2,W$1)/FACT(W$1)</f>
        <v>26280000</v>
      </c>
      <c r="X12" s="123">
        <f>POWER($V12-$V2,X$1)/FACT(X$1)</f>
        <v>345319200000000</v>
      </c>
      <c r="Y12" s="123">
        <f>POWER($V12-$V2,Y$1)/FACT(Y$1)</f>
        <v>3.0249961920000001E+21</v>
      </c>
      <c r="Z12" s="123">
        <f>POWER($V12-$V2,Z$1)/FACT(Z$1)</f>
        <v>1.9874224981439999E+28</v>
      </c>
      <c r="AA12" s="123">
        <f>POWER($V12-$V2,AA$1)/FACT(AA$1)</f>
        <v>1.0445892650244865E+35</v>
      </c>
      <c r="AB12" s="123"/>
      <c r="AC12" s="125">
        <f t="array" ref="AC12:AJ12">AC2:AJ2+TRANSPOSE(F$12:F$19)*W12+TRANSPOSE(F$22:F$29)*X12+TRANSPOSE(F$32:F$39)*Y12+TRANSPOSE(F$42:F$49)*Z12+TRANSPOSE(F$52:F$59)*AA12</f>
        <v>16.37398012798349</v>
      </c>
      <c r="AD12" s="42">
        <v>3406.1523344061052</v>
      </c>
      <c r="AE12" s="42">
        <v>1200.1437928272592</v>
      </c>
      <c r="AF12" s="42">
        <v>221.60129573331213</v>
      </c>
      <c r="AG12" s="42">
        <v>86.68498261144758</v>
      </c>
      <c r="AH12" s="42">
        <v>52.756903841839261</v>
      </c>
      <c r="AI12" s="42">
        <v>114.6021070595971</v>
      </c>
      <c r="AJ12" s="42">
        <v>25909.982305452937</v>
      </c>
      <c r="AL12" s="19"/>
    </row>
    <row r="13" spans="1:38">
      <c r="E13" s="110"/>
      <c r="F13" s="111">
        <v>-2.015899358916743E-6</v>
      </c>
      <c r="G13" s="111">
        <v>-2.2248447332188545E-6</v>
      </c>
      <c r="H13" s="111">
        <v>-2.3737203738186776E-6</v>
      </c>
      <c r="I13" s="111">
        <v>-2.4750046718150377E-6</v>
      </c>
      <c r="J13" s="111">
        <v>-2.5386877414824685E-6</v>
      </c>
      <c r="K13" s="111">
        <v>-2.5727640550380003E-6</v>
      </c>
      <c r="L13" s="111">
        <v>-2.5836277384405424E-6</v>
      </c>
      <c r="M13" s="111">
        <v>-2.5763897410818695E-6</v>
      </c>
      <c r="N13" s="111">
        <v>-2.5551323029473504E-6</v>
      </c>
      <c r="O13" s="111">
        <v>-2.5231131004101538E-6</v>
      </c>
      <c r="P13" s="111" t="e">
        <v>#VALUE!</v>
      </c>
      <c r="T13" s="107">
        <v>11</v>
      </c>
      <c r="U13" s="27">
        <f t="shared" si="0"/>
        <v>0.91666666666666663</v>
      </c>
      <c r="V13" s="18">
        <f t="shared" si="1"/>
        <v>28908000</v>
      </c>
      <c r="W13" s="123">
        <f>POWER($V13-$V2,W$1)/FACT(W$1)</f>
        <v>28908000</v>
      </c>
      <c r="X13" s="123">
        <f>POWER($V13-$V2,X$1)/FACT(X$1)</f>
        <v>417836232000000</v>
      </c>
      <c r="Y13" s="123">
        <f>POWER($V13-$V2,Y$1)/FACT(Y$1)</f>
        <v>4.0262699315519999E+21</v>
      </c>
      <c r="Z13" s="123">
        <f>POWER($V13-$V2,Z$1)/FACT(Z$1)</f>
        <v>2.9097852795326301E+28</v>
      </c>
      <c r="AA13" s="123">
        <f>POWER($V13-$V2,AA$1)/FACT(AA$1)</f>
        <v>1.6823214572145855E+35</v>
      </c>
      <c r="AB13" s="123"/>
      <c r="AC13" s="125">
        <f t="array" ref="AC13:AJ13">AC2:AJ2+TRANSPOSE(F$12:F$19)*W13+TRANSPOSE(F$22:F$29)*X13+TRANSPOSE(F$32:F$39)*Y13+TRANSPOSE(F$42:F$49)*Z13+TRANSPOSE(F$52:F$59)*AA13</f>
        <v>16.128689791732988</v>
      </c>
      <c r="AD13" s="42">
        <v>3400.3647505567415</v>
      </c>
      <c r="AE13" s="42">
        <v>1204.4130429351037</v>
      </c>
      <c r="AF13" s="42">
        <v>219.98276012260501</v>
      </c>
      <c r="AG13" s="42">
        <v>87.083922548476494</v>
      </c>
      <c r="AH13" s="42">
        <v>52.775939821865997</v>
      </c>
      <c r="AI13" s="42">
        <v>112.41430860037998</v>
      </c>
      <c r="AJ13" s="42">
        <v>25843.271771568161</v>
      </c>
      <c r="AL13" s="19"/>
    </row>
    <row r="14" spans="1:38">
      <c r="E14" s="110"/>
      <c r="F14" s="111">
        <v>1.8382628556946444E-6</v>
      </c>
      <c r="G14" s="111">
        <v>1.594717483302781E-6</v>
      </c>
      <c r="H14" s="111">
        <v>1.3634820301702553E-6</v>
      </c>
      <c r="I14" s="111">
        <v>1.1458703932402359E-6</v>
      </c>
      <c r="J14" s="111">
        <v>9.4260298787345404E-7</v>
      </c>
      <c r="K14" s="111">
        <v>7.5395241783074702E-7</v>
      </c>
      <c r="L14" s="111">
        <v>5.7985798532175023E-7</v>
      </c>
      <c r="M14" s="111">
        <v>4.2001539381853202E-7</v>
      </c>
      <c r="N14" s="111">
        <v>2.739467257327589E-7</v>
      </c>
      <c r="O14" s="111">
        <v>1.4105475851503988E-7</v>
      </c>
      <c r="P14" s="111" t="e">
        <v>#VALUE!</v>
      </c>
      <c r="T14" s="107">
        <v>12</v>
      </c>
      <c r="U14" s="27">
        <f t="shared" si="0"/>
        <v>1</v>
      </c>
      <c r="V14" s="18">
        <f t="shared" si="1"/>
        <v>31536000</v>
      </c>
      <c r="W14" s="123">
        <f>POWER($V14-$V2,W$1)/FACT(W$1)</f>
        <v>31536000</v>
      </c>
      <c r="X14" s="123">
        <f>POWER($V14-$V2,X$1)/FACT(X$1)</f>
        <v>497259648000000</v>
      </c>
      <c r="Y14" s="123">
        <f>POWER($V14-$V2,Y$1)/FACT(Y$1)</f>
        <v>5.227193419776E+21</v>
      </c>
      <c r="Z14" s="123">
        <f>POWER($V14-$V2,Z$1)/FACT(Z$1)</f>
        <v>4.121119292151398E+28</v>
      </c>
      <c r="AA14" s="123">
        <f>POWER($V14-$V2,AA$1)/FACT(AA$1)</f>
        <v>2.5992723599457299E+35</v>
      </c>
      <c r="AB14" s="123"/>
      <c r="AC14" s="125">
        <f t="array" ref="AC14:AJ14">AC2:AJ2+TRANSPOSE(F$12:F$19)*W14+TRANSPOSE(F$22:F$29)*X14+TRANSPOSE(F$32:F$39)*Y14+TRANSPOSE(F$42:F$49)*Z14+TRANSPOSE(F$52:F$59)*AA14</f>
        <v>15.88707388516208</v>
      </c>
      <c r="AD14" s="42">
        <v>3394.5373937437366</v>
      </c>
      <c r="AE14" s="42">
        <v>1208.6300179199504</v>
      </c>
      <c r="AF14" s="42">
        <v>218.42418712713325</v>
      </c>
      <c r="AG14" s="42">
        <v>87.47461090438216</v>
      </c>
      <c r="AH14" s="42">
        <v>52.788322995135772</v>
      </c>
      <c r="AI14" s="42">
        <v>110.26841185728868</v>
      </c>
      <c r="AJ14" s="42">
        <v>25776.732997649044</v>
      </c>
      <c r="AL14" s="19"/>
    </row>
    <row r="15" spans="1:38">
      <c r="E15" s="110"/>
      <c r="F15" s="111">
        <v>-9.0305355164630673E-7</v>
      </c>
      <c r="G15" s="111">
        <v>-5.8184929502540873E-7</v>
      </c>
      <c r="H15" s="111">
        <v>-3.6070713017096769E-7</v>
      </c>
      <c r="I15" s="111">
        <v>-2.1078395618441156E-7</v>
      </c>
      <c r="J15" s="111">
        <v>-1.1136887591051295E-7</v>
      </c>
      <c r="K15" s="111">
        <v>-4.7599362276346396E-8</v>
      </c>
      <c r="L15" s="111">
        <v>-8.8194108638958109E-9</v>
      </c>
      <c r="M15" s="111">
        <v>1.2601108008227962E-8</v>
      </c>
      <c r="N15" s="111">
        <v>2.2115692050726612E-8</v>
      </c>
      <c r="O15" s="111">
        <v>2.3612247147465613E-8</v>
      </c>
      <c r="P15" s="111" t="e">
        <v>#VALUE!</v>
      </c>
      <c r="T15" s="107">
        <v>13</v>
      </c>
      <c r="U15" s="27">
        <f t="shared" si="0"/>
        <v>1.0833333333333333</v>
      </c>
      <c r="V15" s="18">
        <f t="shared" si="1"/>
        <v>34164000</v>
      </c>
      <c r="W15" s="123">
        <f>POWER($V15-$V14,W$1)/FACT(W$1)</f>
        <v>2628000</v>
      </c>
      <c r="X15" s="123">
        <f>POWER($V15-$V14,X$1)/FACT(X$1)</f>
        <v>3453192000000</v>
      </c>
      <c r="Y15" s="123">
        <f>POWER($V15-$V14,Y$1)/FACT(Y$1)</f>
        <v>3.024996192E+18</v>
      </c>
      <c r="Z15" s="123">
        <f>POWER($V15-$V14,Z$1)/FACT(Z$1)</f>
        <v>1.9874224981439998E+24</v>
      </c>
      <c r="AA15" s="123">
        <f>POWER($V15-$V14,AA$1)/FACT(AA$1)</f>
        <v>1.0445892650244864E+30</v>
      </c>
      <c r="AB15" s="123"/>
      <c r="AC15" s="125">
        <f t="array" ref="AC15:AJ15">AC14:AJ14+TRANSPOSE(G$12:G$19)*W15+TRANSPOSE(G$22:G$29)*X15+TRANSPOSE(G$32:G$39)*Y15+TRANSPOSE(G$42:G$49)*Z15+TRANSPOSE(G$52:G$59)*AA15</f>
        <v>15.649077878204642</v>
      </c>
      <c r="AD15" s="42">
        <v>3388.6713457147162</v>
      </c>
      <c r="AE15" s="42">
        <v>1212.7949486242549</v>
      </c>
      <c r="AF15" s="42">
        <v>216.92386495192966</v>
      </c>
      <c r="AG15" s="42">
        <v>87.857283817387398</v>
      </c>
      <c r="AH15" s="42">
        <v>52.794358010294928</v>
      </c>
      <c r="AI15" s="42">
        <v>108.16363044670778</v>
      </c>
      <c r="AJ15" s="42">
        <v>25710.365541481227</v>
      </c>
      <c r="AL15" s="25"/>
    </row>
    <row r="16" spans="1:38">
      <c r="E16" s="110"/>
      <c r="F16" s="111">
        <v>1.9139330840210629E-7</v>
      </c>
      <c r="G16" s="111">
        <v>1.4712041681475523E-7</v>
      </c>
      <c r="H16" s="111">
        <v>1.1667329469700484E-7</v>
      </c>
      <c r="I16" s="111">
        <v>9.5839304439856196E-8</v>
      </c>
      <c r="J16" s="111">
        <v>8.1601755479295105E-8</v>
      </c>
      <c r="K16" s="111">
        <v>7.1810032453128417E-8</v>
      </c>
      <c r="L16" s="111">
        <v>6.4940399362313118E-8</v>
      </c>
      <c r="M16" s="111">
        <v>5.9922413295120905E-8</v>
      </c>
      <c r="N16" s="111">
        <v>5.6012859234185788E-8</v>
      </c>
      <c r="O16" s="111">
        <v>5.2704141709418775E-8</v>
      </c>
      <c r="P16" s="111" t="e">
        <v>#VALUE!</v>
      </c>
      <c r="T16" s="107">
        <v>14</v>
      </c>
      <c r="U16" s="27">
        <f t="shared" si="0"/>
        <v>1.1666666666666667</v>
      </c>
      <c r="V16" s="18">
        <f t="shared" si="1"/>
        <v>36792000</v>
      </c>
      <c r="W16" s="123">
        <f>POWER($V16-$V14,W$1)/FACT(W$1)</f>
        <v>5256000</v>
      </c>
      <c r="X16" s="123">
        <f>POWER($V16-$V14,X$1)/FACT(X$1)</f>
        <v>13812768000000</v>
      </c>
      <c r="Y16" s="123">
        <f>POWER($V16-$V14,Y$1)/FACT(Y$1)</f>
        <v>2.4199969536E+19</v>
      </c>
      <c r="Z16" s="123">
        <f>POWER($V16-$V14,Z$1)/FACT(Z$1)</f>
        <v>3.1798759970303997E+25</v>
      </c>
      <c r="AA16" s="123">
        <f>POWER($V16-$V14,AA$1)/FACT(AA$1)</f>
        <v>3.3426856480783565E+31</v>
      </c>
      <c r="AB16" s="123"/>
      <c r="AC16" s="125">
        <f t="array" ref="AC16:AJ16">AC14:AJ14+TRANSPOSE(G$12:G$19)*W16+TRANSPOSE(G$22:G$29)*X16+TRANSPOSE(G$32:G$39)*Y16+TRANSPOSE(G$42:G$49)*Z16+TRANSPOSE(G$52:G$59)*AA16</f>
        <v>15.414647165868551</v>
      </c>
      <c r="AD16" s="42">
        <v>3382.7677028199109</v>
      </c>
      <c r="AE16" s="42">
        <v>1216.9080574314719</v>
      </c>
      <c r="AF16" s="42">
        <v>215.47991741816992</v>
      </c>
      <c r="AG16" s="42">
        <v>88.232200523028396</v>
      </c>
      <c r="AH16" s="42">
        <v>52.794407787238079</v>
      </c>
      <c r="AI16" s="42">
        <v>106.09916432664177</v>
      </c>
      <c r="AJ16" s="42">
        <v>25644.168961957697</v>
      </c>
      <c r="AL16" s="19"/>
    </row>
    <row r="17" spans="5:38">
      <c r="E17" s="110"/>
      <c r="F17" s="111">
        <v>4.3163591081061186E-8</v>
      </c>
      <c r="G17" s="111">
        <v>3.4769371844469648E-9</v>
      </c>
      <c r="H17" s="111">
        <v>-1.7368894689230141E-8</v>
      </c>
      <c r="I17" s="111">
        <v>-2.64639752048887E-8</v>
      </c>
      <c r="J17" s="111">
        <v>-2.8552046493813999E-8</v>
      </c>
      <c r="K17" s="111">
        <v>-2.6754698584962111E-8</v>
      </c>
      <c r="L17" s="111">
        <v>-2.308045932532364E-8</v>
      </c>
      <c r="M17" s="111">
        <v>-1.8781321217011364E-8</v>
      </c>
      <c r="N17" s="111">
        <v>-1.4601272506912737E-8</v>
      </c>
      <c r="O17" s="111">
        <v>-1.0948565664359504E-8</v>
      </c>
      <c r="P17" s="111" t="e">
        <v>#VALUE!</v>
      </c>
      <c r="T17" s="107">
        <v>15</v>
      </c>
      <c r="U17" s="27">
        <f t="shared" si="0"/>
        <v>1.25</v>
      </c>
      <c r="V17" s="18">
        <f t="shared" si="1"/>
        <v>39420000</v>
      </c>
      <c r="W17" s="123">
        <f>POWER($V17-$V14,W$1)/FACT(W$1)</f>
        <v>7884000</v>
      </c>
      <c r="X17" s="123">
        <f>POWER($V17-$V14,X$1)/FACT(X$1)</f>
        <v>31078728000000</v>
      </c>
      <c r="Y17" s="123">
        <f>POWER($V17-$V14,Y$1)/FACT(Y$1)</f>
        <v>8.1674897184E+19</v>
      </c>
      <c r="Z17" s="123">
        <f>POWER($V17-$V14,Z$1)/FACT(Z$1)</f>
        <v>1.6098122234966398E+26</v>
      </c>
      <c r="AA17" s="123">
        <f>POWER($V17-$V14,AA$1)/FACT(AA$1)</f>
        <v>2.5383519140095018E+32</v>
      </c>
      <c r="AB17" s="123"/>
      <c r="AC17" s="125">
        <f t="array" ref="AC17:AJ17">AC14:AJ14+TRANSPOSE(G$12:G$19)*W17+TRANSPOSE(G$22:G$29)*X17+TRANSPOSE(G$32:G$39)*Y17+TRANSPOSE(G$42:G$49)*Z17+TRANSPOSE(G$52:G$59)*AA17</f>
        <v>15.183728338185684</v>
      </c>
      <c r="AD17" s="42">
        <v>3376.827525514062</v>
      </c>
      <c r="AE17" s="42">
        <v>1220.969573817124</v>
      </c>
      <c r="AF17" s="42">
        <v>214.09061019698234</v>
      </c>
      <c r="AG17" s="42">
        <v>88.599599926712358</v>
      </c>
      <c r="AH17" s="42">
        <v>52.788792306078044</v>
      </c>
      <c r="AI17" s="42">
        <v>104.07424093242909</v>
      </c>
      <c r="AJ17" s="42">
        <v>25578.142819120403</v>
      </c>
      <c r="AL17" s="19"/>
    </row>
    <row r="18" spans="5:38">
      <c r="E18" s="110"/>
      <c r="F18" s="111">
        <v>-1.0199324380558183E-6</v>
      </c>
      <c r="G18" s="111">
        <v>-8.0867592663962179E-7</v>
      </c>
      <c r="H18" s="111">
        <v>-6.4119239232522024E-7</v>
      </c>
      <c r="I18" s="111">
        <v>-5.0841151393735611E-7</v>
      </c>
      <c r="J18" s="111">
        <v>-4.0314245910609185E-7</v>
      </c>
      <c r="K18" s="111">
        <v>-3.19684431863599E-7</v>
      </c>
      <c r="L18" s="111">
        <v>-2.5351791888066055E-7</v>
      </c>
      <c r="M18" s="111">
        <v>-2.0105991284321841E-7</v>
      </c>
      <c r="N18" s="111">
        <v>-1.5946985629577961E-7</v>
      </c>
      <c r="O18" s="111">
        <v>-1.2649579617002479E-7</v>
      </c>
      <c r="P18" s="111" t="e">
        <v>#VALUE!</v>
      </c>
      <c r="T18" s="107">
        <v>16</v>
      </c>
      <c r="U18" s="27">
        <f t="shared" si="0"/>
        <v>1.3333333333333333</v>
      </c>
      <c r="V18" s="18">
        <f t="shared" si="1"/>
        <v>42048000</v>
      </c>
      <c r="W18" s="123">
        <f>POWER($V18-$V14,W$1)/FACT(W$1)</f>
        <v>10512000</v>
      </c>
      <c r="X18" s="123">
        <f>POWER($V18-$V14,X$1)/FACT(X$1)</f>
        <v>55251072000000</v>
      </c>
      <c r="Y18" s="123">
        <f>POWER($V18-$V14,Y$1)/FACT(Y$1)</f>
        <v>1.93599756288E+20</v>
      </c>
      <c r="Z18" s="123">
        <f>POWER($V18-$V14,Z$1)/FACT(Z$1)</f>
        <v>5.0878015952486396E+26</v>
      </c>
      <c r="AA18" s="123">
        <f>POWER($V18-$V14,AA$1)/FACT(AA$1)</f>
        <v>1.0696594073850741E+33</v>
      </c>
      <c r="AB18" s="123"/>
      <c r="AC18" s="125">
        <f t="array" ref="AC18:AJ18">AC14:AJ14+TRANSPOSE(G$12:G$19)*W18+TRANSPOSE(G$22:G$29)*X18+TRANSPOSE(G$32:G$39)*Y18+TRANSPOSE(G$42:G$49)*Z18+TRANSPOSE(G$52:G$59)*AA18</f>
        <v>14.956268784890481</v>
      </c>
      <c r="AD18" s="42">
        <v>3370.8518539546417</v>
      </c>
      <c r="AE18" s="42">
        <v>1224.9797295729268</v>
      </c>
      <c r="AF18" s="42">
        <v>212.75425720057652</v>
      </c>
      <c r="AG18" s="42">
        <v>88.959713884116141</v>
      </c>
      <c r="AH18" s="42">
        <v>52.777819495412139</v>
      </c>
      <c r="AI18" s="42">
        <v>102.0881024924598</v>
      </c>
      <c r="AJ18" s="42">
        <v>25512.286674144103</v>
      </c>
      <c r="AL18" s="19"/>
    </row>
    <row r="19" spans="5:38">
      <c r="E19" s="110"/>
      <c r="F19" s="111">
        <v>-2.6081043881043615E-5</v>
      </c>
      <c r="G19" s="111">
        <v>-2.5286545443842302E-5</v>
      </c>
      <c r="H19" s="111">
        <v>-2.4516249614452179E-5</v>
      </c>
      <c r="I19" s="111">
        <v>-2.376941909581313E-5</v>
      </c>
      <c r="J19" s="111">
        <v>-2.3045339057414307E-5</v>
      </c>
      <c r="K19" s="111">
        <v>-2.2343316449044146E-5</v>
      </c>
      <c r="L19" s="111">
        <v>-2.1662679335958509E-5</v>
      </c>
      <c r="M19" s="111">
        <v>-2.1002776254673421E-5</v>
      </c>
      <c r="N19" s="111">
        <v>-2.0362975588652319E-5</v>
      </c>
      <c r="O19" s="111">
        <v>-1.9742664963207719E-5</v>
      </c>
      <c r="P19" s="111" t="e">
        <v>#VALUE!</v>
      </c>
      <c r="T19" s="107">
        <v>17</v>
      </c>
      <c r="U19" s="27">
        <f t="shared" si="0"/>
        <v>1.4166666666666667</v>
      </c>
      <c r="V19" s="18">
        <f t="shared" si="1"/>
        <v>44676000</v>
      </c>
      <c r="W19" s="123">
        <f>POWER($V19-$V14,W$1)/FACT(W$1)</f>
        <v>13140000</v>
      </c>
      <c r="X19" s="123">
        <f>POWER($V19-$V14,X$1)/FACT(X$1)</f>
        <v>86329800000000</v>
      </c>
      <c r="Y19" s="123">
        <f>POWER($V19-$V14,Y$1)/FACT(Y$1)</f>
        <v>3.7812452400000002E+20</v>
      </c>
      <c r="Z19" s="123">
        <f>POWER($V19-$V14,Z$1)/FACT(Z$1)</f>
        <v>1.2421390613399999E+27</v>
      </c>
      <c r="AA19" s="123">
        <f>POWER($V19-$V14,AA$1)/FACT(AA$1)</f>
        <v>3.2643414532015203E+33</v>
      </c>
      <c r="AB19" s="123"/>
      <c r="AC19" s="125">
        <f t="array" ref="AC19:AJ19">AC14:AJ14+TRANSPOSE(G$12:G$19)*W19+TRANSPOSE(G$22:G$29)*X19+TRANSPOSE(G$32:G$39)*Y19+TRANSPOSE(G$42:G$49)*Z19+TRANSPOSE(G$52:G$59)*AA19</f>
        <v>14.732216682973654</v>
      </c>
      <c r="AD19" s="42">
        <v>3364.8417083918512</v>
      </c>
      <c r="AE19" s="42">
        <v>1228.9387587091826</v>
      </c>
      <c r="AF19" s="42">
        <v>211.46921917470669</v>
      </c>
      <c r="AG19" s="42">
        <v>89.312767406853922</v>
      </c>
      <c r="AH19" s="42">
        <v>52.761785651007649</v>
      </c>
      <c r="AI19" s="42">
        <v>100.14000573040612</v>
      </c>
      <c r="AJ19" s="42">
        <v>25446.600089333358</v>
      </c>
      <c r="AL19" s="19"/>
    </row>
    <row r="20" spans="5:38">
      <c r="E20" s="110"/>
      <c r="F20" s="110"/>
      <c r="T20" s="107">
        <v>18</v>
      </c>
      <c r="U20" s="27">
        <f t="shared" si="0"/>
        <v>1.5</v>
      </c>
      <c r="V20" s="18">
        <f t="shared" si="1"/>
        <v>47304000</v>
      </c>
      <c r="W20" s="123">
        <f>POWER($V20-$V14,W$1)/FACT(W$1)</f>
        <v>15768000</v>
      </c>
      <c r="X20" s="123">
        <f>POWER($V20-$V14,X$1)/FACT(X$1)</f>
        <v>124314912000000</v>
      </c>
      <c r="Y20" s="123">
        <f>POWER($V20-$V14,Y$1)/FACT(Y$1)</f>
        <v>6.53399177472E+20</v>
      </c>
      <c r="Z20" s="123">
        <f>POWER($V20-$V14,Z$1)/FACT(Z$1)</f>
        <v>2.5756995575946237E+27</v>
      </c>
      <c r="AA20" s="123">
        <f>POWER($V20-$V14,AA$1)/FACT(AA$1)</f>
        <v>8.1227261248304059E+33</v>
      </c>
      <c r="AB20" s="123"/>
      <c r="AC20" s="125">
        <f t="array" ref="AC20:AJ20">AC14:AJ14+TRANSPOSE(G$12:G$19)*W20+TRANSPOSE(G$22:G$29)*X20+TRANSPOSE(G$32:G$39)*Y20+TRANSPOSE(G$42:G$49)*Z20+TRANSPOSE(G$52:G$59)*AA20</f>
        <v>14.511520984235883</v>
      </c>
      <c r="AD20" s="42">
        <v>3358.7980895586088</v>
      </c>
      <c r="AE20" s="42">
        <v>1232.8468973571735</v>
      </c>
      <c r="AF20" s="42">
        <v>210.23390229113599</v>
      </c>
      <c r="AG20" s="42">
        <v>89.658978868145098</v>
      </c>
      <c r="AH20" s="42">
        <v>52.74097585448726</v>
      </c>
      <c r="AI20" s="42">
        <v>98.229221567453166</v>
      </c>
      <c r="AJ20" s="42">
        <v>25381.082628119679</v>
      </c>
      <c r="AL20" s="19"/>
    </row>
    <row r="21" spans="5:38" ht="15">
      <c r="E21" s="110"/>
      <c r="F21" s="110"/>
      <c r="Q21" s="108"/>
      <c r="T21" s="107">
        <v>19</v>
      </c>
      <c r="U21" s="27">
        <f t="shared" si="0"/>
        <v>1.5833333333333333</v>
      </c>
      <c r="V21" s="18">
        <f t="shared" si="1"/>
        <v>49932000</v>
      </c>
      <c r="W21" s="123">
        <f>POWER($V21-$V14,W$1)/FACT(W$1)</f>
        <v>18396000</v>
      </c>
      <c r="X21" s="123">
        <f>POWER($V21-$V14,X$1)/FACT(X$1)</f>
        <v>169206408000000</v>
      </c>
      <c r="Y21" s="123">
        <f>POWER($V21-$V14,Y$1)/FACT(Y$1)</f>
        <v>1.037573693856E+21</v>
      </c>
      <c r="Z21" s="123">
        <f>POWER($V21-$V14,Z$1)/FACT(Z$1)</f>
        <v>4.7718014180437445E+27</v>
      </c>
      <c r="AA21" s="123">
        <f>POWER($V21-$V14,AA$1)/FACT(AA$1)</f>
        <v>1.7556411777266544E+34</v>
      </c>
      <c r="AB21" s="123"/>
      <c r="AC21" s="125">
        <f t="array" ref="AC21:AJ21">AC14:AJ14+TRANSPOSE(G$12:G$19)*W21+TRANSPOSE(G$22:G$29)*X21+TRANSPOSE(G$32:G$39)*Y21+TRANSPOSE(G$42:G$49)*Z21+TRANSPOSE(G$52:G$59)*AA21</f>
        <v>14.29413140284154</v>
      </c>
      <c r="AD21" s="42">
        <v>3352.7219790605441</v>
      </c>
      <c r="AE21" s="42">
        <v>1236.7043836715586</v>
      </c>
      <c r="AF21" s="42">
        <v>209.04675674010011</v>
      </c>
      <c r="AG21" s="42">
        <v>89.998560208481692</v>
      </c>
      <c r="AH21" s="42">
        <v>52.71566439201446</v>
      </c>
      <c r="AI21" s="42">
        <v>96.35503482452954</v>
      </c>
      <c r="AJ21" s="42">
        <v>25315.733855058541</v>
      </c>
      <c r="AL21" s="19"/>
    </row>
    <row r="22" spans="5:38" ht="15">
      <c r="E22" s="108" t="s">
        <v>150</v>
      </c>
      <c r="F22" s="111">
        <f t="array" ref="F22:F29">MMULT($F$2:$M$9,F12:F19)</f>
        <v>6.2813589045028421E-16</v>
      </c>
      <c r="G22" s="111">
        <f t="array" ref="G22:G29">MMULT($F$2:$M$9,G12:G19)</f>
        <v>5.2407280308411545E-16</v>
      </c>
      <c r="H22" s="111">
        <f t="array" ref="H22:H29">MMULT($F$2:$M$9,H12:H19)</f>
        <v>4.3724981665281904E-16</v>
      </c>
      <c r="I22" s="111">
        <f t="array" ref="I22:I29">MMULT($F$2:$M$9,I12:I19)</f>
        <v>3.6481076872870595E-16</v>
      </c>
      <c r="J22" s="111">
        <f t="array" ref="J22:J29">MMULT($F$2:$M$9,J12:J19)</f>
        <v>3.0437267646952901E-16</v>
      </c>
      <c r="K22" s="111">
        <f t="array" ref="K22:K29">MMULT($F$2:$M$9,K12:K19)</f>
        <v>2.5394734509638061E-16</v>
      </c>
      <c r="L22" s="111">
        <f t="array" ref="L22:L29">MMULT($F$2:$M$9,L12:L19)</f>
        <v>2.1187596347189297E-16</v>
      </c>
      <c r="M22" s="111">
        <f t="array" ref="M22:M29">MMULT($F$2:$M$9,M12:M19)</f>
        <v>1.7677453520967224E-16</v>
      </c>
      <c r="N22" s="111">
        <f t="array" ref="N22:N29">MMULT($F$2:$M$9,N12:N19)</f>
        <v>1.4748835019570834E-16</v>
      </c>
      <c r="O22" s="111">
        <f t="array" ref="O22:O29">MMULT($F$2:$M$9,O12:O19)</f>
        <v>1.230539987993796E-16</v>
      </c>
      <c r="P22" s="111" t="e">
        <f t="array" ref="P22:P29">MMULT($F$2:$M$9,P12:P19)</f>
        <v>#VALUE!</v>
      </c>
      <c r="T22" s="107">
        <v>20</v>
      </c>
      <c r="U22" s="27">
        <f t="shared" si="0"/>
        <v>1.6666666666666667</v>
      </c>
      <c r="V22" s="18">
        <f t="shared" si="1"/>
        <v>52560000</v>
      </c>
      <c r="W22" s="123">
        <f>POWER($V22-$V14,W$1)/FACT(W$1)</f>
        <v>21024000</v>
      </c>
      <c r="X22" s="123">
        <f>POWER($V22-$V14,X$1)/FACT(X$1)</f>
        <v>221004288000000</v>
      </c>
      <c r="Y22" s="123">
        <f>POWER($V22-$V14,Y$1)/FACT(Y$1)</f>
        <v>1.548798050304E+21</v>
      </c>
      <c r="Z22" s="123">
        <f>POWER($V22-$V14,Z$1)/FACT(Z$1)</f>
        <v>8.1404825523978233E+27</v>
      </c>
      <c r="AA22" s="123">
        <f>POWER($V22-$V14,AA$1)/FACT(AA$1)</f>
        <v>3.422910103632237E+34</v>
      </c>
      <c r="AB22" s="123"/>
      <c r="AC22" s="125">
        <f t="array" ref="AC22:AJ22">AC14:AJ14+TRANSPOSE(G$12:G$19)*W22+TRANSPOSE(G$22:G$29)*X22+TRANSPOSE(G$32:G$39)*Y22+TRANSPOSE(G$42:G$49)*Z22+TRANSPOSE(G$52:G$59)*AA22</f>
        <v>14.079998402872381</v>
      </c>
      <c r="AD22" s="42">
        <v>3346.6143397659926</v>
      </c>
      <c r="AE22" s="42">
        <v>1240.5114577327674</v>
      </c>
      <c r="AF22" s="42">
        <v>207.90627532277108</v>
      </c>
      <c r="AG22" s="42">
        <v>90.331717141296352</v>
      </c>
      <c r="AH22" s="42">
        <v>52.686115172979051</v>
      </c>
      <c r="AI22" s="42">
        <v>94.516743924538005</v>
      </c>
      <c r="AJ22" s="42">
        <v>25250.553335826433</v>
      </c>
      <c r="AL22" s="19"/>
    </row>
    <row r="23" spans="5:38">
      <c r="E23" s="110"/>
      <c r="F23" s="111">
        <v>-7.7333692141443642E-15</v>
      </c>
      <c r="G23" s="111">
        <v>-5.5997829468205142E-15</v>
      </c>
      <c r="H23" s="111">
        <v>-3.9074595800853601E-15</v>
      </c>
      <c r="I23" s="111">
        <v>-2.5684758167631004E-15</v>
      </c>
      <c r="J23" s="111">
        <v>-1.5123117806740169E-15</v>
      </c>
      <c r="K23" s="111">
        <v>-6.8241271267384037E-16</v>
      </c>
      <c r="L23" s="111">
        <v>-3.342926123665185E-17</v>
      </c>
      <c r="M23" s="111">
        <v>4.7099745922255591E-16</v>
      </c>
      <c r="N23" s="111">
        <v>8.6001349346774863E-16</v>
      </c>
      <c r="O23" s="111">
        <v>1.1569786251477303E-15</v>
      </c>
      <c r="P23" s="111" t="e">
        <v>#VALUE!</v>
      </c>
      <c r="T23" s="107">
        <v>21</v>
      </c>
      <c r="U23" s="27">
        <f t="shared" si="0"/>
        <v>1.75</v>
      </c>
      <c r="V23" s="18">
        <f t="shared" si="1"/>
        <v>55188000</v>
      </c>
      <c r="W23" s="123">
        <f>POWER($V23-$V14,W$1)/FACT(W$1)</f>
        <v>23652000</v>
      </c>
      <c r="X23" s="123">
        <f>POWER($V23-$V14,X$1)/FACT(X$1)</f>
        <v>279708552000000</v>
      </c>
      <c r="Y23" s="123">
        <f>POWER($V23-$V14,Y$1)/FACT(Y$1)</f>
        <v>2.205222223968E+21</v>
      </c>
      <c r="Z23" s="123">
        <f>POWER($V23-$V14,Z$1)/FACT(Z$1)</f>
        <v>1.3039479010322784E+28</v>
      </c>
      <c r="AA23" s="123">
        <f>POWER($V23-$V14,AA$1)/FACT(AA$1)</f>
        <v>6.1681951510430897E+34</v>
      </c>
      <c r="AB23" s="123"/>
      <c r="AC23" s="125">
        <f t="array" ref="AC23:AJ23">AC14:AJ14+TRANSPOSE(G$12:G$19)*W23+TRANSPOSE(G$22:G$29)*X23+TRANSPOSE(G$32:G$39)*Y23+TRANSPOSE(G$42:G$49)*Z23+TRANSPOSE(G$52:G$59)*AA23</f>
        <v>13.869073185881273</v>
      </c>
      <c r="AD23" s="42">
        <v>3340.476116195985</v>
      </c>
      <c r="AE23" s="42">
        <v>1244.2683614493924</v>
      </c>
      <c r="AF23" s="42">
        <v>206.81099204372146</v>
      </c>
      <c r="AG23" s="42">
        <v>90.658649358629717</v>
      </c>
      <c r="AH23" s="42">
        <v>52.652582148682512</v>
      </c>
      <c r="AI23" s="42">
        <v>92.713660594586116</v>
      </c>
      <c r="AJ23" s="42">
        <v>25185.540637217957</v>
      </c>
      <c r="AL23" s="19"/>
    </row>
    <row r="24" spans="5:38">
      <c r="E24" s="110"/>
      <c r="F24" s="111">
        <v>-7.8982328242147285E-15</v>
      </c>
      <c r="G24" s="111">
        <v>-7.5363849006651371E-15</v>
      </c>
      <c r="H24" s="111">
        <v>-7.121628993753707E-15</v>
      </c>
      <c r="I24" s="111">
        <v>-6.6754832199655808E-15</v>
      </c>
      <c r="J24" s="111">
        <v>-6.2142733626268627E-15</v>
      </c>
      <c r="K24" s="111">
        <v>-5.7502374741326843E-15</v>
      </c>
      <c r="L24" s="111">
        <v>-5.2924057565576835E-15</v>
      </c>
      <c r="M24" s="111">
        <v>-4.8473006266356372E-15</v>
      </c>
      <c r="N24" s="111">
        <v>-4.4194929663699159E-15</v>
      </c>
      <c r="O24" s="111">
        <v>-4.0120434153507076E-15</v>
      </c>
      <c r="P24" s="111" t="e">
        <v>#VALUE!</v>
      </c>
      <c r="T24" s="107">
        <v>22</v>
      </c>
      <c r="U24" s="27">
        <f t="shared" si="0"/>
        <v>1.8333333333333333</v>
      </c>
      <c r="V24" s="18">
        <f t="shared" si="1"/>
        <v>57816000</v>
      </c>
      <c r="W24" s="123">
        <f>POWER($V24-$V14,W$1)/FACT(W$1)</f>
        <v>26280000</v>
      </c>
      <c r="X24" s="123">
        <f>POWER($V24-$V14,X$1)/FACT(X$1)</f>
        <v>345319200000000</v>
      </c>
      <c r="Y24" s="123">
        <f>POWER($V24-$V14,Y$1)/FACT(Y$1)</f>
        <v>3.0249961920000001E+21</v>
      </c>
      <c r="Z24" s="123">
        <f>POWER($V24-$V14,Z$1)/FACT(Z$1)</f>
        <v>1.9874224981439999E+28</v>
      </c>
      <c r="AA24" s="123">
        <f>POWER($V24-$V14,AA$1)/FACT(AA$1)</f>
        <v>1.0445892650244865E+35</v>
      </c>
      <c r="AB24" s="123"/>
      <c r="AC24" s="125">
        <f t="array" ref="AC24:AJ24">AC14:AJ14+TRANSPOSE(G$12:G$19)*W24+TRANSPOSE(G$22:G$29)*X24+TRANSPOSE(G$32:G$39)*Y24+TRANSPOSE(G$42:G$49)*Z24+TRANSPOSE(G$52:G$59)*AA24</f>
        <v>13.661307678445882</v>
      </c>
      <c r="AD24" s="42">
        <v>3334.3082349142437</v>
      </c>
      <c r="AE24" s="42">
        <v>1247.9753384605863</v>
      </c>
      <c r="AF24" s="42">
        <v>205.75948070338782</v>
      </c>
      <c r="AG24" s="42">
        <v>90.979550736798416</v>
      </c>
      <c r="AH24" s="42">
        <v>52.615309731023459</v>
      </c>
      <c r="AI24" s="42">
        <v>90.945109568216793</v>
      </c>
      <c r="AJ24" s="42">
        <v>25120.695327142876</v>
      </c>
      <c r="AL24" s="19"/>
    </row>
    <row r="25" spans="5:38">
      <c r="E25" s="110"/>
      <c r="F25" s="111">
        <v>1.2159998702227401E-14</v>
      </c>
      <c r="G25" s="111">
        <v>8.4203780521106827E-15</v>
      </c>
      <c r="H25" s="111">
        <v>5.7550256317833967E-15</v>
      </c>
      <c r="I25" s="111">
        <v>3.8612202629601335E-15</v>
      </c>
      <c r="J25" s="111">
        <v>2.5212735783911113E-15</v>
      </c>
      <c r="K25" s="111">
        <v>1.5786195862207065E-15</v>
      </c>
      <c r="L25" s="111">
        <v>9.2063943214392437E-16</v>
      </c>
      <c r="M25" s="111">
        <v>4.6632123544851656E-16</v>
      </c>
      <c r="N25" s="111">
        <v>1.5739156428836625E-16</v>
      </c>
      <c r="O25" s="111">
        <v>-4.8059911737851751E-17</v>
      </c>
      <c r="P25" s="111" t="e">
        <v>#VALUE!</v>
      </c>
      <c r="T25" s="107">
        <v>23</v>
      </c>
      <c r="U25" s="27">
        <f t="shared" si="0"/>
        <v>1.9166666666666667</v>
      </c>
      <c r="V25" s="18">
        <f t="shared" si="1"/>
        <v>60444000</v>
      </c>
      <c r="W25" s="123">
        <f>POWER($V25-$V14,W$1)/FACT(W$1)</f>
        <v>28908000</v>
      </c>
      <c r="X25" s="123">
        <f>POWER($V25-$V14,X$1)/FACT(X$1)</f>
        <v>417836232000000</v>
      </c>
      <c r="Y25" s="123">
        <f>POWER($V25-$V14,Y$1)/FACT(Y$1)</f>
        <v>4.0262699315519999E+21</v>
      </c>
      <c r="Z25" s="123">
        <f>POWER($V25-$V14,Z$1)/FACT(Z$1)</f>
        <v>2.9097852795326301E+28</v>
      </c>
      <c r="AA25" s="123">
        <f>POWER($V25-$V14,AA$1)/FACT(AA$1)</f>
        <v>1.6823214572145855E+35</v>
      </c>
      <c r="AB25" s="123"/>
      <c r="AC25" s="125">
        <f t="array" ref="AC25:AJ25">AC14:AJ14+TRANSPOSE(G$12:G$19)*W25+TRANSPOSE(G$22:G$29)*X25+TRANSPOSE(G$32:G$39)*Y25+TRANSPOSE(G$42:G$49)*Z25+TRANSPOSE(G$52:G$59)*AA25</f>
        <v>13.456654519722388</v>
      </c>
      <c r="AD25" s="42">
        <v>3328.1116049171728</v>
      </c>
      <c r="AE25" s="42">
        <v>1251.6326340384549</v>
      </c>
      <c r="AF25" s="42">
        <v>204.75035349053479</v>
      </c>
      <c r="AG25" s="42">
        <v>91.29460954206256</v>
      </c>
      <c r="AH25" s="42">
        <v>52.574533211183137</v>
      </c>
      <c r="AI25" s="42">
        <v>89.21042828763909</v>
      </c>
      <c r="AJ25" s="42">
        <v>25056.016974623184</v>
      </c>
      <c r="AL25" s="19"/>
    </row>
    <row r="26" spans="5:38">
      <c r="E26" s="110"/>
      <c r="F26" s="111">
        <v>-1.679806439102451E-15</v>
      </c>
      <c r="G26" s="111">
        <v>-1.1586014351225784E-15</v>
      </c>
      <c r="H26" s="111">
        <v>-7.9435200231096675E-16</v>
      </c>
      <c r="I26" s="111">
        <v>-5.4269008499966634E-16</v>
      </c>
      <c r="J26" s="111">
        <v>-3.7148186351830804E-16</v>
      </c>
      <c r="K26" s="111">
        <v>-2.5746122505977206E-16</v>
      </c>
      <c r="L26" s="111">
        <v>-1.8379500689845469E-16</v>
      </c>
      <c r="M26" s="111">
        <v>-1.3832037119635776E-16</v>
      </c>
      <c r="N26" s="111">
        <v>-1.122674168311325E-16</v>
      </c>
      <c r="O26" s="111">
        <v>-9.9332418654297305E-17</v>
      </c>
      <c r="P26" s="111" t="e">
        <v>#VALUE!</v>
      </c>
      <c r="T26" s="107">
        <v>24</v>
      </c>
      <c r="U26" s="27">
        <f t="shared" si="0"/>
        <v>2</v>
      </c>
      <c r="V26" s="18">
        <f t="shared" si="1"/>
        <v>63072000</v>
      </c>
      <c r="W26" s="123">
        <f>POWER($V26-$V14,W$1)/FACT(W$1)</f>
        <v>31536000</v>
      </c>
      <c r="X26" s="123">
        <f>POWER($V26-$V14,X$1)/FACT(X$1)</f>
        <v>497259648000000</v>
      </c>
      <c r="Y26" s="123">
        <f>POWER($V26-$V14,Y$1)/FACT(Y$1)</f>
        <v>5.227193419776E+21</v>
      </c>
      <c r="Z26" s="123">
        <f>POWER($V26-$V14,Z$1)/FACT(Z$1)</f>
        <v>4.121119292151398E+28</v>
      </c>
      <c r="AA26" s="123">
        <f>POWER($V26-$V14,AA$1)/FACT(AA$1)</f>
        <v>2.5992723599457299E+35</v>
      </c>
      <c r="AB26" s="123"/>
      <c r="AC26" s="125">
        <f t="array" ref="AC26:AJ26">AC14:AJ14+TRANSPOSE(G$12:G$19)*W26+TRANSPOSE(G$22:G$29)*X26+TRANSPOSE(G$32:G$39)*Y26+TRANSPOSE(G$42:G$49)*Z26+TRANSPOSE(G$52:G$59)*AA26</f>
        <v>13.255067048999207</v>
      </c>
      <c r="AD26" s="42">
        <v>3321.8871180238534</v>
      </c>
      <c r="AE26" s="42">
        <v>1255.2404949904512</v>
      </c>
      <c r="AF26" s="42">
        <v>203.78225957471884</v>
      </c>
      <c r="AG26" s="42">
        <v>91.604008636293543</v>
      </c>
      <c r="AH26" s="42">
        <v>52.530479178310763</v>
      </c>
      <c r="AI26" s="42">
        <v>87.508966605958804</v>
      </c>
      <c r="AJ26" s="42">
        <v>24991.505149790148</v>
      </c>
      <c r="AL26" s="19"/>
    </row>
    <row r="27" spans="5:38">
      <c r="E27" s="110"/>
      <c r="F27" s="111">
        <v>-1.6567906654507515E-15</v>
      </c>
      <c r="G27" s="111">
        <v>-9.1460516181529336E-16</v>
      </c>
      <c r="H27" s="111">
        <v>-4.4432424493305531E-16</v>
      </c>
      <c r="I27" s="111">
        <v>-1.5714654885478787E-16</v>
      </c>
      <c r="J27" s="111">
        <v>8.5099799711189817E-18</v>
      </c>
      <c r="K27" s="111">
        <v>9.5062185851496522E-17</v>
      </c>
      <c r="L27" s="111">
        <v>1.3147941581897202E-16</v>
      </c>
      <c r="M27" s="111">
        <v>1.3733505681789252E-16</v>
      </c>
      <c r="N27" s="111">
        <v>1.2567105865314071E-16</v>
      </c>
      <c r="O27" s="111">
        <v>1.0501782302509777E-16</v>
      </c>
      <c r="P27" s="111" t="e">
        <v>#VALUE!</v>
      </c>
      <c r="T27" s="107">
        <v>25</v>
      </c>
      <c r="U27" s="27">
        <f t="shared" si="0"/>
        <v>2.0833333333333335</v>
      </c>
      <c r="V27" s="18">
        <f t="shared" si="1"/>
        <v>65700000</v>
      </c>
      <c r="W27" s="123">
        <f>POWER($V27-$V26,W$1)/FACT(W$1)</f>
        <v>2628000</v>
      </c>
      <c r="X27" s="123">
        <f>POWER($V27-$V26,X$1)/FACT(X$1)</f>
        <v>3453192000000</v>
      </c>
      <c r="Y27" s="123">
        <f>POWER($V27-$V26,Y$1)/FACT(Y$1)</f>
        <v>3.024996192E+18</v>
      </c>
      <c r="Z27" s="123">
        <f>POWER($V27-$V26,Z$1)/FACT(Z$1)</f>
        <v>1.9874224981439998E+24</v>
      </c>
      <c r="AA27" s="123">
        <f>POWER($V27-$V26,AA$1)/FACT(AA$1)</f>
        <v>1.0445892650244864E+30</v>
      </c>
      <c r="AB27" s="123"/>
      <c r="AC27" s="125">
        <f t="array" ref="AC27:AJ27">AC26:AJ26+TRANSPOSE(H$12:H$19)*W27+TRANSPOSE(H$22:H$29)*X27+TRANSPOSE(H$32:H$39)*Y27+TRANSPOSE(H$42:H$49)*Z27+TRANSPOSE(H$52:H$59)*AA27</f>
        <v>13.056499770190161</v>
      </c>
      <c r="AD27" s="42">
        <v>3315.635631102768</v>
      </c>
      <c r="AE27" s="42">
        <v>1258.7991750630374</v>
      </c>
      <c r="AF27" s="42">
        <v>202.85398137494013</v>
      </c>
      <c r="AG27" s="42">
        <v>91.907911723565761</v>
      </c>
      <c r="AH27" s="42">
        <v>52.483334183176687</v>
      </c>
      <c r="AI27" s="42">
        <v>85.840101088368527</v>
      </c>
      <c r="AJ27" s="42">
        <v>24927.159423900812</v>
      </c>
      <c r="AL27" s="19"/>
    </row>
    <row r="28" spans="5:38">
      <c r="E28" s="110"/>
      <c r="F28" s="111">
        <v>7.5066686297112245E-15</v>
      </c>
      <c r="G28" s="111">
        <v>5.951256636585318E-15</v>
      </c>
      <c r="H28" s="111">
        <v>4.7181459249987776E-15</v>
      </c>
      <c r="I28" s="111">
        <v>3.7405515153525594E-15</v>
      </c>
      <c r="J28" s="111">
        <v>2.9655270577543055E-15</v>
      </c>
      <c r="K28" s="111">
        <v>2.3510973245176845E-15</v>
      </c>
      <c r="L28" s="111">
        <v>1.8639848760955656E-15</v>
      </c>
      <c r="M28" s="111">
        <v>1.477807783123978E-15</v>
      </c>
      <c r="N28" s="111">
        <v>1.1716507979583419E-15</v>
      </c>
      <c r="O28" s="111">
        <v>9.2893259383631836E-16</v>
      </c>
      <c r="P28" s="111" t="e">
        <v>#VALUE!</v>
      </c>
      <c r="T28" s="107">
        <v>26</v>
      </c>
      <c r="U28" s="27">
        <f t="shared" si="0"/>
        <v>2.1666666666666665</v>
      </c>
      <c r="V28" s="18">
        <f t="shared" si="1"/>
        <v>68328000</v>
      </c>
      <c r="W28" s="123">
        <f>POWER($V28-$V26,W$1)/FACT(W$1)</f>
        <v>5256000</v>
      </c>
      <c r="X28" s="123">
        <f>POWER($V28-$V26,X$1)/FACT(X$1)</f>
        <v>13812768000000</v>
      </c>
      <c r="Y28" s="123">
        <f>POWER($V28-$V26,Y$1)/FACT(Y$1)</f>
        <v>2.4199969536E+19</v>
      </c>
      <c r="Z28" s="123">
        <f>POWER($V28-$V26,Z$1)/FACT(Z$1)</f>
        <v>3.1798759970303997E+25</v>
      </c>
      <c r="AA28" s="123">
        <f>POWER($V28-$V26,AA$1)/FACT(AA$1)</f>
        <v>3.3426856480783565E+31</v>
      </c>
      <c r="AB28" s="123"/>
      <c r="AC28" s="125">
        <f t="array" ref="AC28:AJ28">AC26:AJ26+TRANSPOSE(H$12:H$19)*W28+TRANSPOSE(H$22:H$29)*X28+TRANSPOSE(H$32:H$39)*Y28+TRANSPOSE(H$42:H$49)*Z28+TRANSPOSE(H$52:H$59)*AA28</f>
        <v>12.86090712469603</v>
      </c>
      <c r="AD28" s="42">
        <v>3309.3580127789592</v>
      </c>
      <c r="AE28" s="42">
        <v>1262.3089208085707</v>
      </c>
      <c r="AF28" s="42">
        <v>201.96418319161731</v>
      </c>
      <c r="AG28" s="42">
        <v>92.206499269561206</v>
      </c>
      <c r="AH28" s="42">
        <v>52.433326463111513</v>
      </c>
      <c r="AI28" s="42">
        <v>84.203197471780243</v>
      </c>
      <c r="AJ28" s="42">
        <v>24862.979369285847</v>
      </c>
      <c r="AL28" s="19"/>
    </row>
    <row r="29" spans="5:38">
      <c r="E29" s="110"/>
      <c r="F29" s="111">
        <v>2.5585085754005783E-14</v>
      </c>
      <c r="G29" s="111">
        <v>2.4805693276245757E-14</v>
      </c>
      <c r="H29" s="111">
        <v>2.4050043968529897E-14</v>
      </c>
      <c r="I29" s="111">
        <v>2.3317414307672569E-14</v>
      </c>
      <c r="J29" s="111">
        <v>2.2607102879900009E-14</v>
      </c>
      <c r="K29" s="111">
        <v>2.191842968831588E-14</v>
      </c>
      <c r="L29" s="111">
        <v>2.1250735486692397E-14</v>
      </c>
      <c r="M29" s="111">
        <v>2.0603381137339345E-14</v>
      </c>
      <c r="N29" s="111">
        <v>1.9975746991274601E-14</v>
      </c>
      <c r="O29" s="111">
        <v>1.9367232289263278E-14</v>
      </c>
      <c r="P29" s="111" t="e">
        <v>#VALUE!</v>
      </c>
      <c r="T29" s="107">
        <v>27</v>
      </c>
      <c r="U29" s="27">
        <f t="shared" si="0"/>
        <v>2.25</v>
      </c>
      <c r="V29" s="18">
        <f t="shared" si="1"/>
        <v>70956000</v>
      </c>
      <c r="W29" s="123">
        <f>POWER($V29-$V26,W$1)/FACT(W$1)</f>
        <v>7884000</v>
      </c>
      <c r="X29" s="123">
        <f>POWER($V29-$V26,X$1)/FACT(X$1)</f>
        <v>31078728000000</v>
      </c>
      <c r="Y29" s="123">
        <f>POWER($V29-$V26,Y$1)/FACT(Y$1)</f>
        <v>8.1674897184E+19</v>
      </c>
      <c r="Z29" s="123">
        <f>POWER($V29-$V26,Z$1)/FACT(Z$1)</f>
        <v>1.6098122234966398E+26</v>
      </c>
      <c r="AA29" s="123">
        <f>POWER($V29-$V26,AA$1)/FACT(AA$1)</f>
        <v>2.5383519140095018E+32</v>
      </c>
      <c r="AB29" s="123"/>
      <c r="AC29" s="125">
        <f t="array" ref="AC29:AJ29">AC26:AJ26+TRANSPOSE(H$12:H$19)*W29+TRANSPOSE(H$22:H$29)*X29+TRANSPOSE(H$32:H$39)*Y29+TRANSPOSE(H$42:H$49)*Z29+TRANSPOSE(H$52:H$59)*AA29</f>
        <v>12.668244550962335</v>
      </c>
      <c r="AD29" s="42">
        <v>3303.0551029079093</v>
      </c>
      <c r="AE29" s="42">
        <v>1265.769983891272</v>
      </c>
      <c r="AF29" s="42">
        <v>201.11163122513597</v>
      </c>
      <c r="AG29" s="42">
        <v>92.499937076370131</v>
      </c>
      <c r="AH29" s="42">
        <v>52.380654306458439</v>
      </c>
      <c r="AI29" s="42">
        <v>82.597643276821245</v>
      </c>
      <c r="AJ29" s="42">
        <v>24798.964559389871</v>
      </c>
      <c r="AL29" s="19"/>
    </row>
    <row r="30" spans="5:38">
      <c r="E30" s="110"/>
      <c r="F30" s="110"/>
      <c r="T30" s="107">
        <v>28</v>
      </c>
      <c r="U30" s="27">
        <f t="shared" si="0"/>
        <v>2.3333333333333335</v>
      </c>
      <c r="V30" s="18">
        <f t="shared" si="1"/>
        <v>73584000</v>
      </c>
      <c r="W30" s="123">
        <f>POWER($V30-$V26,W$1)/FACT(W$1)</f>
        <v>10512000</v>
      </c>
      <c r="X30" s="123">
        <f>POWER($V30-$V26,X$1)/FACT(X$1)</f>
        <v>55251072000000</v>
      </c>
      <c r="Y30" s="123">
        <f>POWER($V30-$V26,Y$1)/FACT(Y$1)</f>
        <v>1.93599756288E+20</v>
      </c>
      <c r="Z30" s="123">
        <f>POWER($V30-$V26,Z$1)/FACT(Z$1)</f>
        <v>5.0878015952486396E+26</v>
      </c>
      <c r="AA30" s="123">
        <f>POWER($V30-$V26,AA$1)/FACT(AA$1)</f>
        <v>1.0696594073850741E+33</v>
      </c>
      <c r="AB30" s="123"/>
      <c r="AC30" s="125">
        <f t="array" ref="AC30:AJ30">AC26:AJ26+TRANSPOSE(H$12:H$19)*W30+TRANSPOSE(H$22:H$29)*X30+TRANSPOSE(H$32:H$39)*Y30+TRANSPOSE(H$42:H$49)*Z30+TRANSPOSE(H$52:H$59)*AA30</f>
        <v>12.478468154650665</v>
      </c>
      <c r="AD30" s="42">
        <v>3296.7277250933471</v>
      </c>
      <c r="AE30" s="42">
        <v>1269.1826173114457</v>
      </c>
      <c r="AF30" s="42">
        <v>200.29512632038612</v>
      </c>
      <c r="AG30" s="42">
        <v>92.788385892495796</v>
      </c>
      <c r="AH30" s="42">
        <v>52.32550790918674</v>
      </c>
      <c r="AI30" s="42">
        <v>81.022837751858503</v>
      </c>
      <c r="AJ30" s="42">
        <v>24735.114568755766</v>
      </c>
      <c r="AL30" s="19"/>
    </row>
    <row r="31" spans="5:38" ht="15">
      <c r="E31" s="110"/>
      <c r="F31" s="110"/>
      <c r="Q31" s="108"/>
      <c r="T31" s="107">
        <v>29</v>
      </c>
      <c r="U31" s="27">
        <f t="shared" si="0"/>
        <v>2.4166666666666665</v>
      </c>
      <c r="V31" s="18">
        <f t="shared" si="1"/>
        <v>76212000</v>
      </c>
      <c r="W31" s="123">
        <f>POWER($V31-$V26,W$1)/FACT(W$1)</f>
        <v>13140000</v>
      </c>
      <c r="X31" s="123">
        <f>POWER($V31-$V26,X$1)/FACT(X$1)</f>
        <v>86329800000000</v>
      </c>
      <c r="Y31" s="123">
        <f>POWER($V31-$V26,Y$1)/FACT(Y$1)</f>
        <v>3.7812452400000002E+20</v>
      </c>
      <c r="Z31" s="123">
        <f>POWER($V31-$V26,Z$1)/FACT(Z$1)</f>
        <v>1.2421390613399999E+27</v>
      </c>
      <c r="AA31" s="123">
        <f>POWER($V31-$V26,AA$1)/FACT(AA$1)</f>
        <v>3.2643414532015203E+33</v>
      </c>
      <c r="AB31" s="123"/>
      <c r="AC31" s="125">
        <f t="array" ref="AC31:AJ31">AC26:AJ26+TRANSPOSE(H$12:H$19)*W31+TRANSPOSE(H$22:H$29)*X31+TRANSPOSE(H$32:H$39)*Y31+TRANSPOSE(H$42:H$49)*Z31+TRANSPOSE(H$52:H$59)*AA31</f>
        <v>12.291534698254363</v>
      </c>
      <c r="AD31" s="42">
        <v>3290.37668700006</v>
      </c>
      <c r="AE31" s="42">
        <v>1272.5470753310822</v>
      </c>
      <c r="AF31" s="42">
        <v>199.51350295466963</v>
      </c>
      <c r="AG31" s="42">
        <v>93.072001561819349</v>
      </c>
      <c r="AH31" s="42">
        <v>52.268069665978572</v>
      </c>
      <c r="AI31" s="42">
        <v>79.478191636930461</v>
      </c>
      <c r="AJ31" s="42">
        <v>24671.428973021826</v>
      </c>
      <c r="AL31" s="19"/>
    </row>
    <row r="32" spans="5:38" ht="15">
      <c r="E32" s="108" t="s">
        <v>151</v>
      </c>
      <c r="F32" s="111">
        <f t="array" ref="F32:F39">MMULT($F$2:$M$9,F22:F29)</f>
        <v>-3.6076754611934906E-24</v>
      </c>
      <c r="G32" s="111">
        <f t="array" ref="G32:G39">MMULT($F$2:$M$9,G22:G29)</f>
        <v>-3.0099929335515269E-24</v>
      </c>
      <c r="H32" s="111">
        <f t="array" ref="H32:H39">MMULT($F$2:$M$9,H22:H29)</f>
        <v>-2.5113282936577892E-24</v>
      </c>
      <c r="I32" s="111">
        <f t="array" ref="I32:I39">MMULT($F$2:$M$9,I22:I29)</f>
        <v>-2.0952772773073288E-24</v>
      </c>
      <c r="J32" s="111">
        <f t="array" ref="J32:J39">MMULT($F$2:$M$9,J22:J29)</f>
        <v>-1.7481533098988172E-24</v>
      </c>
      <c r="K32" s="111">
        <f t="array" ref="K32:K39">MMULT($F$2:$M$9,K22:K29)</f>
        <v>-1.4585372676009504E-24</v>
      </c>
      <c r="L32" s="111">
        <f t="array" ref="L32:L39">MMULT($F$2:$M$9,L22:L29)</f>
        <v>-1.2169018294533766E-24</v>
      </c>
      <c r="M32" s="111">
        <f t="array" ref="M32:M39">MMULT($F$2:$M$9,M22:M29)</f>
        <v>-1.0152980629440655E-24</v>
      </c>
      <c r="N32" s="111">
        <f t="array" ref="N32:N39">MMULT($F$2:$M$9,N22:N29)</f>
        <v>-8.4709393286146435E-25</v>
      </c>
      <c r="O32" s="111">
        <f t="array" ref="O32:O39">MMULT($F$2:$M$9,O22:O29)</f>
        <v>-7.0675613130785111E-25</v>
      </c>
      <c r="P32" s="111" t="e">
        <f t="array" ref="P32:P39">MMULT($F$2:$M$9,P22:P29)</f>
        <v>#VALUE!</v>
      </c>
      <c r="T32" s="107">
        <v>30</v>
      </c>
      <c r="U32" s="27">
        <f t="shared" si="0"/>
        <v>2.5</v>
      </c>
      <c r="V32" s="18">
        <f t="shared" si="1"/>
        <v>78840000</v>
      </c>
      <c r="W32" s="123">
        <f>POWER($V32-$V26,W$1)/FACT(W$1)</f>
        <v>15768000</v>
      </c>
      <c r="X32" s="123">
        <f>POWER($V32-$V26,X$1)/FACT(X$1)</f>
        <v>124314912000000</v>
      </c>
      <c r="Y32" s="123">
        <f>POWER($V32-$V26,Y$1)/FACT(Y$1)</f>
        <v>6.53399177472E+20</v>
      </c>
      <c r="Z32" s="123">
        <f>POWER($V32-$V26,Z$1)/FACT(Z$1)</f>
        <v>2.5756995575946237E+27</v>
      </c>
      <c r="AA32" s="123">
        <f>POWER($V32-$V26,AA$1)/FACT(AA$1)</f>
        <v>8.1227261248304059E+33</v>
      </c>
      <c r="AB32" s="123"/>
      <c r="AC32" s="125">
        <f t="array" ref="AC32:AJ32">AC26:AJ26+TRANSPOSE(H$12:H$19)*W32+TRANSPOSE(H$22:H$29)*X32+TRANSPOSE(H$32:H$39)*Y32+TRANSPOSE(H$42:H$49)*Z32+TRANSPOSE(H$52:H$59)*AA32</f>
        <v>12.107401590714213</v>
      </c>
      <c r="AD32" s="42">
        <v>3284.0027806667067</v>
      </c>
      <c r="AE32" s="42">
        <v>1275.8636133994605</v>
      </c>
      <c r="AF32" s="42">
        <v>198.7656282256074</v>
      </c>
      <c r="AG32" s="42">
        <v>93.350935172564817</v>
      </c>
      <c r="AH32" s="42">
        <v>52.208514461315673</v>
      </c>
      <c r="AI32" s="42">
        <v>77.963126927678999</v>
      </c>
      <c r="AJ32" s="42">
        <v>24607.907348918932</v>
      </c>
      <c r="AL32" s="19"/>
    </row>
    <row r="33" spans="5:38">
      <c r="E33" s="110"/>
      <c r="F33" s="111">
        <v>7.5745118043143909E-23</v>
      </c>
      <c r="G33" s="111">
        <v>6.0142396829950364E-23</v>
      </c>
      <c r="H33" s="111">
        <v>4.7646370563979906E-23</v>
      </c>
      <c r="I33" s="111">
        <v>3.7642233024919539E-23</v>
      </c>
      <c r="J33" s="111">
        <v>2.9636627928714477E-23</v>
      </c>
      <c r="K33" s="111">
        <v>2.3233681300941475E-23</v>
      </c>
      <c r="L33" s="111">
        <v>1.8115760204851552E-23</v>
      </c>
      <c r="M33" s="111">
        <v>1.4028026373786648E-23</v>
      </c>
      <c r="N33" s="111">
        <v>1.0766036769540675E-23</v>
      </c>
      <c r="O33" s="111">
        <v>8.1657904364308332E-24</v>
      </c>
      <c r="P33" s="111" t="e">
        <v>#VALUE!</v>
      </c>
      <c r="T33" s="107">
        <v>31</v>
      </c>
      <c r="U33" s="27">
        <f t="shared" si="0"/>
        <v>2.5833333333333335</v>
      </c>
      <c r="V33" s="18">
        <f t="shared" si="1"/>
        <v>81468000</v>
      </c>
      <c r="W33" s="123">
        <f>POWER($V33-$V26,W$1)/FACT(W$1)</f>
        <v>18396000</v>
      </c>
      <c r="X33" s="123">
        <f>POWER($V33-$V26,X$1)/FACT(X$1)</f>
        <v>169206408000000</v>
      </c>
      <c r="Y33" s="123">
        <f>POWER($V33-$V26,Y$1)/FACT(Y$1)</f>
        <v>1.037573693856E+21</v>
      </c>
      <c r="Z33" s="123">
        <f>POWER($V33-$V26,Z$1)/FACT(Z$1)</f>
        <v>4.7718014180437445E+27</v>
      </c>
      <c r="AA33" s="123">
        <f>POWER($V33-$V26,AA$1)/FACT(AA$1)</f>
        <v>1.7556411777266544E+34</v>
      </c>
      <c r="AB33" s="123"/>
      <c r="AC33" s="125">
        <f t="array" ref="AC33:AJ33">AC26:AJ26+TRANSPOSE(H$12:H$19)*W33+TRANSPOSE(H$22:H$29)*X33+TRANSPOSE(H$32:H$39)*Y33+TRANSPOSE(H$42:H$49)*Z33+TRANSPOSE(H$52:H$59)*AA33</f>
        <v>11.926026877034111</v>
      </c>
      <c r="AD33" s="42">
        <v>3277.6067828186324</v>
      </c>
      <c r="AE33" s="42">
        <v>1279.1324880787527</v>
      </c>
      <c r="AF33" s="42">
        <v>198.050400839047</v>
      </c>
      <c r="AG33" s="42">
        <v>93.625333206263846</v>
      </c>
      <c r="AH33" s="42">
        <v>52.147009960566209</v>
      </c>
      <c r="AI33" s="42">
        <v>76.477076639281293</v>
      </c>
      <c r="AJ33" s="42">
        <v>24544.549274267654</v>
      </c>
      <c r="AL33" s="19"/>
    </row>
    <row r="34" spans="5:38">
      <c r="E34" s="110"/>
      <c r="F34" s="111">
        <v>1.0358248644650676E-23</v>
      </c>
      <c r="G34" s="111">
        <v>1.2442463292434514E-23</v>
      </c>
      <c r="H34" s="111">
        <v>1.3748221415481612E-23</v>
      </c>
      <c r="I34" s="111">
        <v>1.4460482948184042E-23</v>
      </c>
      <c r="J34" s="111">
        <v>1.4725059602823331E-23</v>
      </c>
      <c r="K34" s="111">
        <v>1.4656563425338958E-23</v>
      </c>
      <c r="L34" s="111">
        <v>1.4344768340552193E-23</v>
      </c>
      <c r="M34" s="111">
        <v>1.3859699263696218E-23</v>
      </c>
      <c r="N34" s="111">
        <v>1.3255701208177969E-23</v>
      </c>
      <c r="O34" s="111">
        <v>1.2574690929356908E-23</v>
      </c>
      <c r="P34" s="111" t="e">
        <v>#VALUE!</v>
      </c>
      <c r="T34" s="107">
        <v>32</v>
      </c>
      <c r="U34" s="27">
        <f t="shared" si="0"/>
        <v>2.6666666666666665</v>
      </c>
      <c r="V34" s="18">
        <f t="shared" si="1"/>
        <v>84096000</v>
      </c>
      <c r="W34" s="123">
        <f>POWER($V34-$V26,W$1)/FACT(W$1)</f>
        <v>21024000</v>
      </c>
      <c r="X34" s="123">
        <f>POWER($V34-$V26,X$1)/FACT(X$1)</f>
        <v>221004288000000</v>
      </c>
      <c r="Y34" s="123">
        <f>POWER($V34-$V26,Y$1)/FACT(Y$1)</f>
        <v>1.548798050304E+21</v>
      </c>
      <c r="Z34" s="123">
        <f>POWER($V34-$V26,Z$1)/FACT(Z$1)</f>
        <v>8.1404825523978233E+27</v>
      </c>
      <c r="AA34" s="123">
        <f>POWER($V34-$V26,AA$1)/FACT(AA$1)</f>
        <v>3.422910103632237E+34</v>
      </c>
      <c r="AB34" s="123"/>
      <c r="AC34" s="125">
        <f t="array" ref="AC34:AJ34">AC26:AJ26+TRANSPOSE(H$12:H$19)*W34+TRANSPOSE(H$22:H$29)*X34+TRANSPOSE(H$32:H$39)*Y34+TRANSPOSE(H$42:H$49)*Z34+TRANSPOSE(H$52:H$59)*AA34</f>
        <v>11.747369227896757</v>
      </c>
      <c r="AD34" s="42">
        <v>3271.189455180684</v>
      </c>
      <c r="AE34" s="42">
        <v>1282.3539569696254</v>
      </c>
      <c r="AF34" s="42">
        <v>197.36675009697015</v>
      </c>
      <c r="AG34" s="42">
        <v>93.895337686720723</v>
      </c>
      <c r="AH34" s="42">
        <v>52.083716901071476</v>
      </c>
      <c r="AI34" s="42">
        <v>75.019484570381806</v>
      </c>
      <c r="AJ34" s="42">
        <v>24481.354327975474</v>
      </c>
      <c r="AL34" s="19"/>
    </row>
    <row r="35" spans="5:38">
      <c r="E35" s="110"/>
      <c r="F35" s="111">
        <v>-1.3968648751372118E-22</v>
      </c>
      <c r="G35" s="111">
        <v>-9.9678014257462694E-23</v>
      </c>
      <c r="H35" s="111">
        <v>-7.0938796343938486E-23</v>
      </c>
      <c r="I35" s="111">
        <v>-5.0302669023773495E-23</v>
      </c>
      <c r="J35" s="111">
        <v>-3.5494042688701332E-23</v>
      </c>
      <c r="K35" s="111">
        <v>-2.4876974193054963E-23</v>
      </c>
      <c r="L35" s="111">
        <v>-1.7275044219823766E-23</v>
      </c>
      <c r="M35" s="111">
        <v>-1.1842038606341911E-23</v>
      </c>
      <c r="N35" s="111">
        <v>-7.9690865186215386E-24</v>
      </c>
      <c r="O35" s="111">
        <v>-5.2179636530135184E-24</v>
      </c>
      <c r="P35" s="111" t="e">
        <v>#VALUE!</v>
      </c>
      <c r="T35" s="107">
        <v>33</v>
      </c>
      <c r="U35" s="27">
        <f t="shared" si="0"/>
        <v>2.75</v>
      </c>
      <c r="V35" s="18">
        <f t="shared" si="1"/>
        <v>86724000</v>
      </c>
      <c r="W35" s="123">
        <f>POWER($V35-$V26,W$1)/FACT(W$1)</f>
        <v>23652000</v>
      </c>
      <c r="X35" s="123">
        <f>POWER($V35-$V26,X$1)/FACT(X$1)</f>
        <v>279708552000000</v>
      </c>
      <c r="Y35" s="123">
        <f>POWER($V35-$V26,Y$1)/FACT(Y$1)</f>
        <v>2.205222223968E+21</v>
      </c>
      <c r="Z35" s="123">
        <f>POWER($V35-$V26,Z$1)/FACT(Z$1)</f>
        <v>1.3039479010322784E+28</v>
      </c>
      <c r="AA35" s="123">
        <f>POWER($V35-$V26,AA$1)/FACT(AA$1)</f>
        <v>6.1681951510430897E+34</v>
      </c>
      <c r="AB35" s="123"/>
      <c r="AC35" s="125">
        <f t="array" ref="AC35:AJ35">AC26:AJ26+TRANSPOSE(H$12:H$19)*W35+TRANSPOSE(H$22:H$29)*X35+TRANSPOSE(H$32:H$39)*Y35+TRANSPOSE(H$42:H$49)*Z35+TRANSPOSE(H$52:H$59)*AA35</f>
        <v>11.571387929279327</v>
      </c>
      <c r="AD35" s="42">
        <v>3264.7515447900191</v>
      </c>
      <c r="AE35" s="42">
        <v>1285.5282786368462</v>
      </c>
      <c r="AF35" s="42">
        <v>196.71363488540001</v>
      </c>
      <c r="AG35" s="42">
        <v>94.161086328977177</v>
      </c>
      <c r="AH35" s="42">
        <v>52.018789383232686</v>
      </c>
      <c r="AI35" s="42">
        <v>73.589805067023974</v>
      </c>
      <c r="AJ35" s="42">
        <v>24418.322090033886</v>
      </c>
      <c r="AL35" s="19"/>
    </row>
    <row r="36" spans="5:38">
      <c r="E36" s="110"/>
      <c r="F36" s="111">
        <v>1.9609464310136456E-23</v>
      </c>
      <c r="G36" s="111">
        <v>1.3765302236947176E-23</v>
      </c>
      <c r="H36" s="111">
        <v>9.5671282553468319E-24</v>
      </c>
      <c r="I36" s="111">
        <v>6.5611131445617558E-24</v>
      </c>
      <c r="J36" s="111">
        <v>4.418443047135917E-24</v>
      </c>
      <c r="K36" s="111">
        <v>2.9006777225265034E-24</v>
      </c>
      <c r="L36" s="111">
        <v>1.8347708410550687E-24</v>
      </c>
      <c r="M36" s="111">
        <v>1.0950434174412513E-24</v>
      </c>
      <c r="N36" s="111">
        <v>5.9016374720432675E-25</v>
      </c>
      <c r="O36" s="111">
        <v>2.5373445632202843E-25</v>
      </c>
      <c r="P36" s="111" t="e">
        <v>#VALUE!</v>
      </c>
      <c r="T36" s="107">
        <v>34</v>
      </c>
      <c r="U36" s="27">
        <f t="shared" si="0"/>
        <v>2.8333333333333335</v>
      </c>
      <c r="V36" s="18">
        <f t="shared" si="1"/>
        <v>89352000</v>
      </c>
      <c r="W36" s="123">
        <f>POWER($V36-$V26,W$1)/FACT(W$1)</f>
        <v>26280000</v>
      </c>
      <c r="X36" s="123">
        <f>POWER($V36-$V26,X$1)/FACT(X$1)</f>
        <v>345319200000000</v>
      </c>
      <c r="Y36" s="123">
        <f>POWER($V36-$V26,Y$1)/FACT(Y$1)</f>
        <v>3.0249961920000001E+21</v>
      </c>
      <c r="Z36" s="123">
        <f>POWER($V36-$V26,Z$1)/FACT(Z$1)</f>
        <v>1.9874224981439999E+28</v>
      </c>
      <c r="AA36" s="123">
        <f>POWER($V36-$V26,AA$1)/FACT(AA$1)</f>
        <v>1.0445892650244865E+35</v>
      </c>
      <c r="AB36" s="123"/>
      <c r="AC36" s="125">
        <f t="array" ref="AC36:AJ36">AC26:AJ26+TRANSPOSE(H$12:H$19)*W36+TRANSPOSE(H$22:H$29)*X36+TRANSPOSE(H$32:H$39)*Y36+TRANSPOSE(H$42:H$49)*Z36+TRANSPOSE(H$52:H$59)*AA36</f>
        <v>11.398042872069167</v>
      </c>
      <c r="AD36" s="42">
        <v>3258.2937843089207</v>
      </c>
      <c r="AE36" s="42">
        <v>1288.6557125348852</v>
      </c>
      <c r="AF36" s="42">
        <v>196.0900426623086</v>
      </c>
      <c r="AG36" s="42">
        <v>94.422712688277301</v>
      </c>
      <c r="AH36" s="42">
        <v>51.952375161597764</v>
      </c>
      <c r="AI36" s="42">
        <v>72.1875027865823</v>
      </c>
      <c r="AJ36" s="42">
        <v>24355.452141515569</v>
      </c>
      <c r="AL36" s="19"/>
    </row>
    <row r="37" spans="5:38">
      <c r="E37" s="110"/>
      <c r="F37" s="111">
        <v>2.9067081350617313E-23</v>
      </c>
      <c r="G37" s="111">
        <v>1.8666143914016897E-23</v>
      </c>
      <c r="H37" s="111">
        <v>1.1621849666180079E-23</v>
      </c>
      <c r="I37" s="111">
        <v>6.9117913631873815E-24</v>
      </c>
      <c r="J37" s="111">
        <v>3.8150471288366434E-24</v>
      </c>
      <c r="K37" s="111">
        <v>1.8248906313260629E-24</v>
      </c>
      <c r="L37" s="111">
        <v>5.8651464225597265E-25</v>
      </c>
      <c r="M37" s="111">
        <v>-1.4735835668867083E-25</v>
      </c>
      <c r="N37" s="111">
        <v>-5.4808100662855791E-25</v>
      </c>
      <c r="O37" s="111">
        <v>-7.335537765399998E-25</v>
      </c>
      <c r="P37" s="111" t="e">
        <v>#VALUE!</v>
      </c>
      <c r="T37" s="107">
        <v>35</v>
      </c>
      <c r="U37" s="27">
        <f t="shared" si="0"/>
        <v>2.9166666666666665</v>
      </c>
      <c r="V37" s="18">
        <f t="shared" si="1"/>
        <v>91980000</v>
      </c>
      <c r="W37" s="123">
        <f>POWER($V37-$V26,W$1)/FACT(W$1)</f>
        <v>28908000</v>
      </c>
      <c r="X37" s="123">
        <f>POWER($V37-$V26,X$1)/FACT(X$1)</f>
        <v>417836232000000</v>
      </c>
      <c r="Y37" s="123">
        <f>POWER($V37-$V26,Y$1)/FACT(Y$1)</f>
        <v>4.0262699315519999E+21</v>
      </c>
      <c r="Z37" s="123">
        <f>POWER($V37-$V26,Z$1)/FACT(Z$1)</f>
        <v>2.9097852795326301E+28</v>
      </c>
      <c r="AA37" s="123">
        <f>POWER($V37-$V26,AA$1)/FACT(AA$1)</f>
        <v>1.6823214572145855E+35</v>
      </c>
      <c r="AB37" s="123"/>
      <c r="AC37" s="125">
        <f t="array" ref="AC37:AJ37">AC26:AJ26+TRANSPOSE(H$12:H$19)*W37+TRANSPOSE(H$22:H$29)*X37+TRANSPOSE(H$32:H$39)*Y37+TRANSPOSE(H$42:H$49)*Z37+TRANSPOSE(H$52:H$59)*AA37</f>
        <v>11.227294541679459</v>
      </c>
      <c r="AD37" s="42">
        <v>3251.8168923376138</v>
      </c>
      <c r="AE37" s="42">
        <v>1291.7365189335176</v>
      </c>
      <c r="AF37" s="42">
        <v>195.49498844552426</v>
      </c>
      <c r="AG37" s="42">
        <v>94.680346309032402</v>
      </c>
      <c r="AH37" s="42">
        <v>51.884615935948069</v>
      </c>
      <c r="AI37" s="42">
        <v>70.812052461694137</v>
      </c>
      <c r="AJ37" s="42">
        <v>24292.744064571529</v>
      </c>
      <c r="AL37" s="19"/>
    </row>
    <row r="38" spans="5:38">
      <c r="E38" s="110"/>
      <c r="F38" s="111">
        <v>-5.5269405959577659E-23</v>
      </c>
      <c r="G38" s="111">
        <v>-4.3816878038243238E-23</v>
      </c>
      <c r="H38" s="111">
        <v>-3.4737459779284617E-23</v>
      </c>
      <c r="I38" s="111">
        <v>-2.75394154759395E-23</v>
      </c>
      <c r="J38" s="111">
        <v>-2.183290207396916E-23</v>
      </c>
      <c r="K38" s="111">
        <v>-1.7308856111058278E-23</v>
      </c>
      <c r="L38" s="111">
        <v>-1.37222554420582E-23</v>
      </c>
      <c r="M38" s="111">
        <v>-1.087884926685316E-23</v>
      </c>
      <c r="N38" s="111">
        <v>-8.6246378055730055E-24</v>
      </c>
      <c r="O38" s="111">
        <v>-6.8375318751308065E-24</v>
      </c>
      <c r="P38" s="111" t="e">
        <v>#VALUE!</v>
      </c>
      <c r="T38" s="107">
        <v>36</v>
      </c>
      <c r="U38" s="27">
        <f t="shared" si="0"/>
        <v>3</v>
      </c>
      <c r="V38" s="18">
        <f t="shared" si="1"/>
        <v>94608000</v>
      </c>
      <c r="W38" s="123">
        <f>POWER($V38-$V26,W$1)/FACT(W$1)</f>
        <v>31536000</v>
      </c>
      <c r="X38" s="123">
        <f>POWER($V38-$V26,X$1)/FACT(X$1)</f>
        <v>497259648000000</v>
      </c>
      <c r="Y38" s="123">
        <f>POWER($V38-$V26,Y$1)/FACT(Y$1)</f>
        <v>5.227193419776E+21</v>
      </c>
      <c r="Z38" s="123">
        <f>POWER($V38-$V26,Z$1)/FACT(Z$1)</f>
        <v>4.121119292151398E+28</v>
      </c>
      <c r="AA38" s="123">
        <f>POWER($V38-$V26,AA$1)/FACT(AA$1)</f>
        <v>2.5992723599457299E+35</v>
      </c>
      <c r="AB38" s="123"/>
      <c r="AC38" s="125">
        <f t="array" ref="AC38:AJ38">AC26:AJ26+TRANSPOSE(H$12:H$19)*W38+TRANSPOSE(H$22:H$29)*X38+TRANSPOSE(H$32:H$39)*Y38+TRANSPOSE(H$42:H$49)*Z38+TRANSPOSE(H$52:H$59)*AA38</f>
        <v>11.059104007664915</v>
      </c>
      <c r="AD38" s="42">
        <v>3245.3215737270743</v>
      </c>
      <c r="AE38" s="42">
        <v>1294.7709588434293</v>
      </c>
      <c r="AF38" s="42">
        <v>194.9275138006391</v>
      </c>
      <c r="AG38" s="42">
        <v>94.934112873785978</v>
      </c>
      <c r="AH38" s="42">
        <v>51.815647642385194</v>
      </c>
      <c r="AI38" s="42">
        <v>69.46293866419164</v>
      </c>
      <c r="AJ38" s="42">
        <v>24230.197442428267</v>
      </c>
      <c r="AL38" s="19"/>
    </row>
    <row r="39" spans="5:38">
      <c r="E39" s="110"/>
      <c r="F39" s="111">
        <v>-2.5098646238064806E-23</v>
      </c>
      <c r="G39" s="111">
        <v>-2.4334044503734473E-23</v>
      </c>
      <c r="H39" s="111">
        <v>-2.3592743627709165E-23</v>
      </c>
      <c r="I39" s="111">
        <v>-2.2874031245152248E-23</v>
      </c>
      <c r="J39" s="111">
        <v>-2.2177217397270805E-23</v>
      </c>
      <c r="K39" s="111">
        <v>-2.1501633654631259E-23</v>
      </c>
      <c r="L39" s="111">
        <v>-2.0846632320913125E-23</v>
      </c>
      <c r="M39" s="111">
        <v>-2.0211585699677868E-23</v>
      </c>
      <c r="N39" s="111">
        <v>-1.9595885411455933E-23</v>
      </c>
      <c r="O39" s="111">
        <v>-1.8998941751856559E-23</v>
      </c>
      <c r="P39" s="111" t="e">
        <v>#VALUE!</v>
      </c>
      <c r="T39" s="107">
        <v>37</v>
      </c>
      <c r="U39" s="27">
        <f t="shared" si="0"/>
        <v>3.0833333333333335</v>
      </c>
      <c r="V39" s="18">
        <f t="shared" si="1"/>
        <v>97236000</v>
      </c>
      <c r="W39" s="123">
        <f>POWER($V39-$V38,W$1)/FACT(W$1)</f>
        <v>2628000</v>
      </c>
      <c r="X39" s="123">
        <f>POWER($V39-$V38,X$1)/FACT(X$1)</f>
        <v>3453192000000</v>
      </c>
      <c r="Y39" s="123">
        <f>POWER($V39-$V38,Y$1)/FACT(Y$1)</f>
        <v>3.024996192E+18</v>
      </c>
      <c r="Z39" s="123">
        <f>POWER($V39-$V38,Z$1)/FACT(Z$1)</f>
        <v>1.9874224981439998E+24</v>
      </c>
      <c r="AA39" s="123">
        <f>POWER($V39-$V38,AA$1)/FACT(AA$1)</f>
        <v>1.0445892650244864E+30</v>
      </c>
      <c r="AB39" s="123"/>
      <c r="AC39" s="125">
        <f t="array" ref="AC39:AJ39">AC38:AJ38+TRANSPOSE(I$12:I$19)*W39+TRANSPOSE(I$22:I$29)*X39+TRANSPOSE(I$32:I$39)*Y39+TRANSPOSE(I$42:I$49)*Z39+TRANSPOSE(I$52:I$59)*AA39</f>
        <v>10.893433311262514</v>
      </c>
      <c r="AD39" s="42">
        <v>3238.8085053162358</v>
      </c>
      <c r="AE39" s="42">
        <v>1297.7592982834792</v>
      </c>
      <c r="AF39" s="42">
        <v>194.38675602403035</v>
      </c>
      <c r="AG39" s="42">
        <v>95.184124241717129</v>
      </c>
      <c r="AH39" s="42">
        <v>51.745578328461491</v>
      </c>
      <c r="AI39" s="42">
        <v>68.139667142941974</v>
      </c>
      <c r="AJ39" s="42">
        <v>24167.811859403737</v>
      </c>
      <c r="AL39" s="19"/>
    </row>
    <row r="40" spans="5:38">
      <c r="E40" s="110"/>
      <c r="F40" s="110"/>
      <c r="T40" s="107">
        <v>38</v>
      </c>
      <c r="U40" s="27">
        <f t="shared" si="0"/>
        <v>3.1666666666666665</v>
      </c>
      <c r="V40" s="18">
        <f t="shared" si="1"/>
        <v>99864000</v>
      </c>
      <c r="W40" s="123">
        <f>POWER($V40-$V38,W$1)/FACT(W$1)</f>
        <v>5256000</v>
      </c>
      <c r="X40" s="123">
        <f>POWER($V40-$V38,X$1)/FACT(X$1)</f>
        <v>13812768000000</v>
      </c>
      <c r="Y40" s="123">
        <f>POWER($V40-$V38,Y$1)/FACT(Y$1)</f>
        <v>2.4199969536E+19</v>
      </c>
      <c r="Z40" s="123">
        <f>POWER($V40-$V38,Z$1)/FACT(Z$1)</f>
        <v>3.1798759970303997E+25</v>
      </c>
      <c r="AA40" s="123">
        <f>POWER($V40-$V38,AA$1)/FACT(AA$1)</f>
        <v>3.3426856480783565E+31</v>
      </c>
      <c r="AB40" s="123"/>
      <c r="AC40" s="125">
        <f t="array" ref="AC40:AJ40">AC38:AJ38+TRANSPOSE(I$12:I$19)*W40+TRANSPOSE(I$22:I$29)*X40+TRANSPOSE(I$32:I$39)*Y40+TRANSPOSE(I$42:I$49)*Z40+TRANSPOSE(I$52:I$59)*AA40</f>
        <v>10.730244441552705</v>
      </c>
      <c r="AD40" s="42">
        <v>3232.2783734133468</v>
      </c>
      <c r="AE40" s="42">
        <v>1300.7017971284224</v>
      </c>
      <c r="AF40" s="42">
        <v>193.8717674977762</v>
      </c>
      <c r="AG40" s="42">
        <v>95.430504464099215</v>
      </c>
      <c r="AH40" s="42">
        <v>51.674545843484481</v>
      </c>
      <c r="AI40" s="42">
        <v>66.84173506222136</v>
      </c>
      <c r="AJ40" s="42">
        <v>24105.586900856815</v>
      </c>
      <c r="AL40" s="19"/>
    </row>
    <row r="41" spans="5:38" ht="15">
      <c r="E41" s="110"/>
      <c r="F41" s="110"/>
      <c r="Q41" s="108"/>
      <c r="T41" s="107">
        <v>39</v>
      </c>
      <c r="U41" s="27">
        <f t="shared" si="0"/>
        <v>3.25</v>
      </c>
      <c r="V41" s="18">
        <f t="shared" si="1"/>
        <v>102492000</v>
      </c>
      <c r="W41" s="123">
        <f>POWER($V41-$V38,W$1)/FACT(W$1)</f>
        <v>7884000</v>
      </c>
      <c r="X41" s="123">
        <f>POWER($V41-$V38,X$1)/FACT(X$1)</f>
        <v>31078728000000</v>
      </c>
      <c r="Y41" s="123">
        <f>POWER($V41-$V38,Y$1)/FACT(Y$1)</f>
        <v>8.1674897184E+19</v>
      </c>
      <c r="Z41" s="123">
        <f>POWER($V41-$V38,Z$1)/FACT(Z$1)</f>
        <v>1.6098122234966398E+26</v>
      </c>
      <c r="AA41" s="123">
        <f>POWER($V41-$V38,AA$1)/FACT(AA$1)</f>
        <v>2.5383519140095018E+32</v>
      </c>
      <c r="AB41" s="123"/>
      <c r="AC41" s="125">
        <f t="array" ref="AC41:AJ41">AC38:AJ38+TRANSPOSE(I$12:I$19)*W41+TRANSPOSE(I$22:I$29)*X41+TRANSPOSE(I$32:I$39)*Y41+TRANSPOSE(I$42:I$49)*Z41+TRANSPOSE(I$52:I$59)*AA41</f>
        <v>10.569500219480572</v>
      </c>
      <c r="AD41" s="42">
        <v>3225.7318412744203</v>
      </c>
      <c r="AE41" s="42">
        <v>1303.5987188249599</v>
      </c>
      <c r="AF41" s="42">
        <v>193.38167380343947</v>
      </c>
      <c r="AG41" s="42">
        <v>95.673367024385755</v>
      </c>
      <c r="AH41" s="42">
        <v>51.602667258569383</v>
      </c>
      <c r="AI41" s="42">
        <v>65.568656856178748</v>
      </c>
      <c r="AJ41" s="42">
        <v>24043.522153226397</v>
      </c>
      <c r="AL41" s="19"/>
    </row>
    <row r="42" spans="5:38" ht="15">
      <c r="E42" s="108" t="s">
        <v>152</v>
      </c>
      <c r="F42" s="111">
        <f t="array" ref="F42:F49">MMULT($F$2:$M$9,F32:F39)</f>
        <v>2.0720551764630942E-32</v>
      </c>
      <c r="G42" s="111">
        <f t="array" ref="G42:G49">MMULT($F$2:$M$9,G32:G39)</f>
        <v>1.7287784076396648E-32</v>
      </c>
      <c r="H42" s="111">
        <f t="array" ref="H42:H49">MMULT($F$2:$M$9,H32:H39)</f>
        <v>1.4423721996740789E-32</v>
      </c>
      <c r="I42" s="111">
        <f t="array" ref="I42:I49">MMULT($F$2:$M$9,I32:I39)</f>
        <v>1.2034148235534148E-32</v>
      </c>
      <c r="J42" s="111">
        <f t="array" ref="J42:J49">MMULT($F$2:$M$9,J32:J39)</f>
        <v>1.0040454453263424E-32</v>
      </c>
      <c r="K42" s="111">
        <f t="array" ref="K42:K49">MMULT($F$2:$M$9,K32:K39)</f>
        <v>8.3770553307948966E-33</v>
      </c>
      <c r="L42" s="111">
        <f t="array" ref="L42:L49">MMULT($F$2:$M$9,L32:L39)</f>
        <v>6.9892310494362498E-33</v>
      </c>
      <c r="M42" s="111">
        <f t="array" ref="M42:M49">MMULT($F$2:$M$9,M32:M39)</f>
        <v>5.8313272066890403E-33</v>
      </c>
      <c r="N42" s="111">
        <f t="array" ref="N42:N49">MMULT($F$2:$M$9,N32:N39)</f>
        <v>4.8652529514265529E-33</v>
      </c>
      <c r="O42" s="111">
        <f t="array" ref="O42:O49">MMULT($F$2:$M$9,O32:O39)</f>
        <v>4.0592279325729545E-33</v>
      </c>
      <c r="P42" s="111" t="e">
        <f t="array" ref="P42:P49">MMULT($F$2:$M$9,P32:P39)</f>
        <v>#VALUE!</v>
      </c>
      <c r="T42" s="107">
        <v>40</v>
      </c>
      <c r="U42" s="27">
        <f t="shared" si="0"/>
        <v>3.3333333333333335</v>
      </c>
      <c r="V42" s="18">
        <f t="shared" si="1"/>
        <v>105120000</v>
      </c>
      <c r="W42" s="123">
        <f>POWER($V42-$V38,W$1)/FACT(W$1)</f>
        <v>10512000</v>
      </c>
      <c r="X42" s="123">
        <f>POWER($V42-$V38,X$1)/FACT(X$1)</f>
        <v>55251072000000</v>
      </c>
      <c r="Y42" s="123">
        <f>POWER($V42-$V38,Y$1)/FACT(Y$1)</f>
        <v>1.93599756288E+20</v>
      </c>
      <c r="Z42" s="123">
        <f>POWER($V42-$V38,Z$1)/FACT(Z$1)</f>
        <v>5.0878015952486396E+26</v>
      </c>
      <c r="AA42" s="123">
        <f>POWER($V42-$V38,AA$1)/FACT(AA$1)</f>
        <v>1.0696594073850741E+33</v>
      </c>
      <c r="AB42" s="123"/>
      <c r="AC42" s="125">
        <f t="array" ref="AC42:AJ42">AC38:AJ38+TRANSPOSE(I$12:I$19)*W42+TRANSPOSE(I$22:I$29)*X42+TRANSPOSE(I$32:I$39)*Y42+TRANSPOSE(I$42:I$49)*Z42+TRANSPOSE(I$52:I$59)*AA42</f>
        <v>10.411164022669777</v>
      </c>
      <c r="AD42" s="42">
        <v>3219.1695591483958</v>
      </c>
      <c r="AE42" s="42">
        <v>1306.4503274138519</v>
      </c>
      <c r="AF42" s="42">
        <v>192.91562538929912</v>
      </c>
      <c r="AG42" s="42">
        <v>95.912821798157012</v>
      </c>
      <c r="AH42" s="42">
        <v>51.530054294317601</v>
      </c>
      <c r="AI42" s="42">
        <v>64.31995625655955</v>
      </c>
      <c r="AJ42" s="42">
        <v>23981.617204016158</v>
      </c>
      <c r="AL42" s="19"/>
    </row>
    <row r="43" spans="5:38">
      <c r="E43" s="110"/>
      <c r="F43" s="111">
        <v>-5.5165821860552669E-31</v>
      </c>
      <c r="G43" s="111">
        <v>-4.418883525663859E-31</v>
      </c>
      <c r="H43" s="111">
        <v>-3.5383730014436341E-31</v>
      </c>
      <c r="I43" s="111">
        <v>-2.8321517387949252E-31</v>
      </c>
      <c r="J43" s="111">
        <v>-2.2657860406611996E-31</v>
      </c>
      <c r="K43" s="111">
        <v>-1.8116381947993622E-31</v>
      </c>
      <c r="L43" s="111">
        <v>-1.4475262190984935E-31</v>
      </c>
      <c r="M43" s="111">
        <v>-1.1556477557847576E-31</v>
      </c>
      <c r="N43" s="111">
        <v>-9.2171608112495503E-32</v>
      </c>
      <c r="O43" s="111">
        <v>-7.3426644253383528E-32</v>
      </c>
      <c r="P43" s="111" t="e">
        <v>#VALUE!</v>
      </c>
      <c r="T43" s="107">
        <v>41</v>
      </c>
      <c r="U43" s="27">
        <f t="shared" si="0"/>
        <v>3.4166666666666665</v>
      </c>
      <c r="V43" s="18">
        <f t="shared" si="1"/>
        <v>107748000</v>
      </c>
      <c r="W43" s="123">
        <f>POWER($V43-$V38,W$1)/FACT(W$1)</f>
        <v>13140000</v>
      </c>
      <c r="X43" s="123">
        <f>POWER($V43-$V38,X$1)/FACT(X$1)</f>
        <v>86329800000000</v>
      </c>
      <c r="Y43" s="123">
        <f>POWER($V43-$V38,Y$1)/FACT(Y$1)</f>
        <v>3.7812452400000002E+20</v>
      </c>
      <c r="Z43" s="123">
        <f>POWER($V43-$V38,Z$1)/FACT(Z$1)</f>
        <v>1.2421390613399999E+27</v>
      </c>
      <c r="AA43" s="123">
        <f>POWER($V43-$V38,AA$1)/FACT(AA$1)</f>
        <v>3.2643414532015203E+33</v>
      </c>
      <c r="AB43" s="123"/>
      <c r="AC43" s="125">
        <f t="array" ref="AC43:AJ43">AC38:AJ38+TRANSPOSE(I$12:I$19)*W43+TRANSPOSE(I$22:I$29)*X43+TRANSPOSE(I$32:I$39)*Y43+TRANSPOSE(I$42:I$49)*Z43+TRANSPOSE(I$52:I$59)*AA43</f>
        <v>10.255199776758619</v>
      </c>
      <c r="AD43" s="42">
        <v>3212.5921645280141</v>
      </c>
      <c r="AE43" s="42">
        <v>1309.2568874738174</v>
      </c>
      <c r="AF43" s="42">
        <v>192.47279684247522</v>
      </c>
      <c r="AG43" s="42">
        <v>96.148975160999626</v>
      </c>
      <c r="AH43" s="42">
        <v>51.456813521942095</v>
      </c>
      <c r="AI43" s="42">
        <v>63.095166105553609</v>
      </c>
      <c r="AJ43" s="42">
        <v>23919.871641791826</v>
      </c>
      <c r="AL43" s="19"/>
    </row>
    <row r="44" spans="5:38">
      <c r="E44" s="110"/>
      <c r="F44" s="111">
        <v>8.0758078205361449E-32</v>
      </c>
      <c r="G44" s="111">
        <v>5.2652021702584428E-32</v>
      </c>
      <c r="H44" s="111">
        <v>3.1130678161853773E-32</v>
      </c>
      <c r="I44" s="111">
        <v>1.480690280329121E-32</v>
      </c>
      <c r="J44" s="111">
        <v>2.5746703606168168E-33</v>
      </c>
      <c r="K44" s="111">
        <v>-6.4470086235259427E-33</v>
      </c>
      <c r="L44" s="111">
        <v>-1.2959058702537859E-32</v>
      </c>
      <c r="M44" s="111">
        <v>-1.7518392632501127E-32</v>
      </c>
      <c r="N44" s="111">
        <v>-2.0566808824183966E-32</v>
      </c>
      <c r="O44" s="111">
        <v>-2.2454147707861049E-32</v>
      </c>
      <c r="P44" s="111" t="e">
        <v>#VALUE!</v>
      </c>
      <c r="T44" s="107">
        <v>42</v>
      </c>
      <c r="U44" s="27">
        <f t="shared" si="0"/>
        <v>3.5</v>
      </c>
      <c r="V44" s="18">
        <f t="shared" si="1"/>
        <v>110376000</v>
      </c>
      <c r="W44" s="123">
        <f>POWER($V44-$V38,W$1)/FACT(W$1)</f>
        <v>15768000</v>
      </c>
      <c r="X44" s="123">
        <f>POWER($V44-$V38,X$1)/FACT(X$1)</f>
        <v>124314912000000</v>
      </c>
      <c r="Y44" s="123">
        <f>POWER($V44-$V38,Y$1)/FACT(Y$1)</f>
        <v>6.53399177472E+20</v>
      </c>
      <c r="Z44" s="123">
        <f>POWER($V44-$V38,Z$1)/FACT(Z$1)</f>
        <v>2.5756995575946237E+27</v>
      </c>
      <c r="AA44" s="123">
        <f>POWER($V44-$V38,AA$1)/FACT(AA$1)</f>
        <v>8.1227261248304059E+33</v>
      </c>
      <c r="AB44" s="123"/>
      <c r="AC44" s="125">
        <f t="array" ref="AC44:AJ44">AC38:AJ38+TRANSPOSE(I$12:I$19)*W44+TRANSPOSE(I$22:I$29)*X44+TRANSPOSE(I$32:I$39)*Y44+TRANSPOSE(I$42:I$49)*Z44+TRANSPOSE(I$52:I$59)*AA44</f>
        <v>10.101571946736074</v>
      </c>
      <c r="AD44" s="42">
        <v>3206.0002824007001</v>
      </c>
      <c r="AE44" s="42">
        <v>1312.0186640654313</v>
      </c>
      <c r="AF44" s="42">
        <v>192.05238616105365</v>
      </c>
      <c r="AG44" s="42">
        <v>96.381930096386668</v>
      </c>
      <c r="AH44" s="42">
        <v>51.383046564392643</v>
      </c>
      <c r="AI44" s="42">
        <v>61.893828168643246</v>
      </c>
      <c r="AJ44" s="42">
        <v>23858.2850561784</v>
      </c>
      <c r="AL44" s="19"/>
    </row>
    <row r="45" spans="5:38">
      <c r="E45" s="110"/>
      <c r="F45" s="111">
        <v>1.4899346129670376E-30</v>
      </c>
      <c r="G45" s="111">
        <v>1.0704013479541292E-30</v>
      </c>
      <c r="H45" s="111">
        <v>7.6876560632041099E-31</v>
      </c>
      <c r="I45" s="111">
        <v>5.5185520625273771E-31</v>
      </c>
      <c r="J45" s="111">
        <v>3.95846975300881E-31</v>
      </c>
      <c r="K45" s="111">
        <v>2.8362817306898872E-31</v>
      </c>
      <c r="L45" s="111">
        <v>2.0290339302536369E-31</v>
      </c>
      <c r="M45" s="111">
        <v>1.4483616127832111E-31</v>
      </c>
      <c r="N45" s="111">
        <v>1.0307408056399336E-31</v>
      </c>
      <c r="O45" s="111">
        <v>7.3049122190796649E-32</v>
      </c>
      <c r="P45" s="111" t="e">
        <v>#VALUE!</v>
      </c>
      <c r="T45" s="107">
        <v>43</v>
      </c>
      <c r="U45" s="27">
        <f t="shared" si="0"/>
        <v>3.5833333333333335</v>
      </c>
      <c r="V45" s="18">
        <f t="shared" si="1"/>
        <v>113004000</v>
      </c>
      <c r="W45" s="123">
        <f>POWER($V45-$V38,W$1)/FACT(W$1)</f>
        <v>18396000</v>
      </c>
      <c r="X45" s="123">
        <f>POWER($V45-$V38,X$1)/FACT(X$1)</f>
        <v>169206408000000</v>
      </c>
      <c r="Y45" s="123">
        <f>POWER($V45-$V38,Y$1)/FACT(Y$1)</f>
        <v>1.037573693856E+21</v>
      </c>
      <c r="Z45" s="123">
        <f>POWER($V45-$V38,Z$1)/FACT(Z$1)</f>
        <v>4.7718014180437445E+27</v>
      </c>
      <c r="AA45" s="123">
        <f>POWER($V45-$V38,AA$1)/FACT(AA$1)</f>
        <v>1.7556411777266544E+34</v>
      </c>
      <c r="AB45" s="123"/>
      <c r="AC45" s="125">
        <f t="array" ref="AC45:AJ45">AC38:AJ38+TRANSPOSE(I$12:I$19)*W45+TRANSPOSE(I$22:I$29)*X45+TRANSPOSE(I$32:I$39)*Y45+TRANSPOSE(I$42:I$49)*Z45+TRANSPOSE(I$52:I$59)*AA45</f>
        <v>9.9502455282778488</v>
      </c>
      <c r="AD45" s="42">
        <v>3199.3945254994455</v>
      </c>
      <c r="AE45" s="42">
        <v>1314.7359226750243</v>
      </c>
      <c r="AF45" s="42">
        <v>191.65361402621062</v>
      </c>
      <c r="AG45" s="42">
        <v>96.611786303557537</v>
      </c>
      <c r="AH45" s="42">
        <v>51.308850297481278</v>
      </c>
      <c r="AI45" s="42">
        <v>60.715492947451267</v>
      </c>
      <c r="AJ45" s="42">
        <v>23796.857037857415</v>
      </c>
      <c r="AL45" s="19"/>
    </row>
    <row r="46" spans="5:38">
      <c r="E46" s="110"/>
      <c r="F46" s="111">
        <v>-2.1748771953778711E-31</v>
      </c>
      <c r="G46" s="111">
        <v>-1.5642257128152981E-31</v>
      </c>
      <c r="H46" s="111">
        <v>-1.1219550180668923E-31</v>
      </c>
      <c r="I46" s="111">
        <v>-8.0163153223466126E-32</v>
      </c>
      <c r="J46" s="111">
        <v>-5.6970295441212982E-32</v>
      </c>
      <c r="K46" s="111">
        <v>-4.019023122210194E-32</v>
      </c>
      <c r="L46" s="111">
        <v>-2.8066081997043519E-32</v>
      </c>
      <c r="M46" s="111">
        <v>-1.9324555628826406E-32</v>
      </c>
      <c r="N46" s="111">
        <v>-1.304181008541238E-32</v>
      </c>
      <c r="O46" s="111">
        <v>-8.5467756245517041E-33</v>
      </c>
      <c r="P46" s="111" t="e">
        <v>#VALUE!</v>
      </c>
      <c r="T46" s="107">
        <v>44</v>
      </c>
      <c r="U46" s="27">
        <f t="shared" si="0"/>
        <v>3.6666666666666665</v>
      </c>
      <c r="V46" s="18">
        <f t="shared" si="1"/>
        <v>115632000</v>
      </c>
      <c r="W46" s="123">
        <f>POWER($V46-$V38,W$1)/FACT(W$1)</f>
        <v>21024000</v>
      </c>
      <c r="X46" s="123">
        <f>POWER($V46-$V38,X$1)/FACT(X$1)</f>
        <v>221004288000000</v>
      </c>
      <c r="Y46" s="123">
        <f>POWER($V46-$V38,Y$1)/FACT(Y$1)</f>
        <v>1.548798050304E+21</v>
      </c>
      <c r="Z46" s="123">
        <f>POWER($V46-$V38,Z$1)/FACT(Z$1)</f>
        <v>8.1404825523978233E+27</v>
      </c>
      <c r="AA46" s="123">
        <f>POWER($V46-$V38,AA$1)/FACT(AA$1)</f>
        <v>3.422910103632237E+34</v>
      </c>
      <c r="AB46" s="123"/>
      <c r="AC46" s="125">
        <f t="array" ref="AC46:AJ46">AC38:AJ38+TRANSPOSE(I$12:I$19)*W46+TRANSPOSE(I$22:I$29)*X46+TRANSPOSE(I$32:I$39)*Y46+TRANSPOSE(I$42:I$49)*Z46+TRANSPOSE(I$52:I$59)*AA46</f>
        <v>9.8011860390824239</v>
      </c>
      <c r="AD46" s="42">
        <v>3192.7754945536835</v>
      </c>
      <c r="AE46" s="42">
        <v>1317.4089291585817</v>
      </c>
      <c r="AF46" s="42">
        <v>191.27572307433775</v>
      </c>
      <c r="AG46" s="42">
        <v>96.838640305397945</v>
      </c>
      <c r="AH46" s="42">
        <v>51.234317051007601</v>
      </c>
      <c r="AI46" s="42">
        <v>59.559719492588975</v>
      </c>
      <c r="AJ46" s="42">
        <v>23735.587178564136</v>
      </c>
      <c r="AL46" s="19"/>
    </row>
    <row r="47" spans="5:38">
      <c r="E47" s="110"/>
      <c r="F47" s="111">
        <v>-3.9695248271916252E-31</v>
      </c>
      <c r="G47" s="111">
        <v>-2.7021779827096496E-31</v>
      </c>
      <c r="H47" s="111">
        <v>-1.8186343227313454E-31</v>
      </c>
      <c r="I47" s="111">
        <v>-1.2060773279788226E-31</v>
      </c>
      <c r="J47" s="111">
        <v>-7.8429693887587183E-32</v>
      </c>
      <c r="K47" s="111">
        <v>-4.9635512916083884E-32</v>
      </c>
      <c r="L47" s="111">
        <v>-3.0190944922478233E-32</v>
      </c>
      <c r="M47" s="111">
        <v>-1.7243989915950698E-32</v>
      </c>
      <c r="N47" s="111">
        <v>-8.7838414203498407E-33</v>
      </c>
      <c r="O47" s="111">
        <v>-3.3973572596297807E-33</v>
      </c>
      <c r="P47" s="111" t="e">
        <v>#VALUE!</v>
      </c>
      <c r="T47" s="107">
        <v>45</v>
      </c>
      <c r="U47" s="27">
        <f t="shared" si="0"/>
        <v>3.75</v>
      </c>
      <c r="V47" s="18">
        <f t="shared" si="1"/>
        <v>118260000</v>
      </c>
      <c r="W47" s="123">
        <f>POWER($V47-$V38,W$1)/FACT(W$1)</f>
        <v>23652000</v>
      </c>
      <c r="X47" s="123">
        <f>POWER($V47-$V38,X$1)/FACT(X$1)</f>
        <v>279708552000000</v>
      </c>
      <c r="Y47" s="123">
        <f>POWER($V47-$V38,Y$1)/FACT(Y$1)</f>
        <v>2.205222223968E+21</v>
      </c>
      <c r="Z47" s="123">
        <f>POWER($V47-$V38,Z$1)/FACT(Z$1)</f>
        <v>1.3039479010322784E+28</v>
      </c>
      <c r="AA47" s="123">
        <f>POWER($V47-$V38,AA$1)/FACT(AA$1)</f>
        <v>6.1681951510430897E+34</v>
      </c>
      <c r="AB47" s="123"/>
      <c r="AC47" s="125">
        <f t="array" ref="AC47:AJ47">AC38:AJ38+TRANSPOSE(I$12:I$19)*W47+TRANSPOSE(I$22:I$29)*X47+TRANSPOSE(I$32:I$39)*Y47+TRANSPOSE(I$42:I$49)*Z47+TRANSPOSE(I$52:I$59)*AA47</f>
        <v>9.6543595102071116</v>
      </c>
      <c r="AD47" s="42">
        <v>3186.1437785401745</v>
      </c>
      <c r="AE47" s="42">
        <v>1320.0379496856419</v>
      </c>
      <c r="AF47" s="42">
        <v>190.91797716916631</v>
      </c>
      <c r="AG47" s="42">
        <v>97.062585556319775</v>
      </c>
      <c r="AH47" s="42">
        <v>51.159534809884136</v>
      </c>
      <c r="AI47" s="42">
        <v>58.426075216504202</v>
      </c>
      <c r="AJ47" s="42">
        <v>23674.47507108486</v>
      </c>
      <c r="AL47" s="19"/>
    </row>
    <row r="48" spans="5:38">
      <c r="E48" s="110"/>
      <c r="F48" s="111">
        <v>4.0694961851610207E-31</v>
      </c>
      <c r="G48" s="111">
        <v>3.2262453630857427E-31</v>
      </c>
      <c r="H48" s="111">
        <v>2.5577257000931006E-31</v>
      </c>
      <c r="I48" s="111">
        <v>2.0277311474934317E-31</v>
      </c>
      <c r="J48" s="111">
        <v>1.6075578648785362E-31</v>
      </c>
      <c r="K48" s="111">
        <v>1.2744497069996556E-31</v>
      </c>
      <c r="L48" s="111">
        <v>1.0103658153345899E-31</v>
      </c>
      <c r="M48" s="111">
        <v>8.0100357265720448E-32</v>
      </c>
      <c r="N48" s="111">
        <v>6.3502400805340179E-32</v>
      </c>
      <c r="O48" s="111">
        <v>5.0343770352539419E-32</v>
      </c>
      <c r="P48" s="111" t="e">
        <v>#VALUE!</v>
      </c>
      <c r="T48" s="107">
        <v>46</v>
      </c>
      <c r="U48" s="27">
        <f t="shared" si="0"/>
        <v>3.8333333333333335</v>
      </c>
      <c r="V48" s="18">
        <f t="shared" si="1"/>
        <v>120888000</v>
      </c>
      <c r="W48" s="123">
        <f>POWER($V48-$V38,W$1)/FACT(W$1)</f>
        <v>26280000</v>
      </c>
      <c r="X48" s="123">
        <f>POWER($V48-$V38,X$1)/FACT(X$1)</f>
        <v>345319200000000</v>
      </c>
      <c r="Y48" s="123">
        <f>POWER($V48-$V38,Y$1)/FACT(Y$1)</f>
        <v>3.0249961920000001E+21</v>
      </c>
      <c r="Z48" s="123">
        <f>POWER($V48-$V38,Z$1)/FACT(Z$1)</f>
        <v>1.9874224981439999E+28</v>
      </c>
      <c r="AA48" s="123">
        <f>POWER($V48-$V38,AA$1)/FACT(AA$1)</f>
        <v>1.0445892650244865E+35</v>
      </c>
      <c r="AB48" s="123"/>
      <c r="AC48" s="125">
        <f t="array" ref="AC48:AJ48">AC38:AJ38+TRANSPOSE(I$12:I$19)*W48+TRANSPOSE(I$22:I$29)*X48+TRANSPOSE(I$32:I$39)*Y48+TRANSPOSE(I$42:I$49)*Z48+TRANSPOSE(I$52:I$59)*AA48</f>
        <v>9.5097324774040963</v>
      </c>
      <c r="AD48" s="42">
        <v>3179.4999549338831</v>
      </c>
      <c r="AE48" s="42">
        <v>1322.6232506831948</v>
      </c>
      <c r="AF48" s="42">
        <v>190.57966067389239</v>
      </c>
      <c r="AG48" s="42">
        <v>97.283712550141033</v>
      </c>
      <c r="AH48" s="42">
        <v>51.084587415261659</v>
      </c>
      <c r="AI48" s="42">
        <v>57.314135706329274</v>
      </c>
      <c r="AJ48" s="42">
        <v>23613.520309254094</v>
      </c>
      <c r="AL48" s="19"/>
    </row>
    <row r="49" spans="5:38">
      <c r="E49" s="110"/>
      <c r="F49" s="111">
        <v>2.4622507979410659E-32</v>
      </c>
      <c r="G49" s="111">
        <v>2.3872103730895225E-32</v>
      </c>
      <c r="H49" s="111">
        <v>2.3144653715537031E-32</v>
      </c>
      <c r="I49" s="111">
        <v>2.2439432515260474E-32</v>
      </c>
      <c r="J49" s="111">
        <v>2.1755744019367971E-32</v>
      </c>
      <c r="K49" s="111">
        <v>2.1092918534100075E-32</v>
      </c>
      <c r="L49" s="111">
        <v>2.0450310537416979E-32</v>
      </c>
      <c r="M49" s="111">
        <v>1.9827296903135178E-32</v>
      </c>
      <c r="N49" s="111">
        <v>1.9223275467867282E-32</v>
      </c>
      <c r="O49" s="111">
        <v>1.8637663849625147E-32</v>
      </c>
      <c r="P49" s="111" t="e">
        <v>#VALUE!</v>
      </c>
      <c r="T49" s="107">
        <v>47</v>
      </c>
      <c r="U49" s="27">
        <f t="shared" si="0"/>
        <v>3.9166666666666665</v>
      </c>
      <c r="V49" s="18">
        <f t="shared" si="1"/>
        <v>123516000</v>
      </c>
      <c r="W49" s="123">
        <f>POWER($V49-$V38,W$1)/FACT(W$1)</f>
        <v>28908000</v>
      </c>
      <c r="X49" s="123">
        <f>POWER($V49-$V38,X$1)/FACT(X$1)</f>
        <v>417836232000000</v>
      </c>
      <c r="Y49" s="123">
        <f>POWER($V49-$V38,Y$1)/FACT(Y$1)</f>
        <v>4.0262699315519999E+21</v>
      </c>
      <c r="Z49" s="123">
        <f>POWER($V49-$V38,Z$1)/FACT(Z$1)</f>
        <v>2.9097852795326301E+28</v>
      </c>
      <c r="AA49" s="123">
        <f>POWER($V49-$V38,AA$1)/FACT(AA$1)</f>
        <v>1.6823214572145855E+35</v>
      </c>
      <c r="AB49" s="123"/>
      <c r="AC49" s="125">
        <f t="array" ref="AC49:AJ49">AC38:AJ38+TRANSPOSE(I$12:I$19)*W49+TRANSPOSE(I$22:I$29)*X49+TRANSPOSE(I$32:I$39)*Y49+TRANSPOSE(I$42:I$49)*Z49+TRANSPOSE(I$52:I$59)*AA49</f>
        <v>9.3672719724564821</v>
      </c>
      <c r="AD49" s="42">
        <v>3172.8445899588596</v>
      </c>
      <c r="AE49" s="42">
        <v>1325.1650987795811</v>
      </c>
      <c r="AF49" s="42">
        <v>190.26007772330152</v>
      </c>
      <c r="AG49" s="42">
        <v>97.502108927965736</v>
      </c>
      <c r="AH49" s="42">
        <v>51.009554765654578</v>
      </c>
      <c r="AI49" s="42">
        <v>56.223484536729117</v>
      </c>
      <c r="AJ49" s="42">
        <v>23552.722487951854</v>
      </c>
      <c r="AL49" s="19"/>
    </row>
    <row r="50" spans="5:38">
      <c r="E50" s="110"/>
      <c r="F50" s="110"/>
      <c r="T50" s="107">
        <v>48</v>
      </c>
      <c r="U50" s="27">
        <f t="shared" si="0"/>
        <v>4</v>
      </c>
      <c r="V50" s="18">
        <f t="shared" si="1"/>
        <v>126144000</v>
      </c>
      <c r="W50" s="123">
        <f>POWER($V50-$V38,W$1)/FACT(W$1)</f>
        <v>31536000</v>
      </c>
      <c r="X50" s="123">
        <f>POWER($V50-$V38,X$1)/FACT(X$1)</f>
        <v>497259648000000</v>
      </c>
      <c r="Y50" s="123">
        <f>POWER($V50-$V38,Y$1)/FACT(Y$1)</f>
        <v>5.227193419776E+21</v>
      </c>
      <c r="Z50" s="123">
        <f>POWER($V50-$V38,Z$1)/FACT(Z$1)</f>
        <v>4.121119292151398E+28</v>
      </c>
      <c r="AA50" s="123">
        <f>POWER($V50-$V38,AA$1)/FACT(AA$1)</f>
        <v>2.5992723599457299E+35</v>
      </c>
      <c r="AB50" s="123"/>
      <c r="AC50" s="125">
        <f t="array" ref="AC50:AJ50">AC38:AJ38+TRANSPOSE(I$12:I$19)*W50+TRANSPOSE(I$22:I$29)*X50+TRANSPOSE(I$32:I$39)*Y50+TRANSPOSE(I$42:I$49)*Z50+TRANSPOSE(I$52:I$59)*AA50</f>
        <v>9.22694551451435</v>
      </c>
      <c r="AD50" s="42">
        <v>3166.1782388391211</v>
      </c>
      <c r="AE50" s="42">
        <v>1327.663760748391</v>
      </c>
      <c r="AF50" s="42">
        <v>189.95855149589309</v>
      </c>
      <c r="AG50" s="42">
        <v>97.717859586064037</v>
      </c>
      <c r="AH50" s="42">
        <v>50.934513018066234</v>
      </c>
      <c r="AI50" s="42">
        <v>55.15371308274915</v>
      </c>
      <c r="AJ50" s="42">
        <v>23492.081203100857</v>
      </c>
      <c r="AL50" s="19"/>
    </row>
    <row r="51" spans="5:38">
      <c r="E51" s="110"/>
      <c r="F51" s="110"/>
      <c r="T51" s="107">
        <v>49</v>
      </c>
      <c r="U51" s="27">
        <f t="shared" si="0"/>
        <v>4.083333333333333</v>
      </c>
      <c r="V51" s="18">
        <f t="shared" si="1"/>
        <v>128772000</v>
      </c>
      <c r="W51" s="123">
        <f>POWER($V51-$V50,W$1)/FACT(W$1)</f>
        <v>2628000</v>
      </c>
      <c r="X51" s="123">
        <f>POWER($V51-$V50,X$1)/FACT(X$1)</f>
        <v>3453192000000</v>
      </c>
      <c r="Y51" s="123">
        <f>POWER($V51-$V50,Y$1)/FACT(Y$1)</f>
        <v>3.024996192E+18</v>
      </c>
      <c r="Z51" s="123">
        <f>POWER($V51-$V50,Z$1)/FACT(Z$1)</f>
        <v>1.9874224981439998E+24</v>
      </c>
      <c r="AA51" s="123">
        <f>POWER($V51-$V50,AA$1)/FACT(AA$1)</f>
        <v>1.0445892650244864E+30</v>
      </c>
      <c r="AB51" s="123"/>
      <c r="AC51" s="125">
        <f t="array" ref="AC51:AJ51">AC50:AJ50+TRANSPOSE(J$12:J$19)*W51+TRANSPOSE(J$22:J$29)*X51+TRANSPOSE(J$32:J$39)*Y51+TRANSPOSE(J$42:J$49)*Z51+TRANSPOSE(J$52:J$59)*AA51</f>
        <v>9.0887214334317292</v>
      </c>
      <c r="AD51" s="42">
        <v>3159.5014343536191</v>
      </c>
      <c r="AE51" s="42">
        <v>1330.1195068694794</v>
      </c>
      <c r="AF51" s="42">
        <v>189.67447394475934</v>
      </c>
      <c r="AG51" s="42">
        <v>97.931039454464454</v>
      </c>
      <c r="AH51" s="42">
        <v>50.859519012254523</v>
      </c>
      <c r="AI51" s="42">
        <v>54.104429508337567</v>
      </c>
      <c r="AJ51" s="42">
        <v>23431.596051681994</v>
      </c>
      <c r="AL51" s="19"/>
    </row>
    <row r="52" spans="5:38" ht="15">
      <c r="E52" s="108" t="s">
        <v>153</v>
      </c>
      <c r="F52" s="111">
        <f t="array" ref="F52:F59">MMULT($F$2:$M$9,F42:F49)</f>
        <v>-1.190077295058896E-40</v>
      </c>
      <c r="G52" s="111">
        <f t="array" ref="G52:G59">MMULT($F$2:$M$9,G42:G49)</f>
        <v>-9.9291754123647116E-41</v>
      </c>
      <c r="H52" s="111">
        <f t="array" ref="H52:H59">MMULT($F$2:$M$9,H42:H49)</f>
        <v>-8.2842118557205869E-41</v>
      </c>
      <c r="I52" s="111">
        <f t="array" ref="I52:I59">MMULT($F$2:$M$9,I42:I49)</f>
        <v>-6.9117689254436466E-41</v>
      </c>
      <c r="J52" s="111">
        <f t="array" ref="J52:J59">MMULT($F$2:$M$9,J42:J49)</f>
        <v>-5.7666982098893961E-41</v>
      </c>
      <c r="K52" s="111">
        <f t="array" ref="K52:K59">MMULT($F$2:$M$9,K42:K49)</f>
        <v>-4.811331021429806E-41</v>
      </c>
      <c r="L52" s="111">
        <f t="array" ref="L52:L59">MMULT($F$2:$M$9,L42:L49)</f>
        <v>-4.0142392327856481E-41</v>
      </c>
      <c r="M52" s="111">
        <f t="array" ref="M52:M59">MMULT($F$2:$M$9,M42:M49)</f>
        <v>-3.3492014052375051E-41</v>
      </c>
      <c r="N52" s="111">
        <f t="array" ref="N52:N59">MMULT($F$2:$M$9,N42:N49)</f>
        <v>-2.7943401980705654E-41</v>
      </c>
      <c r="O52" s="111">
        <f t="array" ref="O52:O59">MMULT($F$2:$M$9,O42:O49)</f>
        <v>-2.3314026831418112E-41</v>
      </c>
      <c r="P52" s="111" t="e">
        <f t="array" ref="P52:P59">MMULT($F$2:$M$9,P42:P49)</f>
        <v>#VALUE!</v>
      </c>
      <c r="T52" s="107">
        <v>50</v>
      </c>
      <c r="U52" s="27">
        <f t="shared" si="0"/>
        <v>4.166666666666667</v>
      </c>
      <c r="V52" s="18">
        <f t="shared" si="1"/>
        <v>131400000</v>
      </c>
      <c r="W52" s="123">
        <f>POWER($V52-$V50,W$1)/FACT(W$1)</f>
        <v>5256000</v>
      </c>
      <c r="X52" s="123">
        <f>POWER($V52-$V50,X$1)/FACT(X$1)</f>
        <v>13812768000000</v>
      </c>
      <c r="Y52" s="123">
        <f>POWER($V52-$V50,Y$1)/FACT(Y$1)</f>
        <v>2.4199969536E+19</v>
      </c>
      <c r="Z52" s="123">
        <f>POWER($V52-$V50,Z$1)/FACT(Z$1)</f>
        <v>3.1798759970303997E+25</v>
      </c>
      <c r="AA52" s="123">
        <f>POWER($V52-$V50,AA$1)/FACT(AA$1)</f>
        <v>3.3426856480783565E+31</v>
      </c>
      <c r="AB52" s="123"/>
      <c r="AC52" s="125">
        <f t="array" ref="AC52:AJ52">AC50:AJ50+TRANSPOSE(J$12:J$19)*W52+TRANSPOSE(J$22:J$29)*X52+TRANSPOSE(J$32:J$39)*Y52+TRANSPOSE(J$42:J$49)*Z52+TRANSPOSE(J$52:J$59)*AA52</f>
        <v>8.9525680155468805</v>
      </c>
      <c r="AD52" s="42">
        <v>3152.8147169123426</v>
      </c>
      <c r="AE52" s="42">
        <v>1332.5326021531469</v>
      </c>
      <c r="AF52" s="42">
        <v>189.40717594418919</v>
      </c>
      <c r="AG52" s="42">
        <v>98.141732355491442</v>
      </c>
      <c r="AH52" s="42">
        <v>50.784650874904976</v>
      </c>
      <c r="AI52" s="42">
        <v>53.075235171637793</v>
      </c>
      <c r="AJ52" s="42">
        <v>23371.266631685427</v>
      </c>
      <c r="AL52" s="19"/>
    </row>
    <row r="53" spans="5:38">
      <c r="E53" s="110"/>
      <c r="F53" s="111">
        <v>3.8784482696435612E-39</v>
      </c>
      <c r="G53" s="111">
        <v>3.1112134303348126E-39</v>
      </c>
      <c r="H53" s="111">
        <v>2.4955056457809544E-39</v>
      </c>
      <c r="I53" s="111">
        <v>2.0014268184097787E-39</v>
      </c>
      <c r="J53" s="111">
        <v>1.6049738490765791E-39</v>
      </c>
      <c r="K53" s="111">
        <v>1.2868770117880588E-39</v>
      </c>
      <c r="L53" s="111">
        <v>1.0316671163791418E-39</v>
      </c>
      <c r="M53" s="111">
        <v>8.2692641690877915E-40</v>
      </c>
      <c r="N53" s="111">
        <v>6.6268708806652506E-40</v>
      </c>
      <c r="O53" s="111">
        <v>5.30948212336E-40</v>
      </c>
      <c r="P53" s="111" t="e">
        <v>#VALUE!</v>
      </c>
      <c r="T53" s="107">
        <v>51</v>
      </c>
      <c r="U53" s="27">
        <f t="shared" si="0"/>
        <v>4.25</v>
      </c>
      <c r="V53" s="18">
        <f t="shared" si="1"/>
        <v>134028000</v>
      </c>
      <c r="W53" s="123">
        <f>POWER($V53-$V50,W$1)/FACT(W$1)</f>
        <v>7884000</v>
      </c>
      <c r="X53" s="123">
        <f>POWER($V53-$V50,X$1)/FACT(X$1)</f>
        <v>31078728000000</v>
      </c>
      <c r="Y53" s="123">
        <f>POWER($V53-$V50,Y$1)/FACT(Y$1)</f>
        <v>8.1674897184E+19</v>
      </c>
      <c r="Z53" s="123">
        <f>POWER($V53-$V50,Z$1)/FACT(Z$1)</f>
        <v>1.6098122234966398E+26</v>
      </c>
      <c r="AA53" s="123">
        <f>POWER($V53-$V50,AA$1)/FACT(AA$1)</f>
        <v>2.5383519140095018E+32</v>
      </c>
      <c r="AB53" s="123"/>
      <c r="AC53" s="125">
        <f t="array" ref="AC53:AJ53">AC50:AJ50+TRANSPOSE(J$12:J$19)*W53+TRANSPOSE(J$22:J$29)*X53+TRANSPOSE(J$32:J$39)*Y53+TRANSPOSE(J$42:J$49)*Z53+TRANSPOSE(J$52:J$59)*AA53</f>
        <v>8.8184542412479345</v>
      </c>
      <c r="AD53" s="42">
        <v>3146.118608459828</v>
      </c>
      <c r="AE53" s="42">
        <v>1334.9033139909466</v>
      </c>
      <c r="AF53" s="42">
        <v>189.15604094543318</v>
      </c>
      <c r="AG53" s="42">
        <v>98.35001450532674</v>
      </c>
      <c r="AH53" s="42">
        <v>50.709972409987756</v>
      </c>
      <c r="AI53" s="42">
        <v>52.065745122139305</v>
      </c>
      <c r="AJ53" s="42">
        <v>23311.092542148373</v>
      </c>
      <c r="AL53" s="19"/>
    </row>
    <row r="54" spans="5:38">
      <c r="E54" s="110"/>
      <c r="F54" s="111">
        <v>-1.0129530349456707E-39</v>
      </c>
      <c r="G54" s="111">
        <v>-7.7865988063499786E-40</v>
      </c>
      <c r="H54" s="111">
        <v>-5.9350744777820602E-40</v>
      </c>
      <c r="I54" s="111">
        <v>-4.475541523094806E-40</v>
      </c>
      <c r="J54" s="111">
        <v>-3.3284028351704587E-40</v>
      </c>
      <c r="K54" s="111">
        <v>-2.4299543942963516E-40</v>
      </c>
      <c r="L54" s="111">
        <v>-1.7292348772339283E-40</v>
      </c>
      <c r="M54" s="111">
        <v>-1.1854976557622471E-40</v>
      </c>
      <c r="N54" s="111">
        <v>-7.6618243448713647E-41</v>
      </c>
      <c r="O54" s="111">
        <v>-4.4528796369963016E-41</v>
      </c>
      <c r="P54" s="111" t="e">
        <v>#VALUE!</v>
      </c>
      <c r="T54" s="107">
        <v>52</v>
      </c>
      <c r="U54" s="27">
        <f t="shared" si="0"/>
        <v>4.333333333333333</v>
      </c>
      <c r="V54" s="18">
        <f t="shared" si="1"/>
        <v>136656000</v>
      </c>
      <c r="W54" s="123">
        <f>POWER($V54-$V50,W$1)/FACT(W$1)</f>
        <v>10512000</v>
      </c>
      <c r="X54" s="123">
        <f>POWER($V54-$V50,X$1)/FACT(X$1)</f>
        <v>55251072000000</v>
      </c>
      <c r="Y54" s="123">
        <f>POWER($V54-$V50,Y$1)/FACT(Y$1)</f>
        <v>1.93599756288E+20</v>
      </c>
      <c r="Z54" s="123">
        <f>POWER($V54-$V50,Z$1)/FACT(Z$1)</f>
        <v>5.0878015952486396E+26</v>
      </c>
      <c r="AA54" s="123">
        <f>POWER($V54-$V50,AA$1)/FACT(AA$1)</f>
        <v>1.0696594073850741E+33</v>
      </c>
      <c r="AB54" s="123"/>
      <c r="AC54" s="125">
        <f t="array" ref="AC54:AJ54">AC50:AJ50+TRANSPOSE(J$12:J$19)*W54+TRANSPOSE(J$22:J$29)*X54+TRANSPOSE(J$32:J$39)*Y54+TRANSPOSE(J$42:J$49)*Z54+TRANSPOSE(J$52:J$59)*AA54</f>
        <v>8.6863495553768129</v>
      </c>
      <c r="AD54" s="42">
        <v>3139.4136205355981</v>
      </c>
      <c r="AE54" s="42">
        <v>1337.2319098137962</v>
      </c>
      <c r="AF54" s="42">
        <v>188.92047023381417</v>
      </c>
      <c r="AG54" s="42">
        <v>98.5559595589461</v>
      </c>
      <c r="AH54" s="42">
        <v>50.63554395632692</v>
      </c>
      <c r="AI54" s="42">
        <v>51.075581780339931</v>
      </c>
      <c r="AJ54" s="42">
        <v>23251.073383140425</v>
      </c>
      <c r="AL54" s="19"/>
    </row>
    <row r="55" spans="5:38">
      <c r="E55" s="110"/>
      <c r="F55" s="111">
        <v>-1.5619136394323852E-38</v>
      </c>
      <c r="G55" s="111">
        <v>-1.1228784596053466E-38</v>
      </c>
      <c r="H55" s="111">
        <v>-8.0740871546836397E-39</v>
      </c>
      <c r="I55" s="111">
        <v>-5.8067103667544012E-39</v>
      </c>
      <c r="J55" s="111">
        <v>-4.1766491233724765E-39</v>
      </c>
      <c r="K55" s="111">
        <v>-3.0044423743646196E-39</v>
      </c>
      <c r="L55" s="111">
        <v>-2.1612453307934757E-39</v>
      </c>
      <c r="M55" s="111">
        <v>-1.5545355832615216E-39</v>
      </c>
      <c r="N55" s="111">
        <v>-1.1178594197236956E-39</v>
      </c>
      <c r="O55" s="111">
        <v>-8.034756373866257E-40</v>
      </c>
      <c r="P55" s="111" t="e">
        <v>#VALUE!</v>
      </c>
      <c r="T55" s="107">
        <v>53</v>
      </c>
      <c r="U55" s="27">
        <f t="shared" si="0"/>
        <v>4.416666666666667</v>
      </c>
      <c r="V55" s="18">
        <f t="shared" si="1"/>
        <v>139284000</v>
      </c>
      <c r="W55" s="123">
        <f>POWER($V55-$V50,W$1)/FACT(W$1)</f>
        <v>13140000</v>
      </c>
      <c r="X55" s="123">
        <f>POWER($V55-$V50,X$1)/FACT(X$1)</f>
        <v>86329800000000</v>
      </c>
      <c r="Y55" s="123">
        <f>POWER($V55-$V50,Y$1)/FACT(Y$1)</f>
        <v>3.7812452400000002E+20</v>
      </c>
      <c r="Z55" s="123">
        <f>POWER($V55-$V50,Z$1)/FACT(Z$1)</f>
        <v>1.2421390613399999E+27</v>
      </c>
      <c r="AA55" s="123">
        <f>POWER($V55-$V50,AA$1)/FACT(AA$1)</f>
        <v>3.2643414532015203E+33</v>
      </c>
      <c r="AB55" s="123"/>
      <c r="AC55" s="125">
        <f t="array" ref="AC55:AJ55">AC50:AJ50+TRANSPOSE(J$12:J$19)*W55+TRANSPOSE(J$22:J$29)*X55+TRANSPOSE(J$32:J$39)*Y55+TRANSPOSE(J$42:J$49)*Z55+TRANSPOSE(J$52:J$59)*AA55</f>
        <v>8.5562238600006637</v>
      </c>
      <c r="AD55" s="42">
        <v>3132.700254475355</v>
      </c>
      <c r="AE55" s="42">
        <v>1339.5186570502549</v>
      </c>
      <c r="AF55" s="42">
        <v>188.69988240518168</v>
      </c>
      <c r="AG55" s="42">
        <v>98.759638688205001</v>
      </c>
      <c r="AH55" s="42">
        <v>50.5614225255026</v>
      </c>
      <c r="AI55" s="42">
        <v>50.104374789374148</v>
      </c>
      <c r="AJ55" s="42">
        <v>23191.208755760843</v>
      </c>
      <c r="AL55" s="19"/>
    </row>
    <row r="56" spans="5:38">
      <c r="E56" s="110"/>
      <c r="F56" s="111">
        <v>2.2655899582733793E-39</v>
      </c>
      <c r="G56" s="111">
        <v>1.6407381440370251E-39</v>
      </c>
      <c r="H56" s="111">
        <v>1.1883848613963688E-39</v>
      </c>
      <c r="I56" s="111">
        <v>8.6062477810324971E-40</v>
      </c>
      <c r="J56" s="111">
        <v>6.2293712854538189E-40</v>
      </c>
      <c r="K56" s="111">
        <v>4.5042860185798364E-40</v>
      </c>
      <c r="L56" s="111">
        <v>3.2513430065117923E-40</v>
      </c>
      <c r="M56" s="111">
        <v>2.3407815924324824E-40</v>
      </c>
      <c r="N56" s="111">
        <v>1.6787860100072553E-40</v>
      </c>
      <c r="O56" s="111">
        <v>1.1974573464001711E-40</v>
      </c>
      <c r="P56" s="111" t="e">
        <v>#VALUE!</v>
      </c>
      <c r="T56" s="107">
        <v>54</v>
      </c>
      <c r="U56" s="27">
        <f t="shared" si="0"/>
        <v>4.5</v>
      </c>
      <c r="V56" s="18">
        <f t="shared" si="1"/>
        <v>141912000</v>
      </c>
      <c r="W56" s="123">
        <f>POWER($V56-$V50,W$1)/FACT(W$1)</f>
        <v>15768000</v>
      </c>
      <c r="X56" s="123">
        <f>POWER($V56-$V50,X$1)/FACT(X$1)</f>
        <v>124314912000000</v>
      </c>
      <c r="Y56" s="123">
        <f>POWER($V56-$V50,Y$1)/FACT(Y$1)</f>
        <v>6.53399177472E+20</v>
      </c>
      <c r="Z56" s="123">
        <f>POWER($V56-$V50,Z$1)/FACT(Z$1)</f>
        <v>2.5756995575946237E+27</v>
      </c>
      <c r="AA56" s="123">
        <f>POWER($V56-$V50,AA$1)/FACT(AA$1)</f>
        <v>8.1227261248304059E+33</v>
      </c>
      <c r="AB56" s="123"/>
      <c r="AC56" s="125">
        <f t="array" ref="AC56:AJ56">AC50:AJ50+TRANSPOSE(J$12:J$19)*W56+TRANSPOSE(J$22:J$29)*X56+TRANSPOSE(J$32:J$39)*Y56+TRANSPOSE(J$42:J$49)*Z56+TRANSPOSE(J$52:J$59)*AA56</f>
        <v>8.4280475071832353</v>
      </c>
      <c r="AD56" s="42">
        <v>3125.9790016121592</v>
      </c>
      <c r="AE56" s="42">
        <v>1341.7638230848002</v>
      </c>
      <c r="AF56" s="42">
        <v>188.49371284236599</v>
      </c>
      <c r="AG56" s="42">
        <v>98.961120659924319</v>
      </c>
      <c r="AH56" s="42">
        <v>50.487661939753124</v>
      </c>
      <c r="AI56" s="42">
        <v>49.151760866641212</v>
      </c>
      <c r="AJ56" s="42">
        <v>23131.498262135909</v>
      </c>
      <c r="AL56" s="19"/>
    </row>
    <row r="57" spans="5:38">
      <c r="E57" s="110"/>
      <c r="F57" s="111">
        <v>4.7800799747162207E-39</v>
      </c>
      <c r="G57" s="111">
        <v>3.3401121726879897E-39</v>
      </c>
      <c r="H57" s="111">
        <v>2.3221788092265823E-39</v>
      </c>
      <c r="I57" s="111">
        <v>1.6045010458639674E-39</v>
      </c>
      <c r="J57" s="111">
        <v>1.100130896793272E-39</v>
      </c>
      <c r="K57" s="111">
        <v>7.4703803317534685E-40</v>
      </c>
      <c r="L57" s="111">
        <v>5.0101037997763272E-40</v>
      </c>
      <c r="M57" s="111">
        <v>3.3057096157237946E-40</v>
      </c>
      <c r="N57" s="111">
        <v>2.133393509816764E-40</v>
      </c>
      <c r="O57" s="111">
        <v>1.3342801151779044E-40</v>
      </c>
      <c r="P57" s="111" t="e">
        <v>#VALUE!</v>
      </c>
      <c r="T57" s="107">
        <v>55</v>
      </c>
      <c r="U57" s="27">
        <f t="shared" si="0"/>
        <v>4.583333333333333</v>
      </c>
      <c r="V57" s="18">
        <f t="shared" si="1"/>
        <v>144540000</v>
      </c>
      <c r="W57" s="123">
        <f>POWER($V57-$V50,W$1)/FACT(W$1)</f>
        <v>18396000</v>
      </c>
      <c r="X57" s="123">
        <f>POWER($V57-$V50,X$1)/FACT(X$1)</f>
        <v>169206408000000</v>
      </c>
      <c r="Y57" s="123">
        <f>POWER($V57-$V50,Y$1)/FACT(Y$1)</f>
        <v>1.037573693856E+21</v>
      </c>
      <c r="Z57" s="123">
        <f>POWER($V57-$V50,Z$1)/FACT(Z$1)</f>
        <v>4.7718014180437445E+27</v>
      </c>
      <c r="AA57" s="123">
        <f>POWER($V57-$V50,AA$1)/FACT(AA$1)</f>
        <v>1.7556411777266544E+34</v>
      </c>
      <c r="AB57" s="123"/>
      <c r="AC57" s="125">
        <f t="array" ref="AC57:AJ57">AC50:AJ50+TRANSPOSE(J$12:J$19)*W57+TRANSPOSE(J$22:J$29)*X57+TRANSPOSE(J$32:J$39)*Y57+TRANSPOSE(J$42:J$49)*Z57+TRANSPOSE(J$52:J$59)*AA57</f>
        <v>8.3017912917562988</v>
      </c>
      <c r="AD57" s="42">
        <v>3119.2503434776168</v>
      </c>
      <c r="AE57" s="42">
        <v>1343.9676752161097</v>
      </c>
      <c r="AF57" s="42">
        <v>188.30141319163195</v>
      </c>
      <c r="AG57" s="42">
        <v>99.160471913975755</v>
      </c>
      <c r="AH57" s="42">
        <v>50.414312969877322</v>
      </c>
      <c r="AI57" s="42">
        <v>48.217383655433366</v>
      </c>
      <c r="AJ57" s="42">
        <v>23071.941505416224</v>
      </c>
      <c r="AL57" s="19"/>
    </row>
    <row r="58" spans="5:38">
      <c r="E58" s="110"/>
      <c r="F58" s="111">
        <v>-2.9963717553854474E-39</v>
      </c>
      <c r="G58" s="111">
        <v>-2.3754899593070262E-39</v>
      </c>
      <c r="H58" s="111">
        <v>-1.8832609955052374E-39</v>
      </c>
      <c r="I58" s="111">
        <v>-1.4930268986342327E-39</v>
      </c>
      <c r="J58" s="111">
        <v>-1.1836534270533498E-39</v>
      </c>
      <c r="K58" s="111">
        <v>-9.383855140988728E-40</v>
      </c>
      <c r="L58" s="111">
        <v>-7.4393987535531523E-40</v>
      </c>
      <c r="M58" s="111">
        <v>-5.897856323357351E-40</v>
      </c>
      <c r="N58" s="111">
        <v>-4.6757399482929165E-40</v>
      </c>
      <c r="O58" s="111">
        <v>-3.706861163286238E-40</v>
      </c>
      <c r="P58" s="111" t="e">
        <v>#VALUE!</v>
      </c>
      <c r="T58" s="107">
        <v>56</v>
      </c>
      <c r="U58" s="27">
        <f t="shared" si="0"/>
        <v>4.666666666666667</v>
      </c>
      <c r="V58" s="18">
        <f t="shared" si="1"/>
        <v>147168000</v>
      </c>
      <c r="W58" s="123">
        <f>POWER($V58-$V50,W$1)/FACT(W$1)</f>
        <v>21024000</v>
      </c>
      <c r="X58" s="123">
        <f>POWER($V58-$V50,X$1)/FACT(X$1)</f>
        <v>221004288000000</v>
      </c>
      <c r="Y58" s="123">
        <f>POWER($V58-$V50,Y$1)/FACT(Y$1)</f>
        <v>1.548798050304E+21</v>
      </c>
      <c r="Z58" s="123">
        <f>POWER($V58-$V50,Z$1)/FACT(Z$1)</f>
        <v>8.1404825523978233E+27</v>
      </c>
      <c r="AA58" s="123">
        <f>POWER($V58-$V50,AA$1)/FACT(AA$1)</f>
        <v>3.422910103632237E+34</v>
      </c>
      <c r="AB58" s="123"/>
      <c r="AC58" s="125">
        <f t="array" ref="AC58:AJ58">AC50:AJ50+TRANSPOSE(J$12:J$19)*W58+TRANSPOSE(J$22:J$29)*X58+TRANSPOSE(J$32:J$39)*Y58+TRANSPOSE(J$42:J$49)*Z58+TRANSPOSE(J$52:J$59)*AA58</f>
        <v>8.1774264440910382</v>
      </c>
      <c r="AD58" s="42">
        <v>3112.5147520030641</v>
      </c>
      <c r="AE58" s="42">
        <v>1346.1304806153369</v>
      </c>
      <c r="AF58" s="42">
        <v>188.12245083913336</v>
      </c>
      <c r="AG58" s="42">
        <v>99.357756641367601</v>
      </c>
      <c r="AH58" s="42">
        <v>50.341423473136601</v>
      </c>
      <c r="AI58" s="42">
        <v>47.300893576564107</v>
      </c>
      <c r="AJ58" s="42">
        <v>23012.538089774051</v>
      </c>
      <c r="AL58" s="19"/>
    </row>
    <row r="59" spans="5:38">
      <c r="E59" s="110"/>
      <c r="F59" s="111">
        <v>-2.416702225708804E-41</v>
      </c>
      <c r="G59" s="111">
        <v>-2.3427308888114697E-41</v>
      </c>
      <c r="H59" s="111">
        <v>-2.2711100159699948E-41</v>
      </c>
      <c r="I59" s="111">
        <v>-2.2017412291510283E-41</v>
      </c>
      <c r="J59" s="111">
        <v>-2.1345365753195676E-41</v>
      </c>
      <c r="K59" s="111">
        <v>-2.0694161352285962E-41</v>
      </c>
      <c r="L59" s="111">
        <v>-2.0063062867876183E-41</v>
      </c>
      <c r="M59" s="111">
        <v>-1.9451384393063774E-41</v>
      </c>
      <c r="N59" s="111">
        <v>-1.8858481067122798E-41</v>
      </c>
      <c r="O59" s="111">
        <v>-1.8283742250079331E-41</v>
      </c>
      <c r="P59" s="111" t="e">
        <v>#VALUE!</v>
      </c>
      <c r="T59" s="107">
        <v>57</v>
      </c>
      <c r="U59" s="27">
        <f t="shared" si="0"/>
        <v>4.75</v>
      </c>
      <c r="V59" s="18">
        <f t="shared" si="1"/>
        <v>149796000</v>
      </c>
      <c r="W59" s="123">
        <f>POWER($V59-$V50,W$1)/FACT(W$1)</f>
        <v>23652000</v>
      </c>
      <c r="X59" s="123">
        <f>POWER($V59-$V50,X$1)/FACT(X$1)</f>
        <v>279708552000000</v>
      </c>
      <c r="Y59" s="123">
        <f>POWER($V59-$V50,Y$1)/FACT(Y$1)</f>
        <v>2.205222223968E+21</v>
      </c>
      <c r="Z59" s="123">
        <f>POWER($V59-$V50,Z$1)/FACT(Z$1)</f>
        <v>1.3039479010322784E+28</v>
      </c>
      <c r="AA59" s="123">
        <f>POWER($V59-$V50,AA$1)/FACT(AA$1)</f>
        <v>6.1681951510430897E+34</v>
      </c>
      <c r="AB59" s="123"/>
      <c r="AC59" s="125">
        <f t="array" ref="AC59:AJ59">AC50:AJ50+TRANSPOSE(J$12:J$19)*W59+TRANSPOSE(J$22:J$29)*X59+TRANSPOSE(J$32:J$39)*Y59+TRANSPOSE(J$42:J$49)*Z59+TRANSPOSE(J$52:J$59)*AA59</f>
        <v>8.0549246228694624</v>
      </c>
      <c r="AD59" s="42">
        <v>3105.7726897207517</v>
      </c>
      <c r="AE59" s="42">
        <v>1348.2525062843886</v>
      </c>
      <c r="AF59" s="42">
        <v>187.95630838736673</v>
      </c>
      <c r="AG59" s="42">
        <v>99.553036862330373</v>
      </c>
      <c r="AH59" s="42">
        <v>50.269038531157207</v>
      </c>
      <c r="AI59" s="42">
        <v>46.401947679996319</v>
      </c>
      <c r="AJ59" s="42">
        <v>22953.287620400617</v>
      </c>
      <c r="AL59" s="19"/>
    </row>
    <row r="60" spans="5:38">
      <c r="E60" s="110"/>
      <c r="T60" s="107">
        <v>58</v>
      </c>
      <c r="U60" s="27">
        <f t="shared" si="0"/>
        <v>4.833333333333333</v>
      </c>
      <c r="V60" s="18">
        <f t="shared" si="1"/>
        <v>152424000</v>
      </c>
      <c r="W60" s="123">
        <f>POWER($V60-$V50,W$1)/FACT(W$1)</f>
        <v>26280000</v>
      </c>
      <c r="X60" s="123">
        <f>POWER($V60-$V50,X$1)/FACT(X$1)</f>
        <v>345319200000000</v>
      </c>
      <c r="Y60" s="123">
        <f>POWER($V60-$V50,Y$1)/FACT(Y$1)</f>
        <v>3.0249961920000001E+21</v>
      </c>
      <c r="Z60" s="123">
        <f>POWER($V60-$V50,Z$1)/FACT(Z$1)</f>
        <v>1.9874224981439999E+28</v>
      </c>
      <c r="AA60" s="123">
        <f>POWER($V60-$V50,AA$1)/FACT(AA$1)</f>
        <v>1.0445892650244865E+35</v>
      </c>
      <c r="AB60" s="123"/>
      <c r="AC60" s="125">
        <f t="array" ref="AC60:AJ60">AC50:AJ50+TRANSPOSE(J$12:J$19)*W60+TRANSPOSE(J$22:J$29)*X60+TRANSPOSE(J$32:J$39)*Y60+TRANSPOSE(J$42:J$49)*Z60+TRANSPOSE(J$52:J$59)*AA60</f>
        <v>7.9342579078558044</v>
      </c>
      <c r="AD60" s="42">
        <v>3099.0246099650294</v>
      </c>
      <c r="AE60" s="42">
        <v>1350.3340190142069</v>
      </c>
      <c r="AF60" s="42">
        <v>187.80248313162551</v>
      </c>
      <c r="AG60" s="42">
        <v>99.746372504402274</v>
      </c>
      <c r="AH60" s="42">
        <v>50.19720058783242</v>
      </c>
      <c r="AI60" s="42">
        <v>45.520209496470457</v>
      </c>
      <c r="AJ60" s="42">
        <v>22894.189703503474</v>
      </c>
      <c r="AL60" s="19"/>
    </row>
    <row r="61" spans="5:38">
      <c r="E61" s="110"/>
      <c r="T61" s="107">
        <v>59</v>
      </c>
      <c r="U61" s="27">
        <f t="shared" si="0"/>
        <v>4.916666666666667</v>
      </c>
      <c r="V61" s="18">
        <f t="shared" si="1"/>
        <v>155052000</v>
      </c>
      <c r="W61" s="123">
        <f>POWER($V61-$V50,W$1)/FACT(W$1)</f>
        <v>28908000</v>
      </c>
      <c r="X61" s="123">
        <f>POWER($V61-$V50,X$1)/FACT(X$1)</f>
        <v>417836232000000</v>
      </c>
      <c r="Y61" s="123">
        <f>POWER($V61-$V50,Y$1)/FACT(Y$1)</f>
        <v>4.0262699315519999E+21</v>
      </c>
      <c r="Z61" s="123">
        <f>POWER($V61-$V50,Z$1)/FACT(Z$1)</f>
        <v>2.9097852795326301E+28</v>
      </c>
      <c r="AA61" s="123">
        <f>POWER($V61-$V50,AA$1)/FACT(AA$1)</f>
        <v>1.6823214572145855E+35</v>
      </c>
      <c r="AB61" s="123"/>
      <c r="AC61" s="125">
        <f t="array" ref="AC61:AJ61">AC50:AJ50+TRANSPOSE(J$12:J$19)*W61+TRANSPOSE(J$22:J$29)*X61+TRANSPOSE(J$32:J$39)*Y61+TRANSPOSE(J$42:J$49)*Z61+TRANSPOSE(J$52:J$59)*AA61</f>
        <v>7.8153987926679198</v>
      </c>
      <c r="AD61" s="42">
        <v>3092.2709570735287</v>
      </c>
      <c r="AE61" s="42">
        <v>1352.3752853430422</v>
      </c>
      <c r="AF61" s="42">
        <v>187.66048653645416</v>
      </c>
      <c r="AG61" s="42">
        <v>99.93782148051497</v>
      </c>
      <c r="AH61" s="42">
        <v>50.125949587224696</v>
      </c>
      <c r="AI61" s="42">
        <v>44.65534888913281</v>
      </c>
      <c r="AJ61" s="42">
        <v>22835.243946303784</v>
      </c>
      <c r="AL61" s="19"/>
    </row>
    <row r="62" spans="5:38">
      <c r="F62" s="110"/>
      <c r="T62" s="107">
        <v>60</v>
      </c>
      <c r="U62" s="27">
        <f t="shared" si="0"/>
        <v>5</v>
      </c>
      <c r="V62" s="18">
        <f t="shared" si="1"/>
        <v>157680000</v>
      </c>
      <c r="W62" s="123">
        <f>POWER($V62-$V50,W$1)/FACT(W$1)</f>
        <v>31536000</v>
      </c>
      <c r="X62" s="123">
        <f>POWER($V62-$V50,X$1)/FACT(X$1)</f>
        <v>497259648000000</v>
      </c>
      <c r="Y62" s="123">
        <f>POWER($V62-$V50,Y$1)/FACT(Y$1)</f>
        <v>5.227193419776E+21</v>
      </c>
      <c r="Z62" s="123">
        <f>POWER($V62-$V50,Z$1)/FACT(Z$1)</f>
        <v>4.121119292151398E+28</v>
      </c>
      <c r="AA62" s="123">
        <f>POWER($V62-$V50,AA$1)/FACT(AA$1)</f>
        <v>2.5992723599457299E+35</v>
      </c>
      <c r="AB62" s="123"/>
      <c r="AC62" s="125">
        <f t="array" ref="AC62:AJ62">AC50:AJ50+TRANSPOSE(J$12:J$19)*W62+TRANSPOSE(J$22:J$29)*X62+TRANSPOSE(J$32:J$39)*Y62+TRANSPOSE(J$42:J$49)*Z62+TRANSPOSE(J$52:J$59)*AA62</f>
        <v>7.6983201775486974</v>
      </c>
      <c r="AD62" s="42">
        <v>3085.5121665883512</v>
      </c>
      <c r="AE62" s="42">
        <v>1354.3765715147363</v>
      </c>
      <c r="AF62" s="42">
        <v>187.52984371210218</v>
      </c>
      <c r="AG62" s="42">
        <v>100.12743976707903</v>
      </c>
      <c r="AH62" s="42">
        <v>50.055323111467885</v>
      </c>
      <c r="AI62" s="42">
        <v>43.807041905163686</v>
      </c>
      <c r="AJ62" s="42">
        <v>22776.449957033674</v>
      </c>
      <c r="AL62" s="19"/>
    </row>
    <row r="63" spans="5:38">
      <c r="F63" s="110"/>
      <c r="T63" s="107">
        <v>61</v>
      </c>
      <c r="U63" s="27">
        <f t="shared" si="0"/>
        <v>5.083333333333333</v>
      </c>
      <c r="V63" s="18">
        <f t="shared" si="1"/>
        <v>160308000</v>
      </c>
      <c r="W63" s="123">
        <f>POWER($V63-$V62,W$1)/FACT(W$1)</f>
        <v>2628000</v>
      </c>
      <c r="X63" s="123">
        <f>POWER($V63-$V62,X$1)/FACT(X$1)</f>
        <v>3453192000000</v>
      </c>
      <c r="Y63" s="123">
        <f>POWER($V63-$V62,Y$1)/FACT(Y$1)</f>
        <v>3.024996192E+18</v>
      </c>
      <c r="Z63" s="123">
        <f>POWER($V63-$V62,Z$1)/FACT(Z$1)</f>
        <v>1.9874224981439998E+24</v>
      </c>
      <c r="AA63" s="123">
        <f>POWER($V63-$V62,AA$1)/FACT(AA$1)</f>
        <v>1.0445892650244864E+30</v>
      </c>
      <c r="AB63" s="123"/>
      <c r="AC63" s="125">
        <f t="array" ref="AC63:AJ63">AC62:AJ62+TRANSPOSE(K$12:K$19)*W63+TRANSPOSE(K$22:K$29)*X63+TRANSPOSE(K$32:K$39)*Y63+TRANSPOSE(K$42:K$49)*Z63+TRANSPOSE(K$52:K$59)*AA63</f>
        <v>7.5829956391358921</v>
      </c>
      <c r="AD63" s="42">
        <v>3078.7486560726838</v>
      </c>
      <c r="AE63" s="42">
        <v>1356.3381461177337</v>
      </c>
      <c r="AF63" s="42">
        <v>187.41012917236452</v>
      </c>
      <c r="AG63" s="42">
        <v>100.31527616445777</v>
      </c>
      <c r="AH63" s="42">
        <v>49.985345453987108</v>
      </c>
      <c r="AI63" s="42">
        <v>42.974977901781351</v>
      </c>
      <c r="AJ63" s="42">
        <v>22717.807344951176</v>
      </c>
      <c r="AL63" s="19"/>
    </row>
    <row r="64" spans="5:38">
      <c r="F64" s="110"/>
      <c r="T64" s="107">
        <v>62</v>
      </c>
      <c r="U64" s="27">
        <f t="shared" si="0"/>
        <v>5.166666666666667</v>
      </c>
      <c r="V64" s="18">
        <f t="shared" si="1"/>
        <v>162936000</v>
      </c>
      <c r="W64" s="123">
        <f>POWER($V64-$V62,W$1)/FACT(W$1)</f>
        <v>5256000</v>
      </c>
      <c r="X64" s="123">
        <f>POWER($V64-$V62,X$1)/FACT(X$1)</f>
        <v>13812768000000</v>
      </c>
      <c r="Y64" s="123">
        <f>POWER($V64-$V62,Y$1)/FACT(Y$1)</f>
        <v>2.4199969536E+19</v>
      </c>
      <c r="Z64" s="123">
        <f>POWER($V64-$V62,Z$1)/FACT(Z$1)</f>
        <v>3.1798759970303997E+25</v>
      </c>
      <c r="AA64" s="123">
        <f>POWER($V64-$V62,AA$1)/FACT(AA$1)</f>
        <v>3.3426856480783565E+31</v>
      </c>
      <c r="AB64" s="123"/>
      <c r="AC64" s="125">
        <f t="array" ref="AC64:AJ64">AC62:AJ62+TRANSPOSE(K$12:K$19)*W64+TRANSPOSE(K$22:K$29)*X64+TRANSPOSE(K$32:K$39)*Y64+TRANSPOSE(K$42:K$49)*Z64+TRANSPOSE(K$52:K$59)*AA64</f>
        <v>7.4693987177607362</v>
      </c>
      <c r="AD64" s="42">
        <v>3071.9808492432021</v>
      </c>
      <c r="AE64" s="42">
        <v>1358.2602732019386</v>
      </c>
      <c r="AF64" s="42">
        <v>187.30087346665991</v>
      </c>
      <c r="AG64" s="42">
        <v>100.50138597885133</v>
      </c>
      <c r="AH64" s="42">
        <v>49.91605609654512</v>
      </c>
      <c r="AI64" s="42">
        <v>42.158840840611752</v>
      </c>
      <c r="AJ64" s="42">
        <v>22659.315720292863</v>
      </c>
      <c r="AL64" s="19"/>
    </row>
    <row r="65" spans="1:38">
      <c r="F65" s="110"/>
      <c r="T65" s="107">
        <v>63</v>
      </c>
      <c r="U65" s="27">
        <f t="shared" si="0"/>
        <v>5.25</v>
      </c>
      <c r="V65" s="18">
        <f t="shared" si="1"/>
        <v>165564000</v>
      </c>
      <c r="W65" s="123">
        <f>POWER($V65-$V62,W$1)/FACT(W$1)</f>
        <v>7884000</v>
      </c>
      <c r="X65" s="123">
        <f>POWER($V65-$V62,X$1)/FACT(X$1)</f>
        <v>31078728000000</v>
      </c>
      <c r="Y65" s="123">
        <f>POWER($V65-$V62,Y$1)/FACT(Y$1)</f>
        <v>8.1674897184E+19</v>
      </c>
      <c r="Z65" s="123">
        <f>POWER($V65-$V62,Z$1)/FACT(Z$1)</f>
        <v>1.6098122234966398E+26</v>
      </c>
      <c r="AA65" s="123">
        <f>POWER($V65-$V62,AA$1)/FACT(AA$1)</f>
        <v>2.5383519140095018E+32</v>
      </c>
      <c r="AB65" s="123"/>
      <c r="AC65" s="125">
        <f t="array" ref="AC65:AJ65">AC62:AJ62+TRANSPOSE(K$12:K$19)*W65+TRANSPOSE(K$22:K$29)*X65+TRANSPOSE(K$32:K$39)*Y65+TRANSPOSE(K$42:K$49)*Z65+TRANSPOSE(K$52:K$59)*AA65</f>
        <v>7.3575035328212879</v>
      </c>
      <c r="AD65" s="42">
        <v>3065.2091550305636</v>
      </c>
      <c r="AE65" s="42">
        <v>1360.1432182843025</v>
      </c>
      <c r="AF65" s="42">
        <v>187.20164490051843</v>
      </c>
      <c r="AG65" s="42">
        <v>100.68581905257214</v>
      </c>
      <c r="AH65" s="42">
        <v>49.847484726634896</v>
      </c>
      <c r="AI65" s="42">
        <v>41.358325537609943</v>
      </c>
      <c r="AJ65" s="42">
        <v>22600.974694310469</v>
      </c>
      <c r="AL65" s="19"/>
    </row>
    <row r="66" spans="1:38">
      <c r="F66" s="110"/>
      <c r="T66" s="107">
        <v>64</v>
      </c>
      <c r="U66" s="27">
        <f t="shared" ref="U66:U129" si="3">V66/(3600*365*24)</f>
        <v>5.333333333333333</v>
      </c>
      <c r="V66" s="18">
        <f t="shared" ref="V66:V129" si="4">T66*D$5</f>
        <v>168192000</v>
      </c>
      <c r="W66" s="123">
        <f>POWER($V66-$V62,W$1)/FACT(W$1)</f>
        <v>10512000</v>
      </c>
      <c r="X66" s="123">
        <f>POWER($V66-$V62,X$1)/FACT(X$1)</f>
        <v>55251072000000</v>
      </c>
      <c r="Y66" s="123">
        <f>POWER($V66-$V62,Y$1)/FACT(Y$1)</f>
        <v>1.93599756288E+20</v>
      </c>
      <c r="Z66" s="123">
        <f>POWER($V66-$V62,Z$1)/FACT(Z$1)</f>
        <v>5.0878015952486396E+26</v>
      </c>
      <c r="AA66" s="123">
        <f>POWER($V66-$V62,AA$1)/FACT(AA$1)</f>
        <v>1.0696594073850741E+33</v>
      </c>
      <c r="AB66" s="123"/>
      <c r="AC66" s="125">
        <f t="array" ref="AC66:AJ66">AC62:AJ62+TRANSPOSE(K$12:K$19)*W66+TRANSPOSE(K$22:K$29)*X66+TRANSPOSE(K$32:K$39)*Y66+TRANSPOSE(K$42:K$49)*Z66+TRANSPOSE(K$52:K$59)*AA66</f>
        <v>7.247284591223484</v>
      </c>
      <c r="AD66" s="42">
        <v>3058.4339740468708</v>
      </c>
      <c r="AE66" s="42">
        <v>1361.9872465133471</v>
      </c>
      <c r="AF66" s="42">
        <v>187.11202455478823</v>
      </c>
      <c r="AG66" s="42">
        <v>100.86862342385641</v>
      </c>
      <c r="AH66" s="42">
        <v>49.779658851511279</v>
      </c>
      <c r="AI66" s="42">
        <v>40.573132652364372</v>
      </c>
      <c r="AJ66" s="42">
        <v>22542.783879256644</v>
      </c>
      <c r="AL66" s="19"/>
    </row>
    <row r="67" spans="1:38">
      <c r="F67" s="110"/>
      <c r="T67" s="107">
        <v>65</v>
      </c>
      <c r="U67" s="27">
        <f t="shared" si="3"/>
        <v>5.416666666666667</v>
      </c>
      <c r="V67" s="18">
        <f t="shared" si="4"/>
        <v>170820000</v>
      </c>
      <c r="W67" s="123">
        <f>POWER($V67-$V62,W$1)/FACT(W$1)</f>
        <v>13140000</v>
      </c>
      <c r="X67" s="123">
        <f>POWER($V67-$V62,X$1)/FACT(X$1)</f>
        <v>86329800000000</v>
      </c>
      <c r="Y67" s="123">
        <f>POWER($V67-$V62,Y$1)/FACT(Y$1)</f>
        <v>3.7812452400000002E+20</v>
      </c>
      <c r="Z67" s="123">
        <f>POWER($V67-$V62,Z$1)/FACT(Z$1)</f>
        <v>1.2421390613399999E+27</v>
      </c>
      <c r="AA67" s="123">
        <f>POWER($V67-$V62,AA$1)/FACT(AA$1)</f>
        <v>3.2643414532015203E+33</v>
      </c>
      <c r="AB67" s="123"/>
      <c r="AC67" s="125">
        <f t="array" ref="AC67:AJ67">AC62:AJ62+TRANSPOSE(K$12:K$19)*W67+TRANSPOSE(K$22:K$29)*X67+TRANSPOSE(K$32:K$39)*Y67+TRANSPOSE(K$42:K$49)*Z67+TRANSPOSE(K$52:K$59)*AA67</f>
        <v>7.1387167813501096</v>
      </c>
      <c r="AD67" s="42">
        <v>3051.6556987469808</v>
      </c>
      <c r="AE67" s="42">
        <v>1363.7926226387051</v>
      </c>
      <c r="AF67" s="42">
        <v>187.03160590902706</v>
      </c>
      <c r="AG67" s="42">
        <v>101.04984538332575</v>
      </c>
      <c r="AH67" s="42">
        <v>49.712603891832714</v>
      </c>
      <c r="AI67" s="42">
        <v>39.802968570469702</v>
      </c>
      <c r="AJ67" s="42">
        <v>22484.742888382334</v>
      </c>
      <c r="AL67" s="19"/>
    </row>
    <row r="68" spans="1:38">
      <c r="F68" s="110"/>
      <c r="T68" s="107">
        <v>66</v>
      </c>
      <c r="U68" s="27">
        <f t="shared" si="3"/>
        <v>5.5</v>
      </c>
      <c r="V68" s="18">
        <f t="shared" si="4"/>
        <v>173448000</v>
      </c>
      <c r="W68" s="123">
        <f>POWER($V68-$V62,W$1)/FACT(W$1)</f>
        <v>15768000</v>
      </c>
      <c r="X68" s="123">
        <f>POWER($V68-$V62,X$1)/FACT(X$1)</f>
        <v>124314912000000</v>
      </c>
      <c r="Y68" s="123">
        <f>POWER($V68-$V62,Y$1)/FACT(Y$1)</f>
        <v>6.53399177472E+20</v>
      </c>
      <c r="Z68" s="123">
        <f>POWER($V68-$V62,Z$1)/FACT(Z$1)</f>
        <v>2.5756995575946237E+27</v>
      </c>
      <c r="AA68" s="123">
        <f>POWER($V68-$V62,AA$1)/FACT(AA$1)</f>
        <v>8.1227261248304059E+33</v>
      </c>
      <c r="AB68" s="123"/>
      <c r="AC68" s="125">
        <f t="array" ref="AC68:AJ68">AC62:AJ62+TRANSPOSE(K$12:K$19)*W68+TRANSPOSE(K$22:K$29)*X68+TRANSPOSE(K$32:K$39)*Y68+TRANSPOSE(K$42:K$49)*Z68+TRANSPOSE(K$52:K$59)*AA68</f>
        <v>7.0317753670297565</v>
      </c>
      <c r="AD68" s="42">
        <v>3044.8747135898202</v>
      </c>
      <c r="AE68" s="42">
        <v>1365.5596109806595</v>
      </c>
      <c r="AF68" s="42">
        <v>186.95999446489284</v>
      </c>
      <c r="AG68" s="42">
        <v>101.22952953044863</v>
      </c>
      <c r="AH68" s="42">
        <v>49.646343275303032</v>
      </c>
      <c r="AI68" s="42">
        <v>39.047545285899481</v>
      </c>
      <c r="AJ68" s="42">
        <v>22426.851335934211</v>
      </c>
      <c r="AL68" s="19"/>
    </row>
    <row r="69" spans="1:38">
      <c r="F69" s="110"/>
      <c r="T69" s="107">
        <v>67</v>
      </c>
      <c r="U69" s="27">
        <f t="shared" si="3"/>
        <v>5.583333333333333</v>
      </c>
      <c r="V69" s="18">
        <f t="shared" si="4"/>
        <v>176076000</v>
      </c>
      <c r="W69" s="123">
        <f>POWER($V69-$V62,W$1)/FACT(W$1)</f>
        <v>18396000</v>
      </c>
      <c r="X69" s="123">
        <f>POWER($V69-$V62,X$1)/FACT(X$1)</f>
        <v>169206408000000</v>
      </c>
      <c r="Y69" s="123">
        <f>POWER($V69-$V62,Y$1)/FACT(Y$1)</f>
        <v>1.037573693856E+21</v>
      </c>
      <c r="Z69" s="123">
        <f>POWER($V69-$V62,Z$1)/FACT(Z$1)</f>
        <v>4.7718014180437445E+27</v>
      </c>
      <c r="AA69" s="123">
        <f>POWER($V69-$V62,AA$1)/FACT(AA$1)</f>
        <v>1.7556411777266544E+34</v>
      </c>
      <c r="AB69" s="123"/>
      <c r="AC69" s="125">
        <f t="array" ref="AC69:AJ69">AC62:AJ62+TRANSPOSE(K$12:K$19)*W69+TRANSPOSE(K$22:K$29)*X69+TRANSPOSE(K$32:K$39)*Y69+TRANSPOSE(K$42:K$49)*Z69+TRANSPOSE(K$52:K$59)*AA69</f>
        <v>6.9264359815057821</v>
      </c>
      <c r="AD69" s="42">
        <v>3038.0913951996886</v>
      </c>
      <c r="AE69" s="42">
        <v>1367.2884753996852</v>
      </c>
      <c r="AF69" s="42">
        <v>186.89680736953488</v>
      </c>
      <c r="AG69" s="42">
        <v>101.40771883000205</v>
      </c>
      <c r="AH69" s="42">
        <v>49.580898530313114</v>
      </c>
      <c r="AI69" s="42">
        <v>38.306580283378814</v>
      </c>
      <c r="AJ69" s="42">
        <v>22369.108837152067</v>
      </c>
      <c r="AL69" s="19"/>
    </row>
    <row r="70" spans="1:38">
      <c r="T70" s="107">
        <v>68</v>
      </c>
      <c r="U70" s="27">
        <f t="shared" si="3"/>
        <v>5.666666666666667</v>
      </c>
      <c r="V70" s="18">
        <f t="shared" si="4"/>
        <v>178704000</v>
      </c>
      <c r="W70" s="123">
        <f>POWER($V70-$V62,W$1)/FACT(W$1)</f>
        <v>21024000</v>
      </c>
      <c r="X70" s="123">
        <f>POWER($V70-$V62,X$1)/FACT(X$1)</f>
        <v>221004288000000</v>
      </c>
      <c r="Y70" s="123">
        <f>POWER($V70-$V62,Y$1)/FACT(Y$1)</f>
        <v>1.548798050304E+21</v>
      </c>
      <c r="Z70" s="123">
        <f>POWER($V70-$V62,Z$1)/FACT(Z$1)</f>
        <v>8.1404825523978233E+27</v>
      </c>
      <c r="AA70" s="123">
        <f>POWER($V70-$V62,AA$1)/FACT(AA$1)</f>
        <v>3.422910103632237E+34</v>
      </c>
      <c r="AB70" s="123"/>
      <c r="AC70" s="125">
        <f t="array" ref="AC70:AJ70">AC62:AJ62+TRANSPOSE(K$12:K$19)*W70+TRANSPOSE(K$22:K$29)*X70+TRANSPOSE(K$32:K$39)*Y70+TRANSPOSE(K$42:K$49)*Z70+TRANSPOSE(K$52:K$59)*AA70</f>
        <v>6.8226746214052794</v>
      </c>
      <c r="AD70" s="42">
        <v>3031.3061125275781</v>
      </c>
      <c r="AE70" s="42">
        <v>1368.9794792659886</v>
      </c>
      <c r="AF70" s="42">
        <v>186.84167303898479</v>
      </c>
      <c r="AG70" s="42">
        <v>101.58445466853296</v>
      </c>
      <c r="AH70" s="42">
        <v>49.516289379582737</v>
      </c>
      <c r="AI70" s="42">
        <v>37.57979642075712</v>
      </c>
      <c r="AJ70" s="42">
        <v>22311.515008266222</v>
      </c>
      <c r="AL70" s="19"/>
    </row>
    <row r="71" spans="1:38">
      <c r="T71" s="107">
        <v>69</v>
      </c>
      <c r="U71" s="27">
        <f t="shared" si="3"/>
        <v>5.75</v>
      </c>
      <c r="V71" s="18">
        <f t="shared" si="4"/>
        <v>181332000</v>
      </c>
      <c r="W71" s="123">
        <f>POWER($V71-$V62,W$1)/FACT(W$1)</f>
        <v>23652000</v>
      </c>
      <c r="X71" s="123">
        <f>POWER($V71-$V62,X$1)/FACT(X$1)</f>
        <v>279708552000000</v>
      </c>
      <c r="Y71" s="123">
        <f>POWER($V71-$V62,Y$1)/FACT(Y$1)</f>
        <v>2.205222223968E+21</v>
      </c>
      <c r="Z71" s="123">
        <f>POWER($V71-$V62,Z$1)/FACT(Z$1)</f>
        <v>1.3039479010322784E+28</v>
      </c>
      <c r="AA71" s="123">
        <f>POWER($V71-$V62,AA$1)/FACT(AA$1)</f>
        <v>6.1681951510430897E+34</v>
      </c>
      <c r="AB71" s="123"/>
      <c r="AC71" s="125">
        <f t="array" ref="AC71:AJ71">AC62:AJ62+TRANSPOSE(K$12:K$19)*W71+TRANSPOSE(K$22:K$29)*X71+TRANSPOSE(K$32:K$39)*Y71+TRANSPOSE(K$42:K$49)*Z71+TRANSPOSE(K$52:K$59)*AA71</f>
        <v>6.7204676407080326</v>
      </c>
      <c r="AD71" s="42">
        <v>3024.5192270124776</v>
      </c>
      <c r="AE71" s="42">
        <v>1370.6328854290493</v>
      </c>
      <c r="AF71" s="42">
        <v>186.7942307815477</v>
      </c>
      <c r="AG71" s="42">
        <v>101.75977691081982</v>
      </c>
      <c r="AH71" s="42">
        <v>49.452533833802249</v>
      </c>
      <c r="AI71" s="42">
        <v>36.866921811380827</v>
      </c>
      <c r="AJ71" s="42">
        <v>22254.069466494937</v>
      </c>
      <c r="AL71" s="19"/>
    </row>
    <row r="72" spans="1:38">
      <c r="T72" s="107">
        <v>70</v>
      </c>
      <c r="U72" s="27">
        <f t="shared" si="3"/>
        <v>5.833333333333333</v>
      </c>
      <c r="V72" s="18">
        <f t="shared" si="4"/>
        <v>183960000</v>
      </c>
      <c r="W72" s="123">
        <f>POWER($V72-$V62,W$1)/FACT(W$1)</f>
        <v>26280000</v>
      </c>
      <c r="X72" s="123">
        <f>POWER($V72-$V62,X$1)/FACT(X$1)</f>
        <v>345319200000000</v>
      </c>
      <c r="Y72" s="123">
        <f>POWER($V72-$V62,Y$1)/FACT(Y$1)</f>
        <v>3.0249961920000001E+21</v>
      </c>
      <c r="Z72" s="123">
        <f>POWER($V72-$V62,Z$1)/FACT(Z$1)</f>
        <v>1.9874224981439999E+28</v>
      </c>
      <c r="AA72" s="123">
        <f>POWER($V72-$V62,AA$1)/FACT(AA$1)</f>
        <v>1.0445892650244865E+35</v>
      </c>
      <c r="AB72" s="123"/>
      <c r="AC72" s="125">
        <f t="array" ref="AC72:AJ72">AC62:AJ62+TRANSPOSE(K$12:K$19)*W72+TRANSPOSE(K$22:K$29)*X72+TRANSPOSE(K$32:K$39)*Y72+TRANSPOSE(K$42:K$49)*Z72+TRANSPOSE(K$52:K$59)*AA72</f>
        <v>6.619791744715485</v>
      </c>
      <c r="AD72" s="42">
        <v>3017.7310927426879</v>
      </c>
      <c r="AE72" s="42">
        <v>1372.2489561871578</v>
      </c>
      <c r="AF72" s="42">
        <v>186.75413042119288</v>
      </c>
      <c r="AG72" s="42">
        <v>101.93372395633429</v>
      </c>
      <c r="AH72" s="42">
        <v>49.38964828527439</v>
      </c>
      <c r="AI72" s="42">
        <v>36.167689706466057</v>
      </c>
      <c r="AJ72" s="42">
        <v>22196.771830041813</v>
      </c>
      <c r="AL72" s="19"/>
    </row>
    <row r="73" spans="1:38">
      <c r="S73" s="24"/>
      <c r="T73" s="107">
        <v>71</v>
      </c>
      <c r="U73" s="27">
        <f t="shared" si="3"/>
        <v>5.916666666666667</v>
      </c>
      <c r="V73" s="18">
        <f t="shared" si="4"/>
        <v>186588000</v>
      </c>
      <c r="W73" s="123">
        <f>POWER($V73-$V62,W$1)/FACT(W$1)</f>
        <v>28908000</v>
      </c>
      <c r="X73" s="123">
        <f>POWER($V73-$V62,X$1)/FACT(X$1)</f>
        <v>417836232000000</v>
      </c>
      <c r="Y73" s="123">
        <f>POWER($V73-$V62,Y$1)/FACT(Y$1)</f>
        <v>4.0262699315519999E+21</v>
      </c>
      <c r="Z73" s="123">
        <f>POWER($V73-$V62,Z$1)/FACT(Z$1)</f>
        <v>2.9097852795326301E+28</v>
      </c>
      <c r="AA73" s="123">
        <f>POWER($V73-$V62,AA$1)/FACT(AA$1)</f>
        <v>1.6823214572145855E+35</v>
      </c>
      <c r="AB73" s="123"/>
      <c r="AC73" s="125">
        <f t="array" ref="AC73:AJ73">AC62:AJ62+TRANSPOSE(K$12:K$19)*W73+TRANSPOSE(K$22:K$29)*X73+TRANSPOSE(K$32:K$39)*Y73+TRANSPOSE(K$42:K$49)*Z73+TRANSPOSE(K$52:K$59)*AA73</f>
        <v>6.5206239840196911</v>
      </c>
      <c r="AD73" s="42">
        <v>3010.9420566171316</v>
      </c>
      <c r="AE73" s="42">
        <v>1373.8279532569582</v>
      </c>
      <c r="AF73" s="42">
        <v>186.72103192094517</v>
      </c>
      <c r="AG73" s="42">
        <v>102.1063327957026</v>
      </c>
      <c r="AH73" s="42">
        <v>49.327647601555952</v>
      </c>
      <c r="AI73" s="42">
        <v>35.481838377471384</v>
      </c>
      <c r="AJ73" s="42">
        <v>22139.621718093182</v>
      </c>
      <c r="AL73" s="19"/>
    </row>
    <row r="74" spans="1:38">
      <c r="T74" s="107">
        <v>72</v>
      </c>
      <c r="U74" s="27">
        <f t="shared" si="3"/>
        <v>6</v>
      </c>
      <c r="V74" s="18">
        <f t="shared" si="4"/>
        <v>189216000</v>
      </c>
      <c r="W74" s="123">
        <f>POWER($V74-$V62,W$1)/FACT(W$1)</f>
        <v>31536000</v>
      </c>
      <c r="X74" s="123">
        <f>POWER($V74-$V62,X$1)/FACT(X$1)</f>
        <v>497259648000000</v>
      </c>
      <c r="Y74" s="123">
        <f>POWER($V74-$V62,Y$1)/FACT(Y$1)</f>
        <v>5.227193419776E+21</v>
      </c>
      <c r="Z74" s="123">
        <f>POWER($V74-$V62,Z$1)/FACT(Z$1)</f>
        <v>4.121119292151398E+28</v>
      </c>
      <c r="AA74" s="123">
        <f>POWER($V74-$V62,AA$1)/FACT(AA$1)</f>
        <v>2.5992723599457299E+35</v>
      </c>
      <c r="AB74" s="123"/>
      <c r="AC74" s="125">
        <f t="array" ref="AC74:AJ74">AC62:AJ62+TRANSPOSE(K$12:K$19)*W74+TRANSPOSE(K$22:K$29)*X74+TRANSPOSE(K$32:K$39)*Y74+TRANSPOSE(K$42:K$49)*Z74+TRANSPOSE(K$52:K$59)*AA74</f>
        <v>6.4229417484722955</v>
      </c>
      <c r="AD74" s="42">
        <v>3004.1524585066609</v>
      </c>
      <c r="AE74" s="42">
        <v>1375.3701377429875</v>
      </c>
      <c r="AF74" s="42">
        <v>186.69460500627574</v>
      </c>
      <c r="AG74" s="42">
        <v>102.27763906716712</v>
      </c>
      <c r="AH74" s="42">
        <v>49.266545219099633</v>
      </c>
      <c r="AI74" s="42">
        <v>34.809110998470473</v>
      </c>
      <c r="AJ74" s="42">
        <v>22082.618750815549</v>
      </c>
      <c r="AL74" s="19"/>
    </row>
    <row r="75" spans="1:38">
      <c r="T75" s="107">
        <v>73</v>
      </c>
      <c r="U75" s="27">
        <f t="shared" si="3"/>
        <v>6.083333333333333</v>
      </c>
      <c r="V75" s="18">
        <f t="shared" si="4"/>
        <v>191844000</v>
      </c>
      <c r="W75" s="123">
        <f>POWER($V75-$V74,W$1)/FACT(W$1)</f>
        <v>2628000</v>
      </c>
      <c r="X75" s="123">
        <f>POWER($V75-$V74,X$1)/FACT(X$1)</f>
        <v>3453192000000</v>
      </c>
      <c r="Y75" s="123">
        <f>POWER($V75-$V74,Y$1)/FACT(Y$1)</f>
        <v>3.024996192E+18</v>
      </c>
      <c r="Z75" s="123">
        <f>POWER($V75-$V74,Z$1)/FACT(Z$1)</f>
        <v>1.9874224981439998E+24</v>
      </c>
      <c r="AA75" s="123">
        <f>POWER($V75-$V74,AA$1)/FACT(AA$1)</f>
        <v>1.0445892650244864E+30</v>
      </c>
      <c r="AB75" s="123"/>
      <c r="AC75" s="125">
        <f t="array" ref="AC75:AJ75">AC74:AJ74+TRANSPOSE(L$12:L$19)*W75+TRANSPOSE(L$22:L$29)*X75+TRANSPOSE(L$32:L$39)*Y75+TRANSPOSE(L$42:L$49)*Z75+TRANSPOSE(L$52:L$59)*AA75</f>
        <v>6.3267229922616695</v>
      </c>
      <c r="AD75" s="42">
        <v>2997.362623885881</v>
      </c>
      <c r="AE75" s="42">
        <v>1376.8757722021278</v>
      </c>
      <c r="AF75" s="42">
        <v>186.67455488330157</v>
      </c>
      <c r="AG75" s="42">
        <v>102.44767325197908</v>
      </c>
      <c r="AH75" s="42">
        <v>49.206345510385297</v>
      </c>
      <c r="AI75" s="42">
        <v>34.149261295569154</v>
      </c>
      <c r="AJ75" s="42">
        <v>22025.762549370065</v>
      </c>
      <c r="AL75" s="19"/>
    </row>
    <row r="76" spans="1:38">
      <c r="T76" s="107">
        <v>74</v>
      </c>
      <c r="U76" s="27">
        <f t="shared" si="3"/>
        <v>6.166666666666667</v>
      </c>
      <c r="V76" s="18">
        <f t="shared" si="4"/>
        <v>194472000</v>
      </c>
      <c r="W76" s="123">
        <f>POWER($V76-$V74,W$1)/FACT(W$1)</f>
        <v>5256000</v>
      </c>
      <c r="X76" s="123">
        <f>POWER($V76-$V74,X$1)/FACT(X$1)</f>
        <v>13812768000000</v>
      </c>
      <c r="Y76" s="123">
        <f>POWER($V76-$V74,Y$1)/FACT(Y$1)</f>
        <v>2.4199969536E+19</v>
      </c>
      <c r="Z76" s="123">
        <f>POWER($V76-$V74,Z$1)/FACT(Z$1)</f>
        <v>3.1798759970303997E+25</v>
      </c>
      <c r="AA76" s="123">
        <f>POWER($V76-$V74,AA$1)/FACT(AA$1)</f>
        <v>3.3426856480783565E+31</v>
      </c>
      <c r="AB76" s="123"/>
      <c r="AC76" s="125">
        <f t="array" ref="AC76:AJ76">AC74:AJ74+TRANSPOSE(L$12:L$19)*W76+TRANSPOSE(L$22:L$29)*X76+TRANSPOSE(L$32:L$39)*Y76+TRANSPOSE(L$42:L$49)*Z76+TRANSPOSE(L$52:L$59)*AA76</f>
        <v>6.2319456392845494</v>
      </c>
      <c r="AD76" s="42">
        <v>2990.5728831951642</v>
      </c>
      <c r="AE76" s="42">
        <v>1378.3451152660557</v>
      </c>
      <c r="AF76" s="42">
        <v>186.66055508595173</v>
      </c>
      <c r="AG76" s="42">
        <v>102.61647060822565</v>
      </c>
      <c r="AH76" s="42">
        <v>49.14706366990228</v>
      </c>
      <c r="AI76" s="42">
        <v>33.502038717289501</v>
      </c>
      <c r="AJ76" s="42">
        <v>21969.052735866619</v>
      </c>
      <c r="AL76" s="19"/>
    </row>
    <row r="77" spans="1:38">
      <c r="T77" s="107">
        <v>75</v>
      </c>
      <c r="U77" s="27">
        <f t="shared" si="3"/>
        <v>6.25</v>
      </c>
      <c r="V77" s="18">
        <f t="shared" si="4"/>
        <v>197100000</v>
      </c>
      <c r="W77" s="123">
        <f>POWER($V77-$V74,W$1)/FACT(W$1)</f>
        <v>7884000</v>
      </c>
      <c r="X77" s="123">
        <f>POWER($V77-$V74,X$1)/FACT(X$1)</f>
        <v>31078728000000</v>
      </c>
      <c r="Y77" s="123">
        <f>POWER($V77-$V74,Y$1)/FACT(Y$1)</f>
        <v>8.1674897184E+19</v>
      </c>
      <c r="Z77" s="123">
        <f>POWER($V77-$V74,Z$1)/FACT(Z$1)</f>
        <v>1.6098122234966398E+26</v>
      </c>
      <c r="AA77" s="123">
        <f>POWER($V77-$V74,AA$1)/FACT(AA$1)</f>
        <v>2.5383519140095018E+32</v>
      </c>
      <c r="AB77" s="123"/>
      <c r="AC77" s="125">
        <f t="array" ref="AC77:AJ77">AC74:AJ74+TRANSPOSE(L$12:L$19)*W77+TRANSPOSE(L$22:L$29)*X77+TRANSPOSE(L$32:L$39)*Y77+TRANSPOSE(L$42:L$49)*Z77+TRANSPOSE(L$52:L$59)*AA77</f>
        <v>6.1385880965706709</v>
      </c>
      <c r="AD77" s="42">
        <v>2983.7835550401505</v>
      </c>
      <c r="AE77" s="42">
        <v>1379.7784263377107</v>
      </c>
      <c r="AF77" s="42">
        <v>186.65230625109805</v>
      </c>
      <c r="AG77" s="42">
        <v>102.78406247985058</v>
      </c>
      <c r="AH77" s="42">
        <v>49.088708261302571</v>
      </c>
      <c r="AI77" s="42">
        <v>32.867201317327542</v>
      </c>
      <c r="AJ77" s="42">
        <v>21912.488933399316</v>
      </c>
      <c r="AL77" s="19"/>
    </row>
    <row r="78" spans="1:38">
      <c r="A78" s="4"/>
      <c r="B78" s="4"/>
      <c r="T78" s="107">
        <v>76</v>
      </c>
      <c r="U78" s="27">
        <f t="shared" si="3"/>
        <v>6.333333333333333</v>
      </c>
      <c r="V78" s="18">
        <f t="shared" si="4"/>
        <v>199728000</v>
      </c>
      <c r="W78" s="123">
        <f>POWER($V78-$V74,W$1)/FACT(W$1)</f>
        <v>10512000</v>
      </c>
      <c r="X78" s="123">
        <f>POWER($V78-$V74,X$1)/FACT(X$1)</f>
        <v>55251072000000</v>
      </c>
      <c r="Y78" s="123">
        <f>POWER($V78-$V74,Y$1)/FACT(Y$1)</f>
        <v>1.93599756288E+20</v>
      </c>
      <c r="Z78" s="123">
        <f>POWER($V78-$V74,Z$1)/FACT(Z$1)</f>
        <v>5.0878015952486396E+26</v>
      </c>
      <c r="AA78" s="123">
        <f>POWER($V78-$V74,AA$1)/FACT(AA$1)</f>
        <v>1.0696594073850741E+33</v>
      </c>
      <c r="AB78" s="123"/>
      <c r="AC78" s="125">
        <f t="array" ref="AC78:AJ78">AC74:AJ74+TRANSPOSE(L$12:L$19)*W78+TRANSPOSE(L$22:L$29)*X78+TRANSPOSE(L$32:L$39)*Y78+TRANSPOSE(L$42:L$49)*Z78+TRANSPOSE(L$52:L$59)*AA78</f>
        <v>6.0466290944593331</v>
      </c>
      <c r="AD78" s="42">
        <v>2976.9949513806855</v>
      </c>
      <c r="AE78" s="42">
        <v>1381.1759641585547</v>
      </c>
      <c r="AF78" s="42">
        <v>186.64951815189931</v>
      </c>
      <c r="AG78" s="42">
        <v>102.95047895360932</v>
      </c>
      <c r="AH78" s="42">
        <v>49.031286533790251</v>
      </c>
      <c r="AI78" s="42">
        <v>32.244511782129521</v>
      </c>
      <c r="AJ78" s="42">
        <v>21856.070766032695</v>
      </c>
      <c r="AL78" s="19"/>
    </row>
    <row r="79" spans="1:38">
      <c r="A79" s="4"/>
      <c r="B79" s="4"/>
      <c r="T79" s="107">
        <v>77</v>
      </c>
      <c r="U79" s="27">
        <f t="shared" si="3"/>
        <v>6.416666666666667</v>
      </c>
      <c r="V79" s="18">
        <f t="shared" si="4"/>
        <v>202356000</v>
      </c>
      <c r="W79" s="123">
        <f>POWER($V79-$V74,W$1)/FACT(W$1)</f>
        <v>13140000</v>
      </c>
      <c r="X79" s="123">
        <f>POWER($V79-$V74,X$1)/FACT(X$1)</f>
        <v>86329800000000</v>
      </c>
      <c r="Y79" s="123">
        <f>POWER($V79-$V74,Y$1)/FACT(Y$1)</f>
        <v>3.7812452400000002E+20</v>
      </c>
      <c r="Z79" s="123">
        <f>POWER($V79-$V74,Z$1)/FACT(Z$1)</f>
        <v>1.2421390613399999E+27</v>
      </c>
      <c r="AA79" s="123">
        <f>POWER($V79-$V74,AA$1)/FACT(AA$1)</f>
        <v>3.2643414532015203E+33</v>
      </c>
      <c r="AB79" s="123"/>
      <c r="AC79" s="125">
        <f t="array" ref="AC79:AJ79">AC74:AJ74+TRANSPOSE(L$12:L$19)*W79+TRANSPOSE(L$22:L$29)*X79+TRANSPOSE(L$32:L$39)*Y79+TRANSPOSE(L$42:L$49)*Z79+TRANSPOSE(L$52:L$59)*AA79</f>
        <v>5.9560476815675223</v>
      </c>
      <c r="AD79" s="42">
        <v>2970.2073776601478</v>
      </c>
      <c r="AE79" s="42">
        <v>1382.5379867868992</v>
      </c>
      <c r="AF79" s="42">
        <v>186.65190942688801</v>
      </c>
      <c r="AG79" s="42">
        <v>103.11574889982492</v>
      </c>
      <c r="AH79" s="42">
        <v>48.974804484923538</v>
      </c>
      <c r="AI79" s="42">
        <v>31.633737337638486</v>
      </c>
      <c r="AJ79" s="42">
        <v>21799.797858799189</v>
      </c>
      <c r="AL79" s="19"/>
    </row>
    <row r="80" spans="1:38">
      <c r="A80" s="4"/>
      <c r="B80" s="4"/>
      <c r="T80" s="107">
        <v>78</v>
      </c>
      <c r="U80" s="27">
        <f t="shared" si="3"/>
        <v>6.5</v>
      </c>
      <c r="V80" s="18">
        <f t="shared" si="4"/>
        <v>204984000</v>
      </c>
      <c r="W80" s="123">
        <f>POWER($V80-$V74,W$1)/FACT(W$1)</f>
        <v>15768000</v>
      </c>
      <c r="X80" s="123">
        <f>POWER($V80-$V74,X$1)/FACT(X$1)</f>
        <v>124314912000000</v>
      </c>
      <c r="Y80" s="123">
        <f>POWER($V80-$V74,Y$1)/FACT(Y$1)</f>
        <v>6.53399177472E+20</v>
      </c>
      <c r="Z80" s="123">
        <f>POWER($V80-$V74,Z$1)/FACT(Z$1)</f>
        <v>2.5756995575946237E+27</v>
      </c>
      <c r="AA80" s="123">
        <f>POWER($V80-$V74,AA$1)/FACT(AA$1)</f>
        <v>8.1227261248304059E+33</v>
      </c>
      <c r="AB80" s="123"/>
      <c r="AC80" s="125">
        <f t="array" ref="AC80:AJ80">AC74:AJ74+TRANSPOSE(L$12:L$19)*W80+TRANSPOSE(L$22:L$29)*X80+TRANSPOSE(L$32:L$39)*Y80+TRANSPOSE(L$42:L$49)*Z80+TRANSPOSE(L$52:L$59)*AA80</f>
        <v>5.8668232197580386</v>
      </c>
      <c r="AD80" s="42">
        <v>2963.421132934764</v>
      </c>
      <c r="AE80" s="42">
        <v>1383.8647515762289</v>
      </c>
      <c r="AF80" s="42">
        <v>186.65920730905626</v>
      </c>
      <c r="AG80" s="42">
        <v>103.27990001314373</v>
      </c>
      <c r="AH80" s="42">
        <v>48.919266923416728</v>
      </c>
      <c r="AI80" s="42">
        <v>31.034649656040962</v>
      </c>
      <c r="AJ80" s="42">
        <v>21743.669837696594</v>
      </c>
      <c r="AL80" s="19"/>
    </row>
    <row r="81" spans="1:38">
      <c r="A81" s="4"/>
      <c r="B81" s="4"/>
      <c r="T81" s="107">
        <v>79</v>
      </c>
      <c r="U81" s="27">
        <f t="shared" si="3"/>
        <v>6.583333333333333</v>
      </c>
      <c r="V81" s="18">
        <f t="shared" si="4"/>
        <v>207612000</v>
      </c>
      <c r="W81" s="123">
        <f>POWER($V81-$V74,W$1)/FACT(W$1)</f>
        <v>18396000</v>
      </c>
      <c r="X81" s="123">
        <f>POWER($V81-$V74,X$1)/FACT(X$1)</f>
        <v>169206408000000</v>
      </c>
      <c r="Y81" s="123">
        <f>POWER($V81-$V74,Y$1)/FACT(Y$1)</f>
        <v>1.037573693856E+21</v>
      </c>
      <c r="Z81" s="123">
        <f>POWER($V81-$V74,Z$1)/FACT(Z$1)</f>
        <v>4.7718014180437445E+27</v>
      </c>
      <c r="AA81" s="123">
        <f>POWER($V81-$V74,AA$1)/FACT(AA$1)</f>
        <v>1.7556411777266544E+34</v>
      </c>
      <c r="AB81" s="123"/>
      <c r="AC81" s="125">
        <f t="array" ref="AC81:AJ81">AC74:AJ74+TRANSPOSE(L$12:L$19)*W81+TRANSPOSE(L$22:L$29)*X81+TRANSPOSE(L$32:L$39)*Y81+TRANSPOSE(L$42:L$49)*Z81+TRANSPOSE(L$52:L$59)*AA81</f>
        <v>5.7789353791076117</v>
      </c>
      <c r="AD81" s="42">
        <v>2956.6365100029316</v>
      </c>
      <c r="AE81" s="42">
        <v>1385.1565151535247</v>
      </c>
      <c r="AF81" s="42">
        <v>186.6711473549426</v>
      </c>
      <c r="AG81" s="42">
        <v>103.44295885329134</v>
      </c>
      <c r="AH81" s="42">
        <v>48.864677531942256</v>
      </c>
      <c r="AI81" s="42">
        <v>30.447024762513493</v>
      </c>
      <c r="AJ81" s="42">
        <v>21687.686329685599</v>
      </c>
      <c r="AL81" s="19"/>
    </row>
    <row r="82" spans="1:38">
      <c r="A82" s="4"/>
      <c r="B82" s="4"/>
      <c r="T82" s="107">
        <v>80</v>
      </c>
      <c r="U82" s="27">
        <f t="shared" si="3"/>
        <v>6.666666666666667</v>
      </c>
      <c r="V82" s="18">
        <f t="shared" si="4"/>
        <v>210240000</v>
      </c>
      <c r="W82" s="123">
        <f>POWER($V82-$V74,W$1)/FACT(W$1)</f>
        <v>21024000</v>
      </c>
      <c r="X82" s="123">
        <f>POWER($V82-$V74,X$1)/FACT(X$1)</f>
        <v>221004288000000</v>
      </c>
      <c r="Y82" s="123">
        <f>POWER($V82-$V74,Y$1)/FACT(Y$1)</f>
        <v>1.548798050304E+21</v>
      </c>
      <c r="Z82" s="123">
        <f>POWER($V82-$V74,Z$1)/FACT(Z$1)</f>
        <v>8.1404825523978233E+27</v>
      </c>
      <c r="AA82" s="123">
        <f>POWER($V82-$V74,AA$1)/FACT(AA$1)</f>
        <v>3.422910103632237E+34</v>
      </c>
      <c r="AB82" s="123"/>
      <c r="AC82" s="125">
        <f t="array" ref="AC82:AJ82">AC74:AJ74+TRANSPOSE(L$12:L$19)*W82+TRANSPOSE(L$22:L$29)*X82+TRANSPOSE(L$32:L$39)*Y82+TRANSPOSE(L$42:L$49)*Z82+TRANSPOSE(L$52:L$59)*AA82</f>
        <v>5.6923641328750358</v>
      </c>
      <c r="AD82" s="42">
        <v>2949.8537955345387</v>
      </c>
      <c r="AE82" s="42">
        <v>1386.4135333975878</v>
      </c>
      <c r="AF82" s="42">
        <v>186.68747317371827</v>
      </c>
      <c r="AG82" s="42">
        <v>103.60495088582823</v>
      </c>
      <c r="AH82" s="42">
        <v>48.8110389299327</v>
      </c>
      <c r="AI82" s="42">
        <v>29.870642941969269</v>
      </c>
      <c r="AJ82" s="42">
        <v>21631.846962687228</v>
      </c>
      <c r="AL82" s="19"/>
    </row>
    <row r="83" spans="1:38">
      <c r="A83" s="4"/>
      <c r="B83" s="4"/>
      <c r="T83" s="107">
        <v>81</v>
      </c>
      <c r="U83" s="27">
        <f t="shared" si="3"/>
        <v>6.75</v>
      </c>
      <c r="V83" s="18">
        <f t="shared" si="4"/>
        <v>212868000</v>
      </c>
      <c r="W83" s="123">
        <f>POWER($V83-$V74,W$1)/FACT(W$1)</f>
        <v>23652000</v>
      </c>
      <c r="X83" s="123">
        <f>POWER($V83-$V74,X$1)/FACT(X$1)</f>
        <v>279708552000000</v>
      </c>
      <c r="Y83" s="123">
        <f>POWER($V83-$V74,Y$1)/FACT(Y$1)</f>
        <v>2.205222223968E+21</v>
      </c>
      <c r="Z83" s="123">
        <f>POWER($V83-$V74,Z$1)/FACT(Z$1)</f>
        <v>1.3039479010322784E+28</v>
      </c>
      <c r="AA83" s="123">
        <f>POWER($V83-$V74,AA$1)/FACT(AA$1)</f>
        <v>6.1681951510430897E+34</v>
      </c>
      <c r="AB83" s="123"/>
      <c r="AC83" s="125">
        <f t="array" ref="AC83:AJ83">AC74:AJ74+TRANSPOSE(L$12:L$19)*W83+TRANSPOSE(L$22:L$29)*X83+TRANSPOSE(L$32:L$39)*Y83+TRANSPOSE(L$42:L$49)*Z83+TRANSPOSE(L$52:L$59)*AA83</f>
        <v>5.607089752469272</v>
      </c>
      <c r="AD83" s="42">
        <v>2943.0732702002847</v>
      </c>
      <c r="AE83" s="42">
        <v>1387.6360614173641</v>
      </c>
      <c r="AF83" s="42">
        <v>186.70793615627318</v>
      </c>
      <c r="AG83" s="42">
        <v>103.7659005229058</v>
      </c>
      <c r="AH83" s="42">
        <v>48.75835273638274</v>
      </c>
      <c r="AI83" s="42">
        <v>29.305288645804747</v>
      </c>
      <c r="AJ83" s="42">
        <v>21576.151365580354</v>
      </c>
      <c r="AL83" s="19"/>
    </row>
    <row r="84" spans="1:38">
      <c r="A84" s="4"/>
      <c r="B84" s="4"/>
      <c r="T84" s="107">
        <v>82</v>
      </c>
      <c r="U84" s="27">
        <f t="shared" si="3"/>
        <v>6.833333333333333</v>
      </c>
      <c r="V84" s="18">
        <f t="shared" si="4"/>
        <v>215496000</v>
      </c>
      <c r="W84" s="123">
        <f>POWER($V84-$V74,W$1)/FACT(W$1)</f>
        <v>26280000</v>
      </c>
      <c r="X84" s="123">
        <f>POWER($V84-$V74,X$1)/FACT(X$1)</f>
        <v>345319200000000</v>
      </c>
      <c r="Y84" s="123">
        <f>POWER($V84-$V74,Y$1)/FACT(Y$1)</f>
        <v>3.0249961920000001E+21</v>
      </c>
      <c r="Z84" s="123">
        <f>POWER($V84-$V74,Z$1)/FACT(Z$1)</f>
        <v>1.9874224981439999E+28</v>
      </c>
      <c r="AA84" s="123">
        <f>POWER($V84-$V74,AA$1)/FACT(AA$1)</f>
        <v>1.0445892650244865E+35</v>
      </c>
      <c r="AB84" s="123"/>
      <c r="AC84" s="125">
        <f t="array" ref="AC84:AJ84">AC74:AJ74+TRANSPOSE(L$12:L$19)*W84+TRANSPOSE(L$22:L$29)*X84+TRANSPOSE(L$32:L$39)*Y84+TRANSPOSE(L$42:L$49)*Z84+TRANSPOSE(L$52:L$59)*AA84</f>
        <v>5.5230928024175929</v>
      </c>
      <c r="AD84" s="42">
        <v>2936.2952088009965</v>
      </c>
      <c r="AE84" s="42">
        <v>1388.8243535302684</v>
      </c>
      <c r="AF84" s="42">
        <v>186.73229520430266</v>
      </c>
      <c r="AG84" s="42">
        <v>103.92583116402199</v>
      </c>
      <c r="AH84" s="42">
        <v>48.706619632651247</v>
      </c>
      <c r="AI84" s="42">
        <v>28.750750398646243</v>
      </c>
      <c r="AJ84" s="42">
        <v>21520.599168199155</v>
      </c>
    </row>
    <row r="85" spans="1:38">
      <c r="A85" s="4"/>
      <c r="B85" s="4"/>
      <c r="T85" s="107">
        <v>83</v>
      </c>
      <c r="U85" s="27">
        <f t="shared" si="3"/>
        <v>6.916666666666667</v>
      </c>
      <c r="V85" s="18">
        <f t="shared" si="4"/>
        <v>218124000</v>
      </c>
      <c r="W85" s="123">
        <f>POWER($V85-$V74,W$1)/FACT(W$1)</f>
        <v>28908000</v>
      </c>
      <c r="X85" s="123">
        <f>POWER($V85-$V74,X$1)/FACT(X$1)</f>
        <v>417836232000000</v>
      </c>
      <c r="Y85" s="123">
        <f>POWER($V85-$V74,Y$1)/FACT(Y$1)</f>
        <v>4.0262699315519999E+21</v>
      </c>
      <c r="Z85" s="123">
        <f>POWER($V85-$V74,Z$1)/FACT(Z$1)</f>
        <v>2.9097852795326301E+28</v>
      </c>
      <c r="AA85" s="123">
        <f>POWER($V85-$V74,AA$1)/FACT(AA$1)</f>
        <v>1.6823214572145855E+35</v>
      </c>
      <c r="AB85" s="123"/>
      <c r="AC85" s="125">
        <f t="array" ref="AC85:AJ85">AC74:AJ74+TRANSPOSE(L$12:L$19)*W85+TRANSPOSE(L$22:L$29)*X85+TRANSPOSE(L$32:L$39)*Y85+TRANSPOSE(L$42:L$49)*Z85+TRANSPOSE(L$52:L$59)*AA85</f>
        <v>5.4403541353336866</v>
      </c>
      <c r="AD85" s="42">
        <v>2929.519880396957</v>
      </c>
      <c r="AE85" s="42">
        <v>1389.9786632405062</v>
      </c>
      <c r="AF85" s="42">
        <v>186.76031645939386</v>
      </c>
      <c r="AG85" s="42">
        <v>104.08476523677717</v>
      </c>
      <c r="AH85" s="42">
        <v>48.655839425263217</v>
      </c>
      <c r="AI85" s="42">
        <v>28.206820705096547</v>
      </c>
      <c r="AJ85" s="42">
        <v>21465.190001330633</v>
      </c>
    </row>
    <row r="86" spans="1:38">
      <c r="A86" s="4"/>
      <c r="B86" s="4"/>
      <c r="T86" s="107">
        <v>84</v>
      </c>
      <c r="U86" s="27">
        <f t="shared" si="3"/>
        <v>7</v>
      </c>
      <c r="V86" s="18">
        <f t="shared" si="4"/>
        <v>220752000</v>
      </c>
      <c r="W86" s="123">
        <f>POWER($V86-$V74,W$1)/FACT(W$1)</f>
        <v>31536000</v>
      </c>
      <c r="X86" s="123">
        <f>POWER($V86-$V74,X$1)/FACT(X$1)</f>
        <v>497259648000000</v>
      </c>
      <c r="Y86" s="123">
        <f>POWER($V86-$V74,Y$1)/FACT(Y$1)</f>
        <v>5.227193419776E+21</v>
      </c>
      <c r="Z86" s="123">
        <f>POWER($V86-$V74,Z$1)/FACT(Z$1)</f>
        <v>4.121119292151398E+28</v>
      </c>
      <c r="AA86" s="123">
        <f>POWER($V86-$V74,AA$1)/FACT(AA$1)</f>
        <v>2.5992723599457299E+35</v>
      </c>
      <c r="AB86" s="123"/>
      <c r="AC86" s="125">
        <f t="array" ref="AC86:AJ86">AC74:AJ74+TRANSPOSE(L$12:L$19)*W86+TRANSPOSE(L$22:L$29)*X86+TRANSPOSE(L$32:L$39)*Y86+TRANSPOSE(L$42:L$49)*Z86+TRANSPOSE(L$52:L$59)*AA86</f>
        <v>5.3588548868857941</v>
      </c>
      <c r="AD86" s="42">
        <v>2922.7475484372162</v>
      </c>
      <c r="AE86" s="42">
        <v>1391.0992432174007</v>
      </c>
      <c r="AF86" s="42">
        <v>186.79177303211176</v>
      </c>
      <c r="AG86" s="42">
        <v>104.24272423763007</v>
      </c>
      <c r="AH86" s="42">
        <v>48.606011108711805</v>
      </c>
      <c r="AI86" s="42">
        <v>27.673295956481514</v>
      </c>
      <c r="AJ86" s="42">
        <v>21409.923496712079</v>
      </c>
    </row>
    <row r="87" spans="1:38">
      <c r="A87" s="4"/>
      <c r="B87" s="4"/>
      <c r="T87" s="107">
        <v>85</v>
      </c>
      <c r="U87" s="27">
        <f t="shared" si="3"/>
        <v>7.083333333333333</v>
      </c>
      <c r="V87" s="18">
        <f t="shared" si="4"/>
        <v>223380000</v>
      </c>
      <c r="W87" s="123">
        <f>POWER($V87-$V86,W$1)/FACT(W$1)</f>
        <v>2628000</v>
      </c>
      <c r="X87" s="123">
        <f>POWER($V87-$V86,X$1)/FACT(X$1)</f>
        <v>3453192000000</v>
      </c>
      <c r="Y87" s="123">
        <f>POWER($V87-$V86,Y$1)/FACT(Y$1)</f>
        <v>3.024996192E+18</v>
      </c>
      <c r="Z87" s="123">
        <f>POWER($V87-$V86,Z$1)/FACT(Z$1)</f>
        <v>1.9874224981439998E+24</v>
      </c>
      <c r="AA87" s="123">
        <f>POWER($V87-$V86,AA$1)/FACT(AA$1)</f>
        <v>1.0445892650244864E+30</v>
      </c>
      <c r="AB87" s="123"/>
      <c r="AC87" s="125">
        <f t="array" ref="AC87:AJ87">AC86:AJ86+TRANSPOSE(M$12:M$19)*W87+TRANSPOSE(M$22:M$29)*X87+TRANSPOSE(M$32:M$39)*Y87+TRANSPOSE(M$42:M$49)*Z87+TRANSPOSE(M$52:M$59)*AA87</f>
        <v>5.2785766635853841</v>
      </c>
      <c r="AD87" s="42">
        <v>2915.9784648482255</v>
      </c>
      <c r="AE87" s="42">
        <v>1392.1863469032075</v>
      </c>
      <c r="AF87" s="42">
        <v>186.82646350482216</v>
      </c>
      <c r="AG87" s="42">
        <v>104.39972596731103</v>
      </c>
      <c r="AH87" s="42">
        <v>48.557127561188764</v>
      </c>
      <c r="AI87" s="42">
        <v>27.149980909643322</v>
      </c>
      <c r="AJ87" s="42">
        <v>21354.799287045131</v>
      </c>
    </row>
    <row r="88" spans="1:38">
      <c r="A88" s="4"/>
      <c r="B88" s="4"/>
      <c r="T88" s="107">
        <v>86</v>
      </c>
      <c r="U88" s="27">
        <f t="shared" si="3"/>
        <v>7.166666666666667</v>
      </c>
      <c r="V88" s="18">
        <f t="shared" si="4"/>
        <v>226008000</v>
      </c>
      <c r="W88" s="123">
        <f>POWER($V88-$V86,W$1)/FACT(W$1)</f>
        <v>5256000</v>
      </c>
      <c r="X88" s="123">
        <f>POWER($V88-$V86,X$1)/FACT(X$1)</f>
        <v>13812768000000</v>
      </c>
      <c r="Y88" s="123">
        <f>POWER($V88-$V86,Y$1)/FACT(Y$1)</f>
        <v>2.4199969536E+19</v>
      </c>
      <c r="Z88" s="123">
        <f>POWER($V88-$V86,Z$1)/FACT(Z$1)</f>
        <v>3.1798759970303997E+25</v>
      </c>
      <c r="AA88" s="123">
        <f>POWER($V88-$V86,AA$1)/FACT(AA$1)</f>
        <v>3.3426856480783565E+31</v>
      </c>
      <c r="AB88" s="123"/>
      <c r="AC88" s="125">
        <f t="array" ref="AC88:AJ88">AC86:AJ86+TRANSPOSE(M$12:M$19)*W88+TRANSPOSE(M$22:M$29)*X88+TRANSPOSE(M$32:M$39)*Y88+TRANSPOSE(M$42:M$49)*Z88+TRANSPOSE(M$52:M$59)*AA88</f>
        <v>5.1995010466706981</v>
      </c>
      <c r="AD88" s="42">
        <v>2909.2128855673586</v>
      </c>
      <c r="AE88" s="42">
        <v>1393.240224331603</v>
      </c>
      <c r="AF88" s="42">
        <v>186.8641636195153</v>
      </c>
      <c r="AG88" s="42">
        <v>104.55579174805715</v>
      </c>
      <c r="AH88" s="42">
        <v>48.509189358317997</v>
      </c>
      <c r="AI88" s="42">
        <v>26.636676930190955</v>
      </c>
      <c r="AJ88" s="42">
        <v>21299.817005951256</v>
      </c>
    </row>
    <row r="89" spans="1:38">
      <c r="A89" s="4"/>
      <c r="B89" s="4"/>
      <c r="T89" s="107">
        <v>87</v>
      </c>
      <c r="U89" s="27">
        <f t="shared" si="3"/>
        <v>7.25</v>
      </c>
      <c r="V89" s="18">
        <f t="shared" si="4"/>
        <v>228636000</v>
      </c>
      <c r="W89" s="123">
        <f>POWER($V89-$V86,W$1)/FACT(W$1)</f>
        <v>7884000</v>
      </c>
      <c r="X89" s="123">
        <f>POWER($V89-$V86,X$1)/FACT(X$1)</f>
        <v>31078728000000</v>
      </c>
      <c r="Y89" s="123">
        <f>POWER($V89-$V86,Y$1)/FACT(Y$1)</f>
        <v>8.1674897184E+19</v>
      </c>
      <c r="Z89" s="123">
        <f>POWER($V89-$V86,Z$1)/FACT(Z$1)</f>
        <v>1.6098122234966398E+26</v>
      </c>
      <c r="AA89" s="123">
        <f>POWER($V89-$V86,AA$1)/FACT(AA$1)</f>
        <v>2.5383519140095018E+32</v>
      </c>
      <c r="AB89" s="123"/>
      <c r="AC89" s="125">
        <f t="array" ref="AC89:AJ89">AC86:AJ86+TRANSPOSE(M$12:M$19)*W89+TRANSPOSE(M$22:M$29)*X89+TRANSPOSE(M$32:M$39)*Y89+TRANSPOSE(M$42:M$49)*Z89+TRANSPOSE(M$52:M$59)*AA89</f>
        <v>5.1216100204724748</v>
      </c>
      <c r="AD89" s="42">
        <v>2902.4510570642069</v>
      </c>
      <c r="AE89" s="42">
        <v>1394.2611257838446</v>
      </c>
      <c r="AF89" s="42">
        <v>186.90466856250657</v>
      </c>
      <c r="AG89" s="42">
        <v>104.71094010894075</v>
      </c>
      <c r="AH89" s="42">
        <v>48.462192643585922</v>
      </c>
      <c r="AI89" s="42">
        <v>26.133192205803297</v>
      </c>
      <c r="AJ89" s="42">
        <v>21244.976288006183</v>
      </c>
    </row>
    <row r="90" spans="1:38">
      <c r="A90" s="4"/>
      <c r="B90" s="4"/>
      <c r="T90" s="107">
        <v>88</v>
      </c>
      <c r="U90" s="27">
        <f t="shared" si="3"/>
        <v>7.333333333333333</v>
      </c>
      <c r="V90" s="18">
        <f t="shared" si="4"/>
        <v>231264000</v>
      </c>
      <c r="W90" s="123">
        <f>POWER($V90-$V86,W$1)/FACT(W$1)</f>
        <v>10512000</v>
      </c>
      <c r="X90" s="123">
        <f>POWER($V90-$V86,X$1)/FACT(X$1)</f>
        <v>55251072000000</v>
      </c>
      <c r="Y90" s="123">
        <f>POWER($V90-$V86,Y$1)/FACT(Y$1)</f>
        <v>1.93599756288E+20</v>
      </c>
      <c r="Z90" s="123">
        <f>POWER($V90-$V86,Z$1)/FACT(Z$1)</f>
        <v>5.0878015952486396E+26</v>
      </c>
      <c r="AA90" s="123">
        <f>POWER($V90-$V86,AA$1)/FACT(AA$1)</f>
        <v>1.0696594073850741E+33</v>
      </c>
      <c r="AB90" s="123"/>
      <c r="AC90" s="125">
        <f t="array" ref="AC90:AJ90">AC86:AJ86+TRANSPOSE(M$12:M$19)*W90+TRANSPOSE(M$22:M$29)*X90+TRANSPOSE(M$32:M$39)*Y90+TRANSPOSE(M$42:M$49)*Z90+TRANSPOSE(M$52:M$59)*AA90</f>
        <v>5.0448858390684173</v>
      </c>
      <c r="AD90" s="42">
        <v>2895.6932205034464</v>
      </c>
      <c r="AE90" s="42">
        <v>1395.2493006758743</v>
      </c>
      <c r="AF90" s="42">
        <v>186.94778003880262</v>
      </c>
      <c r="AG90" s="42">
        <v>104.86518871597251</v>
      </c>
      <c r="AH90" s="42">
        <v>48.416132820847409</v>
      </c>
      <c r="AI90" s="42">
        <v>25.639338596937186</v>
      </c>
      <c r="AJ90" s="42">
        <v>21190.276768726482</v>
      </c>
    </row>
    <row r="91" spans="1:38">
      <c r="A91" s="4"/>
      <c r="B91" s="4"/>
      <c r="T91" s="107">
        <v>89</v>
      </c>
      <c r="U91" s="27">
        <f t="shared" si="3"/>
        <v>7.416666666666667</v>
      </c>
      <c r="V91" s="18">
        <f t="shared" si="4"/>
        <v>233892000</v>
      </c>
      <c r="W91" s="123">
        <f>POWER($V91-$V86,W$1)/FACT(W$1)</f>
        <v>13140000</v>
      </c>
      <c r="X91" s="123">
        <f>POWER($V91-$V86,X$1)/FACT(X$1)</f>
        <v>86329800000000</v>
      </c>
      <c r="Y91" s="123">
        <f>POWER($V91-$V86,Y$1)/FACT(Y$1)</f>
        <v>3.7812452400000002E+20</v>
      </c>
      <c r="Z91" s="123">
        <f>POWER($V91-$V86,Z$1)/FACT(Z$1)</f>
        <v>1.2421390613399999E+27</v>
      </c>
      <c r="AA91" s="123">
        <f>POWER($V91-$V86,AA$1)/FACT(AA$1)</f>
        <v>3.2643414532015203E+33</v>
      </c>
      <c r="AB91" s="123"/>
      <c r="AC91" s="125">
        <f t="array" ref="AC91:AJ91">AC86:AJ86+TRANSPOSE(M$12:M$19)*W91+TRANSPOSE(M$22:M$29)*X91+TRANSPOSE(M$32:M$39)*Y91+TRANSPOSE(M$42:M$49)*Z91+TRANSPOSE(M$52:M$59)*AA91</f>
        <v>4.969311022084943</v>
      </c>
      <c r="AD91" s="42">
        <v>2888.9396118484992</v>
      </c>
      <c r="AE91" s="42">
        <v>1396.2049975434588</v>
      </c>
      <c r="AF91" s="42">
        <v>186.99330607723914</v>
      </c>
      <c r="AG91" s="42">
        <v>105.01855440144328</v>
      </c>
      <c r="AH91" s="42">
        <v>48.371004595762926</v>
      </c>
      <c r="AI91" s="42">
        <v>25.154931562897364</v>
      </c>
      <c r="AJ91" s="42">
        <v>21135.718084567125</v>
      </c>
    </row>
    <row r="92" spans="1:38">
      <c r="A92" s="4"/>
      <c r="B92" s="4"/>
      <c r="T92" s="107">
        <v>90</v>
      </c>
      <c r="U92" s="27">
        <f t="shared" si="3"/>
        <v>7.5</v>
      </c>
      <c r="V92" s="18">
        <f t="shared" si="4"/>
        <v>236520000</v>
      </c>
      <c r="W92" s="123">
        <f>POWER($V92-$V86,W$1)/FACT(W$1)</f>
        <v>15768000</v>
      </c>
      <c r="X92" s="123">
        <f>POWER($V92-$V86,X$1)/FACT(X$1)</f>
        <v>124314912000000</v>
      </c>
      <c r="Y92" s="123">
        <f>POWER($V92-$V86,Y$1)/FACT(Y$1)</f>
        <v>6.53399177472E+20</v>
      </c>
      <c r="Z92" s="123">
        <f>POWER($V92-$V86,Z$1)/FACT(Z$1)</f>
        <v>2.5756995575946237E+27</v>
      </c>
      <c r="AA92" s="123">
        <f>POWER($V92-$V86,AA$1)/FACT(AA$1)</f>
        <v>8.1227261248304059E+33</v>
      </c>
      <c r="AB92" s="123"/>
      <c r="AC92" s="125">
        <f t="array" ref="AC92:AJ92">AC86:AJ86+TRANSPOSE(M$12:M$19)*W92+TRANSPOSE(M$22:M$29)*X92+TRANSPOSE(M$32:M$39)*Y92+TRANSPOSE(M$42:M$49)*Z92+TRANSPOSE(M$52:M$59)*AA92</f>
        <v>4.894868350498947</v>
      </c>
      <c r="AD92" s="42">
        <v>2882.1904619651823</v>
      </c>
      <c r="AE92" s="42">
        <v>1397.1284640273291</v>
      </c>
      <c r="AF92" s="42">
        <v>187.04106083561879</v>
      </c>
      <c r="AG92" s="42">
        <v>105.17105319326609</v>
      </c>
      <c r="AH92" s="42">
        <v>48.326802017235941</v>
      </c>
      <c r="AI92" s="42">
        <v>24.679790087906426</v>
      </c>
      <c r="AJ92" s="42">
        <v>21081.299872919073</v>
      </c>
    </row>
    <row r="93" spans="1:38">
      <c r="A93" s="4"/>
      <c r="B93" s="4"/>
      <c r="T93" s="107">
        <v>91</v>
      </c>
      <c r="U93" s="27">
        <f t="shared" si="3"/>
        <v>7.583333333333333</v>
      </c>
      <c r="V93" s="18">
        <f t="shared" si="4"/>
        <v>239148000</v>
      </c>
      <c r="W93" s="123">
        <f>POWER($V93-$V86,W$1)/FACT(W$1)</f>
        <v>18396000</v>
      </c>
      <c r="X93" s="123">
        <f>POWER($V93-$V86,X$1)/FACT(X$1)</f>
        <v>169206408000000</v>
      </c>
      <c r="Y93" s="123">
        <f>POWER($V93-$V86,Y$1)/FACT(Y$1)</f>
        <v>1.037573693856E+21</v>
      </c>
      <c r="Z93" s="123">
        <f>POWER($V93-$V86,Z$1)/FACT(Z$1)</f>
        <v>4.7718014180437445E+27</v>
      </c>
      <c r="AA93" s="123">
        <f>POWER($V93-$V86,AA$1)/FACT(AA$1)</f>
        <v>1.7556411777266544E+34</v>
      </c>
      <c r="AB93" s="123"/>
      <c r="AC93" s="125">
        <f t="array" ref="AC93:AJ93">AC86:AJ86+TRANSPOSE(M$12:M$19)*W93+TRANSPOSE(M$22:M$29)*X93+TRANSPOSE(M$32:M$39)*Y93+TRANSPOSE(M$42:M$49)*Z93+TRANSPOSE(M$52:M$59)*AA93</f>
        <v>4.8215408624395399</v>
      </c>
      <c r="AD93" s="42">
        <v>2875.4459967253692</v>
      </c>
      <c r="AE93" s="42">
        <v>1398.0199468583187</v>
      </c>
      <c r="AF93" s="42">
        <v>187.09086440584889</v>
      </c>
      <c r="AG93" s="42">
        <v>105.32270034431792</v>
      </c>
      <c r="AH93" s="42">
        <v>48.283518518850215</v>
      </c>
      <c r="AI93" s="42">
        <v>24.213736607174773</v>
      </c>
      <c r="AJ93" s="42">
        <v>21027.021772106807</v>
      </c>
    </row>
    <row r="94" spans="1:38">
      <c r="A94" s="4"/>
      <c r="B94" s="4"/>
      <c r="T94" s="107">
        <v>92</v>
      </c>
      <c r="U94" s="27">
        <f t="shared" si="3"/>
        <v>7.666666666666667</v>
      </c>
      <c r="V94" s="18">
        <f t="shared" si="4"/>
        <v>241776000</v>
      </c>
      <c r="W94" s="123">
        <f>POWER($V94-$V86,W$1)/FACT(W$1)</f>
        <v>21024000</v>
      </c>
      <c r="X94" s="123">
        <f>POWER($V94-$V86,X$1)/FACT(X$1)</f>
        <v>221004288000000</v>
      </c>
      <c r="Y94" s="123">
        <f>POWER($V94-$V86,Y$1)/FACT(Y$1)</f>
        <v>1.548798050304E+21</v>
      </c>
      <c r="Z94" s="123">
        <f>POWER($V94-$V86,Z$1)/FACT(Z$1)</f>
        <v>8.1404825523978233E+27</v>
      </c>
      <c r="AA94" s="123">
        <f>POWER($V94-$V86,AA$1)/FACT(AA$1)</f>
        <v>3.422910103632237E+34</v>
      </c>
      <c r="AB94" s="123"/>
      <c r="AC94" s="125">
        <f t="array" ref="AC94:AJ94">AC86:AJ86+TRANSPOSE(M$12:M$19)*W94+TRANSPOSE(M$22:M$29)*X94+TRANSPOSE(M$32:M$39)*Y94+TRANSPOSE(M$42:M$49)*Z94+TRANSPOSE(M$52:M$59)*AA94</f>
        <v>4.7493118489898096</v>
      </c>
      <c r="AD94" s="42">
        <v>2868.7064371106426</v>
      </c>
      <c r="AE94" s="42">
        <v>1398.879691842506</v>
      </c>
      <c r="AF94" s="42">
        <v>187.14254261907953</v>
      </c>
      <c r="AG94" s="42">
        <v>105.47351036178152</v>
      </c>
      <c r="AH94" s="42">
        <v>48.241146960307098</v>
      </c>
      <c r="AI94" s="42">
        <v>23.756596932970574</v>
      </c>
      <c r="AJ94" s="42">
        <v>20972.883421385912</v>
      </c>
    </row>
    <row r="95" spans="1:38" s="4" customFormat="1">
      <c r="C95" s="2"/>
      <c r="D95" s="2"/>
      <c r="E95" s="19"/>
      <c r="F95" s="19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T95" s="107">
        <v>93</v>
      </c>
      <c r="U95" s="27">
        <f t="shared" si="3"/>
        <v>7.75</v>
      </c>
      <c r="V95" s="18">
        <f t="shared" si="4"/>
        <v>244404000</v>
      </c>
      <c r="W95" s="123">
        <f>POWER($V95-$V86,W$1)/FACT(W$1)</f>
        <v>23652000</v>
      </c>
      <c r="X95" s="123">
        <f>POWER($V95-$V86,X$1)/FACT(X$1)</f>
        <v>279708552000000</v>
      </c>
      <c r="Y95" s="123">
        <f>POWER($V95-$V86,Y$1)/FACT(Y$1)</f>
        <v>2.205222223968E+21</v>
      </c>
      <c r="Z95" s="123">
        <f>POWER($V95-$V86,Z$1)/FACT(Z$1)</f>
        <v>1.3039479010322784E+28</v>
      </c>
      <c r="AA95" s="123">
        <f>POWER($V95-$V86,AA$1)/FACT(AA$1)</f>
        <v>6.1681951510430897E+34</v>
      </c>
      <c r="AB95" s="123"/>
      <c r="AC95" s="125">
        <f t="array" ref="AC95:AJ95">AC86:AJ86+TRANSPOSE(M$12:M$19)*W95+TRANSPOSE(M$22:M$29)*X95+TRANSPOSE(M$32:M$39)*Y95+TRANSPOSE(M$42:M$49)*Z95+TRANSPOSE(M$52:M$59)*AA95</f>
        <v>4.6781648499885709</v>
      </c>
      <c r="AD95" s="42">
        <v>2861.9719993159501</v>
      </c>
      <c r="AE95" s="42">
        <v>1399.7079438463518</v>
      </c>
      <c r="AF95" s="42">
        <v>187.19592685084118</v>
      </c>
      <c r="AG95" s="42">
        <v>105.62349703648736</v>
      </c>
      <c r="AH95" s="42">
        <v>48.199679668862821</v>
      </c>
      <c r="AI95" s="42">
        <v>23.308200180689699</v>
      </c>
      <c r="AJ95" s="42">
        <v>20918.884460940626</v>
      </c>
    </row>
    <row r="96" spans="1:38" s="4" customFormat="1">
      <c r="C96" s="2"/>
      <c r="D96" s="2"/>
      <c r="E96" s="19"/>
      <c r="F96" s="19"/>
      <c r="G96" s="110"/>
      <c r="H96" s="110"/>
      <c r="I96" s="110"/>
      <c r="J96" s="110"/>
      <c r="K96" s="110"/>
      <c r="L96" s="110"/>
      <c r="M96" s="110"/>
      <c r="N96" s="110"/>
      <c r="O96" s="110"/>
      <c r="P96" s="110"/>
      <c r="T96" s="107">
        <v>94</v>
      </c>
      <c r="U96" s="27">
        <f t="shared" si="3"/>
        <v>7.833333333333333</v>
      </c>
      <c r="V96" s="18">
        <f t="shared" si="4"/>
        <v>247032000</v>
      </c>
      <c r="W96" s="123">
        <f>POWER($V96-$V86,W$1)/FACT(W$1)</f>
        <v>26280000</v>
      </c>
      <c r="X96" s="123">
        <f>POWER($V96-$V86,X$1)/FACT(X$1)</f>
        <v>345319200000000</v>
      </c>
      <c r="Y96" s="123">
        <f>POWER($V96-$V86,Y$1)/FACT(Y$1)</f>
        <v>3.0249961920000001E+21</v>
      </c>
      <c r="Z96" s="123">
        <f>POWER($V96-$V86,Z$1)/FACT(Z$1)</f>
        <v>1.9874224981439999E+28</v>
      </c>
      <c r="AA96" s="123">
        <f>POWER($V96-$V86,AA$1)/FACT(AA$1)</f>
        <v>1.0445892650244865E+35</v>
      </c>
      <c r="AB96" s="123"/>
      <c r="AC96" s="125">
        <f t="array" ref="AC96:AJ96">AC86:AJ86+TRANSPOSE(M$12:M$19)*W96+TRANSPOSE(M$22:M$29)*X96+TRANSPOSE(M$32:M$39)*Y96+TRANSPOSE(M$42:M$49)*Z96+TRANSPOSE(M$52:M$59)*AA96</f>
        <v>4.6080836498321123</v>
      </c>
      <c r="AD96" s="42">
        <v>2855.2428948532634</v>
      </c>
      <c r="AE96" s="42">
        <v>1400.5049467818399</v>
      </c>
      <c r="AF96" s="42">
        <v>187.25085382618281</v>
      </c>
      <c r="AG96" s="42">
        <v>105.77267347225545</v>
      </c>
      <c r="AH96" s="42">
        <v>48.159108480765823</v>
      </c>
      <c r="AI96" s="42">
        <v>22.868378694925678</v>
      </c>
      <c r="AJ96" s="42">
        <v>20865.024531881416</v>
      </c>
    </row>
    <row r="97" spans="3:36" s="4" customFormat="1">
      <c r="C97" s="2"/>
      <c r="D97" s="2"/>
      <c r="E97" s="19"/>
      <c r="F97" s="19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T97" s="107">
        <v>95</v>
      </c>
      <c r="U97" s="27">
        <f t="shared" si="3"/>
        <v>7.916666666666667</v>
      </c>
      <c r="V97" s="18">
        <f t="shared" si="4"/>
        <v>249660000</v>
      </c>
      <c r="W97" s="123">
        <f>POWER($V97-$V86,W$1)/FACT(W$1)</f>
        <v>28908000</v>
      </c>
      <c r="X97" s="123">
        <f>POWER($V97-$V86,X$1)/FACT(X$1)</f>
        <v>417836232000000</v>
      </c>
      <c r="Y97" s="123">
        <f>POWER($V97-$V86,Y$1)/FACT(Y$1)</f>
        <v>4.0262699315519999E+21</v>
      </c>
      <c r="Z97" s="123">
        <f>POWER($V97-$V86,Z$1)/FACT(Z$1)</f>
        <v>2.9097852795326301E+28</v>
      </c>
      <c r="AA97" s="123">
        <f>POWER($V97-$V86,AA$1)/FACT(AA$1)</f>
        <v>1.6823214572145855E+35</v>
      </c>
      <c r="AB97" s="123"/>
      <c r="AC97" s="125">
        <f t="array" ref="AC97:AJ97">AC86:AJ86+TRANSPOSE(M$12:M$19)*W97+TRANSPOSE(M$22:M$29)*X97+TRANSPOSE(M$32:M$39)*Y97+TRANSPOSE(M$42:M$49)*Z97+TRANSPOSE(M$52:M$59)*AA97</f>
        <v>4.5390522732759653</v>
      </c>
      <c r="AD97" s="42">
        <v>2848.5193306552296</v>
      </c>
      <c r="AE97" s="42">
        <v>1401.2709435916165</v>
      </c>
      <c r="AF97" s="42">
        <v>187.30716542480957</v>
      </c>
      <c r="AG97" s="42">
        <v>105.92105211523725</v>
      </c>
      <c r="AH97" s="42">
        <v>48.11942478269404</v>
      </c>
      <c r="AI97" s="42">
        <v>22.436967975539662</v>
      </c>
      <c r="AJ97" s="42">
        <v>20811.30327624251</v>
      </c>
    </row>
    <row r="98" spans="3:36" s="4" customFormat="1">
      <c r="C98" s="2"/>
      <c r="D98" s="2"/>
      <c r="E98" s="19"/>
      <c r="F98" s="19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T98" s="107">
        <v>96</v>
      </c>
      <c r="U98" s="27">
        <f t="shared" si="3"/>
        <v>8</v>
      </c>
      <c r="V98" s="18">
        <f t="shared" si="4"/>
        <v>252288000</v>
      </c>
      <c r="W98" s="123">
        <f>POWER($V98-$V86,W$1)/FACT(W$1)</f>
        <v>31536000</v>
      </c>
      <c r="X98" s="123">
        <f>POWER($V98-$V86,X$1)/FACT(X$1)</f>
        <v>497259648000000</v>
      </c>
      <c r="Y98" s="123">
        <f>POWER($V98-$V86,Y$1)/FACT(Y$1)</f>
        <v>5.227193419776E+21</v>
      </c>
      <c r="Z98" s="123">
        <f>POWER($V98-$V86,Z$1)/FACT(Z$1)</f>
        <v>4.121119292151398E+28</v>
      </c>
      <c r="AA98" s="123">
        <f>POWER($V98-$V86,AA$1)/FACT(AA$1)</f>
        <v>2.5992723599457299E+35</v>
      </c>
      <c r="AB98" s="123"/>
      <c r="AC98" s="125">
        <f t="array" ref="AC98:AJ98">AC86:AJ86+TRANSPOSE(M$12:M$19)*W98+TRANSPOSE(M$22:M$29)*X98+TRANSPOSE(M$32:M$39)*Y98+TRANSPOSE(M$42:M$49)*Z98+TRANSPOSE(M$52:M$59)*AA98</f>
        <v>4.4710549812366294</v>
      </c>
      <c r="AD98" s="42">
        <v>2841.8015091788297</v>
      </c>
      <c r="AE98" s="42">
        <v>1402.0061762341311</v>
      </c>
      <c r="AF98" s="42">
        <v>187.36470848622054</v>
      </c>
      <c r="AG98" s="42">
        <v>106.0686447832575</v>
      </c>
      <c r="AH98" s="42">
        <v>48.080619553192207</v>
      </c>
      <c r="AI98" s="42">
        <v>22.013806603730355</v>
      </c>
      <c r="AJ98" s="42">
        <v>20757.720336979502</v>
      </c>
    </row>
    <row r="99" spans="3:36" s="4" customFormat="1">
      <c r="C99" s="2"/>
      <c r="D99" s="2"/>
      <c r="E99" s="19"/>
      <c r="F99" s="19"/>
      <c r="G99" s="110"/>
      <c r="H99" s="110"/>
      <c r="I99" s="110"/>
      <c r="J99" s="110"/>
      <c r="K99" s="110"/>
      <c r="L99" s="110"/>
      <c r="M99" s="110"/>
      <c r="N99" s="110"/>
      <c r="O99" s="110"/>
      <c r="P99" s="110"/>
      <c r="T99" s="107">
        <v>97</v>
      </c>
      <c r="U99" s="27">
        <f t="shared" si="3"/>
        <v>8.0833333333333339</v>
      </c>
      <c r="V99" s="18">
        <f t="shared" si="4"/>
        <v>254916000</v>
      </c>
      <c r="W99" s="123">
        <f>POWER($V99-$V98,W$1)/FACT(W$1)</f>
        <v>2628000</v>
      </c>
      <c r="X99" s="123">
        <f>POWER($V99-$V98,X$1)/FACT(X$1)</f>
        <v>3453192000000</v>
      </c>
      <c r="Y99" s="123">
        <f>POWER($V99-$V98,Y$1)/FACT(Y$1)</f>
        <v>3.024996192E+18</v>
      </c>
      <c r="Z99" s="123">
        <f>POWER($V99-$V98,Z$1)/FACT(Z$1)</f>
        <v>1.9874224981439998E+24</v>
      </c>
      <c r="AA99" s="123">
        <f>POWER($V99-$V98,AA$1)/FACT(AA$1)</f>
        <v>1.0445892650244864E+30</v>
      </c>
      <c r="AB99" s="123"/>
      <c r="AC99" s="125">
        <f t="array" ref="AC99:AJ99">AC98:AJ98+TRANSPOSE(N$12:N$19)*W99+TRANSPOSE(N$22:N$29)*X99+TRANSPOSE(N$32:N$39)*Y99+TRANSPOSE(N$42:N$49)*Z99+TRANSPOSE(N$52:N$59)*AA99</f>
        <v>4.4040764274693878</v>
      </c>
      <c r="AD99" s="42">
        <v>2835.0896236631284</v>
      </c>
      <c r="AE99" s="42">
        <v>1402.7108869290919</v>
      </c>
      <c r="AF99" s="42">
        <v>187.42334812544817</v>
      </c>
      <c r="AG99" s="42">
        <v>106.21546065587813</v>
      </c>
      <c r="AH99" s="42">
        <v>48.042679700161102</v>
      </c>
      <c r="AI99" s="42">
        <v>21.598739792768505</v>
      </c>
      <c r="AJ99" s="42">
        <v>20704.27535798294</v>
      </c>
    </row>
    <row r="100" spans="3:36" s="4" customFormat="1">
      <c r="C100" s="2"/>
      <c r="D100" s="2"/>
      <c r="E100" s="19"/>
      <c r="F100" s="19"/>
      <c r="G100" s="110"/>
      <c r="H100" s="110"/>
      <c r="I100" s="110"/>
      <c r="J100" s="110"/>
      <c r="K100" s="110"/>
      <c r="L100" s="110"/>
      <c r="M100" s="110"/>
      <c r="N100" s="110"/>
      <c r="O100" s="110"/>
      <c r="P100" s="110"/>
      <c r="T100" s="107">
        <v>98</v>
      </c>
      <c r="U100" s="27">
        <f t="shared" si="3"/>
        <v>8.1666666666666661</v>
      </c>
      <c r="V100" s="18">
        <f t="shared" si="4"/>
        <v>257544000</v>
      </c>
      <c r="W100" s="123">
        <f>POWER($V100-$V98,W$1)/FACT(W$1)</f>
        <v>5256000</v>
      </c>
      <c r="X100" s="123">
        <f>POWER($V100-$V98,X$1)/FACT(X$1)</f>
        <v>13812768000000</v>
      </c>
      <c r="Y100" s="123">
        <f>POWER($V100-$V98,Y$1)/FACT(Y$1)</f>
        <v>2.4199969536E+19</v>
      </c>
      <c r="Z100" s="123">
        <f>POWER($V100-$V98,Z$1)/FACT(Z$1)</f>
        <v>3.1798759970303997E+25</v>
      </c>
      <c r="AA100" s="123">
        <f>POWER($V100-$V98,AA$1)/FACT(AA$1)</f>
        <v>3.3426856480783565E+31</v>
      </c>
      <c r="AB100" s="123"/>
      <c r="AC100" s="125">
        <f t="array" ref="AC100:AJ100">AC98:AJ98+TRANSPOSE(N$12:N$19)*W100+TRANSPOSE(N$22:N$29)*X100+TRANSPOSE(N$32:N$39)*Y100+TRANSPOSE(N$42:N$49)*Z100+TRANSPOSE(N$52:N$59)*AA100</f>
        <v>4.3381012446433003</v>
      </c>
      <c r="AD100" s="42">
        <v>2828.3838705903713</v>
      </c>
      <c r="AE100" s="42">
        <v>1403.3853149245656</v>
      </c>
      <c r="AF100" s="42">
        <v>187.48293296541223</v>
      </c>
      <c r="AG100" s="42">
        <v>106.36151152045271</v>
      </c>
      <c r="AH100" s="42">
        <v>48.005597594345694</v>
      </c>
      <c r="AI100" s="42">
        <v>21.191610067384872</v>
      </c>
      <c r="AJ100" s="42">
        <v>20650.967984035182</v>
      </c>
    </row>
    <row r="101" spans="3:36" s="4" customFormat="1">
      <c r="C101" s="2"/>
      <c r="D101" s="2"/>
      <c r="E101" s="19"/>
      <c r="F101" s="19"/>
      <c r="G101" s="110"/>
      <c r="H101" s="110"/>
      <c r="I101" s="110"/>
      <c r="J101" s="110"/>
      <c r="K101" s="110"/>
      <c r="L101" s="110"/>
      <c r="M101" s="110"/>
      <c r="N101" s="110"/>
      <c r="O101" s="110"/>
      <c r="P101" s="110"/>
      <c r="T101" s="107">
        <v>99</v>
      </c>
      <c r="U101" s="27">
        <f t="shared" si="3"/>
        <v>8.25</v>
      </c>
      <c r="V101" s="18">
        <f t="shared" si="4"/>
        <v>260172000</v>
      </c>
      <c r="W101" s="123">
        <f>POWER($V101-$V98,W$1)/FACT(W$1)</f>
        <v>7884000</v>
      </c>
      <c r="X101" s="123">
        <f>POWER($V101-$V98,X$1)/FACT(X$1)</f>
        <v>31078728000000</v>
      </c>
      <c r="Y101" s="123">
        <f>POWER($V101-$V98,Y$1)/FACT(Y$1)</f>
        <v>8.1674897184E+19</v>
      </c>
      <c r="Z101" s="123">
        <f>POWER($V101-$V98,Z$1)/FACT(Z$1)</f>
        <v>1.6098122234966398E+26</v>
      </c>
      <c r="AA101" s="123">
        <f>POWER($V101-$V98,AA$1)/FACT(AA$1)</f>
        <v>2.5383519140095018E+32</v>
      </c>
      <c r="AB101" s="123"/>
      <c r="AC101" s="125">
        <f t="array" ref="AC101:AJ101">AC98:AJ98+TRANSPOSE(N$12:N$19)*W101+TRANSPOSE(N$22:N$29)*X101+TRANSPOSE(N$32:N$39)*Y101+TRANSPOSE(N$42:N$49)*Z101+TRANSPOSE(N$52:N$59)*AA101</f>
        <v>4.2731144017397069</v>
      </c>
      <c r="AD101" s="42">
        <v>2821.6844388730942</v>
      </c>
      <c r="AE101" s="42">
        <v>1404.0296993277232</v>
      </c>
      <c r="AF101" s="42">
        <v>187.54332556688183</v>
      </c>
      <c r="AG101" s="42">
        <v>106.5068071816392</v>
      </c>
      <c r="AH101" s="42">
        <v>47.969362693056702</v>
      </c>
      <c r="AI101" s="42">
        <v>20.792265360756506</v>
      </c>
      <c r="AJ101" s="42">
        <v>20597.797860843777</v>
      </c>
    </row>
    <row r="102" spans="3:36" s="4" customFormat="1">
      <c r="C102" s="2"/>
      <c r="D102" s="2"/>
      <c r="E102" s="19"/>
      <c r="F102" s="19"/>
      <c r="G102" s="110"/>
      <c r="H102" s="110"/>
      <c r="I102" s="110"/>
      <c r="J102" s="110"/>
      <c r="K102" s="110"/>
      <c r="L102" s="110"/>
      <c r="M102" s="110"/>
      <c r="N102" s="110"/>
      <c r="O102" s="110"/>
      <c r="P102" s="110"/>
      <c r="T102" s="107">
        <v>100</v>
      </c>
      <c r="U102" s="27">
        <f t="shared" si="3"/>
        <v>8.3333333333333339</v>
      </c>
      <c r="V102" s="18">
        <f t="shared" si="4"/>
        <v>262800000</v>
      </c>
      <c r="W102" s="123">
        <f>POWER($V102-$V98,W$1)/FACT(W$1)</f>
        <v>10512000</v>
      </c>
      <c r="X102" s="123">
        <f>POWER($V102-$V98,X$1)/FACT(X$1)</f>
        <v>55251072000000</v>
      </c>
      <c r="Y102" s="123">
        <f>POWER($V102-$V98,Y$1)/FACT(Y$1)</f>
        <v>1.93599756288E+20</v>
      </c>
      <c r="Z102" s="123">
        <f>POWER($V102-$V98,Z$1)/FACT(Z$1)</f>
        <v>5.0878015952486396E+26</v>
      </c>
      <c r="AA102" s="123">
        <f>POWER($V102-$V98,AA$1)/FACT(AA$1)</f>
        <v>1.0696594073850741E+33</v>
      </c>
      <c r="AB102" s="123"/>
      <c r="AC102" s="125">
        <f t="array" ref="AC102:AJ102">AC98:AJ98+TRANSPOSE(N$12:N$19)*W102+TRANSPOSE(N$22:N$29)*X102+TRANSPOSE(N$32:N$39)*Y102+TRANSPOSE(N$42:N$49)*Z102+TRANSPOSE(N$52:N$59)*AA102</f>
        <v>4.2091010927980141</v>
      </c>
      <c r="AD102" s="42">
        <v>2814.9915131935541</v>
      </c>
      <c r="AE102" s="42">
        <v>1404.644278245529</v>
      </c>
      <c r="AF102" s="42">
        <v>187.60439312681893</v>
      </c>
      <c r="AG102" s="42">
        <v>106.65135686411303</v>
      </c>
      <c r="AH102" s="42">
        <v>47.933964088116397</v>
      </c>
      <c r="AI102" s="42">
        <v>20.400556517785436</v>
      </c>
      <c r="AJ102" s="42">
        <v>20544.76463502847</v>
      </c>
    </row>
    <row r="103" spans="3:36" s="4" customFormat="1">
      <c r="C103" s="2"/>
      <c r="D103" s="2"/>
      <c r="E103" s="19"/>
      <c r="F103" s="19"/>
      <c r="G103" s="110"/>
      <c r="H103" s="110"/>
      <c r="I103" s="110"/>
      <c r="J103" s="110"/>
      <c r="K103" s="110"/>
      <c r="L103" s="110"/>
      <c r="M103" s="110"/>
      <c r="N103" s="110"/>
      <c r="O103" s="110"/>
      <c r="P103" s="110"/>
      <c r="Q103" s="110"/>
      <c r="R103" s="110"/>
      <c r="S103" s="19"/>
      <c r="T103" s="107">
        <v>101</v>
      </c>
      <c r="U103" s="27">
        <f t="shared" si="3"/>
        <v>8.4166666666666661</v>
      </c>
      <c r="V103" s="18">
        <f t="shared" si="4"/>
        <v>265428000</v>
      </c>
      <c r="W103" s="123">
        <f>POWER($V103-$V98,W$1)/FACT(W$1)</f>
        <v>13140000</v>
      </c>
      <c r="X103" s="123">
        <f>POWER($V103-$V98,X$1)/FACT(X$1)</f>
        <v>86329800000000</v>
      </c>
      <c r="Y103" s="123">
        <f>POWER($V103-$V98,Y$1)/FACT(Y$1)</f>
        <v>3.7812452400000002E+20</v>
      </c>
      <c r="Z103" s="123">
        <f>POWER($V103-$V98,Z$1)/FACT(Z$1)</f>
        <v>1.2421390613399999E+27</v>
      </c>
      <c r="AA103" s="123">
        <f>POWER($V103-$V98,AA$1)/FACT(AA$1)</f>
        <v>3.2643414532015203E+33</v>
      </c>
      <c r="AB103" s="123"/>
      <c r="AC103" s="125">
        <f t="array" ref="AC103:AJ103">AC98:AJ98+TRANSPOSE(N$12:N$19)*W103+TRANSPOSE(N$22:N$29)*X103+TRANSPOSE(N$32:N$39)*Y103+TRANSPOSE(N$42:N$49)*Z103+TRANSPOSE(N$52:N$59)*AA103</f>
        <v>4.1460467334129687</v>
      </c>
      <c r="AD103" s="42">
        <v>2808.3052740868006</v>
      </c>
      <c r="AE103" s="42">
        <v>1405.2292887751362</v>
      </c>
      <c r="AF103" s="42">
        <v>187.66600733825405</v>
      </c>
      <c r="AG103" s="42">
        <v>106.79516923361048</v>
      </c>
      <c r="AH103" s="42">
        <v>47.899390532600897</v>
      </c>
      <c r="AI103" s="42">
        <v>20.016337236487846</v>
      </c>
      <c r="AJ103" s="42">
        <v>20491.867954118796</v>
      </c>
    </row>
    <row r="104" spans="3:36" s="4" customFormat="1">
      <c r="C104" s="2"/>
      <c r="D104" s="2"/>
      <c r="E104" s="19"/>
      <c r="F104" s="19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9"/>
      <c r="T104" s="107">
        <v>102</v>
      </c>
      <c r="U104" s="27">
        <f t="shared" si="3"/>
        <v>8.5</v>
      </c>
      <c r="V104" s="18">
        <f t="shared" si="4"/>
        <v>268056000</v>
      </c>
      <c r="W104" s="123">
        <f>POWER($V104-$V98,W$1)/FACT(W$1)</f>
        <v>15768000</v>
      </c>
      <c r="X104" s="123">
        <f>POWER($V104-$V98,X$1)/FACT(X$1)</f>
        <v>124314912000000</v>
      </c>
      <c r="Y104" s="123">
        <f>POWER($V104-$V98,Y$1)/FACT(Y$1)</f>
        <v>6.53399177472E+20</v>
      </c>
      <c r="Z104" s="123">
        <f>POWER($V104-$V98,Z$1)/FACT(Z$1)</f>
        <v>2.5756995575946237E+27</v>
      </c>
      <c r="AA104" s="123">
        <f>POWER($V104-$V98,AA$1)/FACT(AA$1)</f>
        <v>8.1227261248304059E+33</v>
      </c>
      <c r="AB104" s="123"/>
      <c r="AC104" s="125">
        <f t="array" ref="AC104:AJ104">AC98:AJ98+TRANSPOSE(N$12:N$19)*W104+TRANSPOSE(N$22:N$29)*X104+TRANSPOSE(N$32:N$39)*Y104+TRANSPOSE(N$42:N$49)*Z104+TRANSPOSE(N$52:N$59)*AA104</f>
        <v>4.0839369572319324</v>
      </c>
      <c r="AD104" s="42">
        <v>2801.6258980237408</v>
      </c>
      <c r="AE104" s="42">
        <v>1405.7849669942832</v>
      </c>
      <c r="AF104" s="42">
        <v>187.72804425016176</v>
      </c>
      <c r="AG104" s="42">
        <v>106.93825241797273</v>
      </c>
      <c r="AH104" s="42">
        <v>47.865630467582356</v>
      </c>
      <c r="AI104" s="42">
        <v>19.639464009383431</v>
      </c>
      <c r="AJ104" s="42">
        <v>20439.107466551781</v>
      </c>
    </row>
    <row r="105" spans="3:36" s="4" customFormat="1">
      <c r="C105" s="2"/>
      <c r="D105" s="2"/>
      <c r="E105" s="19"/>
      <c r="F105" s="19"/>
      <c r="G105" s="110"/>
      <c r="H105" s="110"/>
      <c r="I105" s="110"/>
      <c r="J105" s="110"/>
      <c r="K105" s="110"/>
      <c r="L105" s="110"/>
      <c r="M105" s="110"/>
      <c r="N105" s="110"/>
      <c r="O105" s="110"/>
      <c r="P105" s="110"/>
      <c r="S105" s="19"/>
      <c r="T105" s="107">
        <v>103</v>
      </c>
      <c r="U105" s="27">
        <f t="shared" si="3"/>
        <v>8.5833333333333339</v>
      </c>
      <c r="V105" s="18">
        <f t="shared" si="4"/>
        <v>270684000</v>
      </c>
      <c r="W105" s="123">
        <f>POWER($V105-$V98,W$1)/FACT(W$1)</f>
        <v>18396000</v>
      </c>
      <c r="X105" s="123">
        <f>POWER($V105-$V98,X$1)/FACT(X$1)</f>
        <v>169206408000000</v>
      </c>
      <c r="Y105" s="123">
        <f>POWER($V105-$V98,Y$1)/FACT(Y$1)</f>
        <v>1.037573693856E+21</v>
      </c>
      <c r="Z105" s="123">
        <f>POWER($V105-$V98,Z$1)/FACT(Z$1)</f>
        <v>4.7718014180437445E+27</v>
      </c>
      <c r="AA105" s="123">
        <f>POWER($V105-$V98,AA$1)/FACT(AA$1)</f>
        <v>1.7556411777266544E+34</v>
      </c>
      <c r="AB105" s="123"/>
      <c r="AC105" s="125">
        <f t="array" ref="AC105:AJ105">AC98:AJ98+TRANSPOSE(N$12:N$19)*W105+TRANSPOSE(N$22:N$29)*X105+TRANSPOSE(N$32:N$39)*Y105+TRANSPOSE(N$42:N$49)*Z105+TRANSPOSE(N$52:N$59)*AA105</f>
        <v>4.0227576124521551</v>
      </c>
      <c r="AD105" s="42">
        <v>2794.9535574942079</v>
      </c>
      <c r="AE105" s="42">
        <v>1406.3115479516885</v>
      </c>
      <c r="AF105" s="42">
        <v>187.79038412733618</v>
      </c>
      <c r="AG105" s="42">
        <v>107.0806140281893</v>
      </c>
      <c r="AH105" s="42">
        <v>47.83267204887126</v>
      </c>
      <c r="AI105" s="42">
        <v>19.269796064884581</v>
      </c>
      <c r="AJ105" s="42">
        <v>20386.482821669517</v>
      </c>
    </row>
    <row r="106" spans="3:36" s="4" customFormat="1">
      <c r="C106" s="2"/>
      <c r="D106" s="2"/>
      <c r="E106" s="19"/>
      <c r="F106" s="19"/>
      <c r="G106" s="110"/>
      <c r="H106" s="110"/>
      <c r="I106" s="110"/>
      <c r="J106" s="110"/>
      <c r="K106" s="110"/>
      <c r="L106" s="110"/>
      <c r="M106" s="110"/>
      <c r="N106" s="110"/>
      <c r="O106" s="110"/>
      <c r="P106" s="110"/>
      <c r="S106" s="19"/>
      <c r="T106" s="107">
        <v>104</v>
      </c>
      <c r="U106" s="27">
        <f t="shared" si="3"/>
        <v>8.6666666666666661</v>
      </c>
      <c r="V106" s="18">
        <f t="shared" si="4"/>
        <v>273312000</v>
      </c>
      <c r="W106" s="123">
        <f>POWER($V106-$V98,W$1)/FACT(W$1)</f>
        <v>21024000</v>
      </c>
      <c r="X106" s="123">
        <f>POWER($V106-$V98,X$1)/FACT(X$1)</f>
        <v>221004288000000</v>
      </c>
      <c r="Y106" s="123">
        <f>POWER($V106-$V98,Y$1)/FACT(Y$1)</f>
        <v>1.548798050304E+21</v>
      </c>
      <c r="Z106" s="123">
        <f>POWER($V106-$V98,Z$1)/FACT(Z$1)</f>
        <v>8.1404825523978233E+27</v>
      </c>
      <c r="AA106" s="123">
        <f>POWER($V106-$V98,AA$1)/FACT(AA$1)</f>
        <v>3.422910103632237E+34</v>
      </c>
      <c r="AB106" s="123"/>
      <c r="AC106" s="125">
        <f t="array" ref="AC106:AJ106">AC98:AJ98+TRANSPOSE(N$12:N$19)*W106+TRANSPOSE(N$22:N$29)*X106+TRANSPOSE(N$32:N$39)*Y106+TRANSPOSE(N$42:N$49)*Z106+TRANSPOSE(N$52:N$59)*AA106</f>
        <v>3.9624947583180514</v>
      </c>
      <c r="AD106" s="42">
        <v>2788.2884210900329</v>
      </c>
      <c r="AE106" s="42">
        <v>1406.8092656574479</v>
      </c>
      <c r="AF106" s="42">
        <v>187.85291131026642</v>
      </c>
      <c r="AG106" s="42">
        <v>107.22226117944183</v>
      </c>
      <c r="AH106" s="42">
        <v>47.800503173758607</v>
      </c>
      <c r="AI106" s="42">
        <v>18.907195308685726</v>
      </c>
      <c r="AJ106" s="42">
        <v>20333.99366971686</v>
      </c>
    </row>
    <row r="107" spans="3:36" s="4" customFormat="1">
      <c r="C107" s="2"/>
      <c r="D107" s="2"/>
      <c r="E107" s="19"/>
      <c r="F107" s="19"/>
      <c r="G107" s="110"/>
      <c r="H107" s="110"/>
      <c r="I107" s="110"/>
      <c r="J107" s="110"/>
      <c r="K107" s="110"/>
      <c r="L107" s="110"/>
      <c r="M107" s="110"/>
      <c r="N107" s="110"/>
      <c r="O107" s="110"/>
      <c r="P107" s="110"/>
      <c r="S107" s="19"/>
      <c r="T107" s="107">
        <v>105</v>
      </c>
      <c r="U107" s="27">
        <f t="shared" si="3"/>
        <v>8.75</v>
      </c>
      <c r="V107" s="18">
        <f t="shared" si="4"/>
        <v>275940000</v>
      </c>
      <c r="W107" s="123">
        <f>POWER($V107-$V98,W$1)/FACT(W$1)</f>
        <v>23652000</v>
      </c>
      <c r="X107" s="123">
        <f>POWER($V107-$V98,X$1)/FACT(X$1)</f>
        <v>279708552000000</v>
      </c>
      <c r="Y107" s="123">
        <f>POWER($V107-$V98,Y$1)/FACT(Y$1)</f>
        <v>2.205222223968E+21</v>
      </c>
      <c r="Z107" s="123">
        <f>POWER($V107-$V98,Z$1)/FACT(Z$1)</f>
        <v>1.3039479010322784E+28</v>
      </c>
      <c r="AA107" s="123">
        <f>POWER($V107-$V98,AA$1)/FACT(AA$1)</f>
        <v>6.1681951510430897E+34</v>
      </c>
      <c r="AB107" s="123"/>
      <c r="AC107" s="125">
        <f t="array" ref="AC107:AJ107">AC98:AJ98+TRANSPOSE(N$12:N$19)*W107+TRANSPOSE(N$22:N$29)*X107+TRANSPOSE(N$32:N$39)*Y107+TRANSPOSE(N$42:N$49)*Z107+TRANSPOSE(N$52:N$59)*AA107</f>
        <v>3.9031346616184766</v>
      </c>
      <c r="AD107" s="42">
        <v>2781.630653588109</v>
      </c>
      <c r="AE107" s="42">
        <v>1407.2783530734287</v>
      </c>
      <c r="AF107" s="42">
        <v>187.91551407501234</v>
      </c>
      <c r="AG107" s="42">
        <v>107.36320051214781</v>
      </c>
      <c r="AH107" s="42">
        <v>47.769111507758211</v>
      </c>
      <c r="AI107" s="42">
        <v>18.55152626515255</v>
      </c>
      <c r="AJ107" s="42">
        <v>20281.63966183901</v>
      </c>
    </row>
    <row r="108" spans="3:36" s="4" customFormat="1">
      <c r="C108" s="2"/>
      <c r="D108" s="2"/>
      <c r="E108" s="19"/>
      <c r="F108" s="19"/>
      <c r="G108" s="110"/>
      <c r="H108" s="110"/>
      <c r="I108" s="110"/>
      <c r="J108" s="110"/>
      <c r="K108" s="110"/>
      <c r="L108" s="110"/>
      <c r="M108" s="110"/>
      <c r="N108" s="110"/>
      <c r="O108" s="110"/>
      <c r="P108" s="110"/>
      <c r="S108" s="19"/>
      <c r="T108" s="107">
        <v>106</v>
      </c>
      <c r="U108" s="27">
        <f t="shared" si="3"/>
        <v>8.8333333333333339</v>
      </c>
      <c r="V108" s="18">
        <f t="shared" si="4"/>
        <v>278568000</v>
      </c>
      <c r="W108" s="123">
        <f>POWER($V108-$V98,W$1)/FACT(W$1)</f>
        <v>26280000</v>
      </c>
      <c r="X108" s="123">
        <f>POWER($V108-$V98,X$1)/FACT(X$1)</f>
        <v>345319200000000</v>
      </c>
      <c r="Y108" s="123">
        <f>POWER($V108-$V98,Y$1)/FACT(Y$1)</f>
        <v>3.0249961920000001E+21</v>
      </c>
      <c r="Z108" s="123">
        <f>POWER($V108-$V98,Z$1)/FACT(Z$1)</f>
        <v>1.9874224981439999E+28</v>
      </c>
      <c r="AA108" s="123">
        <f>POWER($V108-$V98,AA$1)/FACT(AA$1)</f>
        <v>1.0445892650244865E+35</v>
      </c>
      <c r="AB108" s="123"/>
      <c r="AC108" s="125">
        <f t="array" ref="AC108:AJ108">AC98:AJ98+TRANSPOSE(N$12:N$19)*W108+TRANSPOSE(N$22:N$29)*X108+TRANSPOSE(N$32:N$39)*Y108+TRANSPOSE(N$42:N$49)*Z108+TRANSPOSE(N$52:N$59)*AA108</f>
        <v>3.8446637931839978</v>
      </c>
      <c r="AD108" s="42">
        <v>2774.9804160334625</v>
      </c>
      <c r="AE108" s="42">
        <v>1407.7190421036673</v>
      </c>
      <c r="AF108" s="42">
        <v>187.97808449307982</v>
      </c>
      <c r="AG108" s="42">
        <v>107.5034382130043</v>
      </c>
      <c r="AH108" s="42">
        <v>47.738484511348823</v>
      </c>
      <c r="AI108" s="42">
        <v>18.202656018711274</v>
      </c>
      <c r="AJ108" s="42">
        <v>20229.420450079171</v>
      </c>
    </row>
    <row r="109" spans="3:36" s="4" customFormat="1">
      <c r="C109" s="2"/>
      <c r="D109" s="2"/>
      <c r="E109" s="19"/>
      <c r="F109" s="19"/>
      <c r="G109" s="110"/>
      <c r="H109" s="110"/>
      <c r="I109" s="110"/>
      <c r="J109" s="110"/>
      <c r="K109" s="110"/>
      <c r="L109" s="110"/>
      <c r="M109" s="110"/>
      <c r="N109" s="110"/>
      <c r="O109" s="110"/>
      <c r="P109" s="110"/>
      <c r="S109" s="19"/>
      <c r="T109" s="107">
        <v>107</v>
      </c>
      <c r="U109" s="27">
        <f t="shared" si="3"/>
        <v>8.9166666666666661</v>
      </c>
      <c r="V109" s="18">
        <f t="shared" si="4"/>
        <v>281196000</v>
      </c>
      <c r="W109" s="123">
        <f>POWER($V109-$V98,W$1)/FACT(W$1)</f>
        <v>28908000</v>
      </c>
      <c r="X109" s="123">
        <f>POWER($V109-$V98,X$1)/FACT(X$1)</f>
        <v>417836232000000</v>
      </c>
      <c r="Y109" s="123">
        <f>POWER($V109-$V98,Y$1)/FACT(Y$1)</f>
        <v>4.0262699315519999E+21</v>
      </c>
      <c r="Z109" s="123">
        <f>POWER($V109-$V98,Z$1)/FACT(Z$1)</f>
        <v>2.9097852795326301E+28</v>
      </c>
      <c r="AA109" s="123">
        <f>POWER($V109-$V98,AA$1)/FACT(AA$1)</f>
        <v>1.6823214572145855E+35</v>
      </c>
      <c r="AB109" s="123"/>
      <c r="AC109" s="125">
        <f t="array" ref="AC109:AJ109">AC98:AJ98+TRANSPOSE(N$12:N$19)*W109+TRANSPOSE(N$22:N$29)*X109+TRANSPOSE(N$32:N$39)*Y109+TRANSPOSE(N$42:N$49)*Z109+TRANSPOSE(N$52:N$59)*AA109</f>
        <v>3.7870688243841695</v>
      </c>
      <c r="AD109" s="42">
        <v>2768.3378658223201</v>
      </c>
      <c r="AE109" s="42">
        <v>1408.1315635847641</v>
      </c>
      <c r="AF109" s="42">
        <v>188.04051829129639</v>
      </c>
      <c r="AG109" s="42">
        <v>107.64298003603153</v>
      </c>
      <c r="AH109" s="42">
        <v>47.708609466716567</v>
      </c>
      <c r="AI109" s="42">
        <v>17.86045415523791</v>
      </c>
      <c r="AJ109" s="42">
        <v>20177.335687376184</v>
      </c>
    </row>
    <row r="110" spans="3:36" s="4" customFormat="1">
      <c r="C110" s="2"/>
      <c r="D110" s="2"/>
      <c r="E110" s="19"/>
      <c r="F110" s="19"/>
      <c r="G110" s="110"/>
      <c r="H110" s="110"/>
      <c r="I110" s="110"/>
      <c r="J110" s="110"/>
      <c r="K110" s="110"/>
      <c r="L110" s="110"/>
      <c r="M110" s="110"/>
      <c r="N110" s="110"/>
      <c r="O110" s="110"/>
      <c r="P110" s="110"/>
      <c r="S110" s="19"/>
      <c r="T110" s="107">
        <v>108</v>
      </c>
      <c r="U110" s="27">
        <f t="shared" si="3"/>
        <v>9</v>
      </c>
      <c r="V110" s="18">
        <f t="shared" si="4"/>
        <v>283824000</v>
      </c>
      <c r="W110" s="123">
        <f>POWER($V110-$V98,W$1)/FACT(W$1)</f>
        <v>31536000</v>
      </c>
      <c r="X110" s="123">
        <f>POWER($V110-$V98,X$1)/FACT(X$1)</f>
        <v>497259648000000</v>
      </c>
      <c r="Y110" s="123">
        <f>POWER($V110-$V98,Y$1)/FACT(Y$1)</f>
        <v>5.227193419776E+21</v>
      </c>
      <c r="Z110" s="123">
        <f>POWER($V110-$V98,Z$1)/FACT(Z$1)</f>
        <v>4.121119292151398E+28</v>
      </c>
      <c r="AA110" s="123">
        <f>POWER($V110-$V98,AA$1)/FACT(AA$1)</f>
        <v>2.5992723599457299E+35</v>
      </c>
      <c r="AB110" s="123"/>
      <c r="AC110" s="125">
        <f t="array" ref="AC110:AJ110">AC98:AJ98+TRANSPOSE(N$12:N$19)*W110+TRANSPOSE(N$22:N$29)*X110+TRANSPOSE(N$32:N$39)*Y110+TRANSPOSE(N$42:N$49)*Z110+TRANSPOSE(N$52:N$59)*AA110</f>
        <v>3.7303366236248108</v>
      </c>
      <c r="AD110" s="42">
        <v>2761.7031567851768</v>
      </c>
      <c r="AE110" s="42">
        <v>1408.5161472762793</v>
      </c>
      <c r="AF110" s="42">
        <v>188.10271471168679</v>
      </c>
      <c r="AG110" s="42">
        <v>107.78183132361671</v>
      </c>
      <c r="AH110" s="42">
        <v>47.679473504496961</v>
      </c>
      <c r="AI110" s="42">
        <v>17.524792703447559</v>
      </c>
      <c r="AJ110" s="42">
        <v>20125.385027562181</v>
      </c>
    </row>
    <row r="111" spans="3:36" s="4" customFormat="1">
      <c r="C111" s="2"/>
      <c r="D111" s="2"/>
      <c r="E111" s="19"/>
      <c r="F111" s="19"/>
      <c r="G111" s="110"/>
      <c r="H111" s="110"/>
      <c r="I111" s="110"/>
      <c r="J111" s="110"/>
      <c r="K111" s="110"/>
      <c r="L111" s="110"/>
      <c r="M111" s="110"/>
      <c r="N111" s="110"/>
      <c r="O111" s="110"/>
      <c r="P111" s="110"/>
      <c r="S111" s="19"/>
      <c r="T111" s="107">
        <v>109</v>
      </c>
      <c r="U111" s="27">
        <f t="shared" si="3"/>
        <v>9.0833333333333339</v>
      </c>
      <c r="V111" s="18">
        <f t="shared" si="4"/>
        <v>286452000</v>
      </c>
      <c r="W111" s="123">
        <f>POWER($V111-$V110,W$1)/FACT(W$1)</f>
        <v>2628000</v>
      </c>
      <c r="X111" s="123">
        <f>POWER($V111-$V110,X$1)/FACT(X$1)</f>
        <v>3453192000000</v>
      </c>
      <c r="Y111" s="123">
        <f>POWER($V111-$V110,Y$1)/FACT(Y$1)</f>
        <v>3.024996192E+18</v>
      </c>
      <c r="Z111" s="123">
        <f>POWER($V111-$V110,Z$1)/FACT(Z$1)</f>
        <v>1.9874224981439998E+24</v>
      </c>
      <c r="AA111" s="123">
        <f>POWER($V111-$V110,AA$1)/FACT(AA$1)</f>
        <v>1.0445892650244864E+30</v>
      </c>
      <c r="AB111" s="123"/>
      <c r="AC111" s="125">
        <f t="array" ref="AC111:AJ111">AC110:AJ110+TRANSPOSE(O$12:O$19)*W111+TRANSPOSE(O$22:O$29)*X111+TRANSPOSE(O$32:O$39)*Y111+TRANSPOSE(O$42:O$49)*Z111+TRANSPOSE(O$52:O$59)*AA111</f>
        <v>3.6744543870690305</v>
      </c>
      <c r="AD111" s="42">
        <v>2755.0764353827412</v>
      </c>
      <c r="AE111" s="42">
        <v>1408.8730228191509</v>
      </c>
      <c r="AF111" s="42">
        <v>188.16458609710759</v>
      </c>
      <c r="AG111" s="42">
        <v>107.91999554480043</v>
      </c>
      <c r="AH111" s="42">
        <v>47.651061095027373</v>
      </c>
      <c r="AI111" s="42">
        <v>17.195548949873555</v>
      </c>
      <c r="AJ111" s="42">
        <v>20073.568125375768</v>
      </c>
    </row>
    <row r="112" spans="3:36" s="4" customFormat="1">
      <c r="C112" s="2"/>
      <c r="D112" s="2"/>
      <c r="E112" s="19"/>
      <c r="F112" s="19"/>
      <c r="G112" s="110"/>
      <c r="H112" s="110"/>
      <c r="I112" s="110"/>
      <c r="J112" s="110"/>
      <c r="K112" s="110"/>
      <c r="L112" s="110"/>
      <c r="M112" s="110"/>
      <c r="N112" s="110"/>
      <c r="O112" s="110"/>
      <c r="P112" s="110"/>
      <c r="S112" s="19"/>
      <c r="T112" s="107">
        <v>110</v>
      </c>
      <c r="U112" s="27">
        <f t="shared" si="3"/>
        <v>9.1666666666666661</v>
      </c>
      <c r="V112" s="18">
        <f t="shared" si="4"/>
        <v>289080000</v>
      </c>
      <c r="W112" s="123">
        <f>POWER($V112-$V110,W$1)/FACT(W$1)</f>
        <v>5256000</v>
      </c>
      <c r="X112" s="123">
        <f>POWER($V112-$V110,X$1)/FACT(X$1)</f>
        <v>13812768000000</v>
      </c>
      <c r="Y112" s="123">
        <f>POWER($V112-$V110,Y$1)/FACT(Y$1)</f>
        <v>2.4199969536E+19</v>
      </c>
      <c r="Z112" s="123">
        <f>POWER($V112-$V110,Z$1)/FACT(Z$1)</f>
        <v>3.1798759970303997E+25</v>
      </c>
      <c r="AA112" s="123">
        <f>POWER($V112-$V110,AA$1)/FACT(AA$1)</f>
        <v>3.3426856480783565E+31</v>
      </c>
      <c r="AB112" s="123"/>
      <c r="AC112" s="125">
        <f t="array" ref="AC112:AJ112">AC110:AJ110+TRANSPOSE(O$12:O$19)*W112+TRANSPOSE(O$22:O$29)*X112+TRANSPOSE(O$32:O$39)*Y112+TRANSPOSE(O$42:O$49)*Z112+TRANSPOSE(O$52:O$59)*AA112</f>
        <v>3.6194092932870632</v>
      </c>
      <c r="AD112" s="42">
        <v>2748.4578507015026</v>
      </c>
      <c r="AE112" s="42">
        <v>1409.2024172537672</v>
      </c>
      <c r="AF112" s="42">
        <v>188.22603286373533</v>
      </c>
      <c r="AG112" s="42">
        <v>108.05747810937964</v>
      </c>
      <c r="AH112" s="42">
        <v>47.623360574639683</v>
      </c>
      <c r="AI112" s="42">
        <v>16.872598049599727</v>
      </c>
      <c r="AJ112" s="42">
        <v>20021.884636420207</v>
      </c>
    </row>
    <row r="113" spans="1:36" s="4" customFormat="1">
      <c r="C113" s="2"/>
      <c r="D113" s="2"/>
      <c r="E113" s="19"/>
      <c r="F113" s="19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9"/>
      <c r="T113" s="107">
        <v>111</v>
      </c>
      <c r="U113" s="27">
        <f t="shared" si="3"/>
        <v>9.25</v>
      </c>
      <c r="V113" s="18">
        <f t="shared" si="4"/>
        <v>291708000</v>
      </c>
      <c r="W113" s="123">
        <f>POWER($V113-$V110,W$1)/FACT(W$1)</f>
        <v>7884000</v>
      </c>
      <c r="X113" s="123">
        <f>POWER($V113-$V110,X$1)/FACT(X$1)</f>
        <v>31078728000000</v>
      </c>
      <c r="Y113" s="123">
        <f>POWER($V113-$V110,Y$1)/FACT(Y$1)</f>
        <v>8.1674897184E+19</v>
      </c>
      <c r="Z113" s="123">
        <f>POWER($V113-$V110,Z$1)/FACT(Z$1)</f>
        <v>1.6098122234966398E+26</v>
      </c>
      <c r="AA113" s="123">
        <f>POWER($V113-$V110,AA$1)/FACT(AA$1)</f>
        <v>2.5383519140095018E+32</v>
      </c>
      <c r="AB113" s="123"/>
      <c r="AC113" s="125">
        <f t="array" ref="AC113:AJ113">AC110:AJ110+TRANSPOSE(O$12:O$19)*W113+TRANSPOSE(O$22:O$29)*X113+TRANSPOSE(O$32:O$39)*Y113+TRANSPOSE(O$42:O$49)*Z113+TRANSPOSE(O$52:O$59)*AA113</f>
        <v>3.5651888014446724</v>
      </c>
      <c r="AD113" s="42">
        <v>2741.8475457800923</v>
      </c>
      <c r="AE113" s="42">
        <v>1409.5045571969715</v>
      </c>
      <c r="AF113" s="42">
        <v>188.28696540621453</v>
      </c>
      <c r="AG113" s="42">
        <v>108.19428302989375</v>
      </c>
      <c r="AH113" s="42">
        <v>47.596358407184816</v>
      </c>
      <c r="AI113" s="42">
        <v>16.555819445452872</v>
      </c>
      <c r="AJ113" s="42">
        <v>19970.334217195737</v>
      </c>
    </row>
    <row r="114" spans="1:36" s="4" customFormat="1">
      <c r="C114" s="2"/>
      <c r="D114" s="2"/>
      <c r="E114" s="19"/>
      <c r="F114" s="19"/>
      <c r="G114" s="110"/>
      <c r="H114" s="110"/>
      <c r="I114" s="110"/>
      <c r="J114" s="110"/>
      <c r="K114" s="110"/>
      <c r="L114" s="110"/>
      <c r="M114" s="110"/>
      <c r="N114" s="110"/>
      <c r="O114" s="110"/>
      <c r="P114" s="110"/>
      <c r="Q114" s="110"/>
      <c r="R114" s="110"/>
      <c r="S114" s="19"/>
      <c r="T114" s="107">
        <v>112</v>
      </c>
      <c r="U114" s="27">
        <f t="shared" si="3"/>
        <v>9.3333333333333339</v>
      </c>
      <c r="V114" s="18">
        <f t="shared" si="4"/>
        <v>294336000</v>
      </c>
      <c r="W114" s="123">
        <f>POWER($V114-$V110,W$1)/FACT(W$1)</f>
        <v>10512000</v>
      </c>
      <c r="X114" s="123">
        <f>POWER($V114-$V110,X$1)/FACT(X$1)</f>
        <v>55251072000000</v>
      </c>
      <c r="Y114" s="123">
        <f>POWER($V114-$V110,Y$1)/FACT(Y$1)</f>
        <v>1.93599756288E+20</v>
      </c>
      <c r="Z114" s="123">
        <f>POWER($V114-$V110,Z$1)/FACT(Z$1)</f>
        <v>5.0878015952486396E+26</v>
      </c>
      <c r="AA114" s="123">
        <f>POWER($V114-$V110,AA$1)/FACT(AA$1)</f>
        <v>1.0696594073850741E+33</v>
      </c>
      <c r="AB114" s="123"/>
      <c r="AC114" s="125">
        <f t="array" ref="AC114:AJ114">AC110:AJ110+TRANSPOSE(O$12:O$19)*W114+TRANSPOSE(O$22:O$29)*X114+TRANSPOSE(O$32:O$39)*Y114+TRANSPOSE(O$42:O$49)*Z114+TRANSPOSE(O$52:O$59)*AA114</f>
        <v>3.5117805584803778</v>
      </c>
      <c r="AD114" s="42">
        <v>2735.2456602879383</v>
      </c>
      <c r="AE114" s="42">
        <v>1409.7796681834245</v>
      </c>
      <c r="AF114" s="42">
        <v>188.34729740206444</v>
      </c>
      <c r="AG114" s="42">
        <v>108.33041394123731</v>
      </c>
      <c r="AH114" s="42">
        <v>47.570040927916658</v>
      </c>
      <c r="AI114" s="42">
        <v>16.24509488863244</v>
      </c>
      <c r="AJ114" s="42">
        <v>19918.916525087017</v>
      </c>
    </row>
    <row r="115" spans="1:36" s="4" customFormat="1">
      <c r="C115" s="2"/>
      <c r="D115" s="2"/>
      <c r="E115" s="19"/>
      <c r="F115" s="19"/>
      <c r="G115" s="110"/>
      <c r="H115" s="110"/>
      <c r="I115" s="110"/>
      <c r="J115" s="110"/>
      <c r="K115" s="110"/>
      <c r="L115" s="110"/>
      <c r="M115" s="110"/>
      <c r="N115" s="110"/>
      <c r="O115" s="110"/>
      <c r="P115" s="110"/>
      <c r="R115" s="110"/>
      <c r="S115" s="19"/>
      <c r="T115" s="107">
        <v>113</v>
      </c>
      <c r="U115" s="27">
        <f t="shared" si="3"/>
        <v>9.4166666666666661</v>
      </c>
      <c r="V115" s="18">
        <f t="shared" si="4"/>
        <v>296964000</v>
      </c>
      <c r="W115" s="123">
        <f>POWER($V115-$V110,W$1)/FACT(W$1)</f>
        <v>13140000</v>
      </c>
      <c r="X115" s="123">
        <f>POWER($V115-$V110,X$1)/FACT(X$1)</f>
        <v>86329800000000</v>
      </c>
      <c r="Y115" s="123">
        <f>POWER($V115-$V110,Y$1)/FACT(Y$1)</f>
        <v>3.7812452400000002E+20</v>
      </c>
      <c r="Z115" s="123">
        <f>POWER($V115-$V110,Z$1)/FACT(Z$1)</f>
        <v>1.2421390613399999E+27</v>
      </c>
      <c r="AA115" s="123">
        <f>POWER($V115-$V110,AA$1)/FACT(AA$1)</f>
        <v>3.2643414532015203E+33</v>
      </c>
      <c r="AB115" s="123"/>
      <c r="AC115" s="125">
        <f t="array" ref="AC115:AJ115">AC110:AJ110+TRANSPOSE(O$12:O$19)*W115+TRANSPOSE(O$22:O$29)*X115+TRANSPOSE(O$32:O$39)*Y115+TRANSPOSE(O$42:O$49)*Z115+TRANSPOSE(O$52:O$59)*AA115</f>
        <v>3.4591723961830358</v>
      </c>
      <c r="AD115" s="42">
        <v>2728.6523305918163</v>
      </c>
      <c r="AE115" s="42">
        <v>1410.0279746600195</v>
      </c>
      <c r="AF115" s="42">
        <v>188.40694571096284</v>
      </c>
      <c r="AG115" s="42">
        <v>108.46587411567016</v>
      </c>
      <c r="AH115" s="42">
        <v>47.544394360217311</v>
      </c>
      <c r="AI115" s="42">
        <v>15.940308392244779</v>
      </c>
      <c r="AJ115" s="42">
        <v>19867.631218360795</v>
      </c>
    </row>
    <row r="116" spans="1:36" s="4" customFormat="1">
      <c r="A116" s="2"/>
      <c r="B116" s="2"/>
      <c r="C116" s="2"/>
      <c r="D116" s="2"/>
      <c r="E116" s="19"/>
      <c r="F116" s="19"/>
      <c r="G116" s="110"/>
      <c r="H116" s="110"/>
      <c r="I116" s="110"/>
      <c r="J116" s="110"/>
      <c r="K116" s="110"/>
      <c r="L116" s="110"/>
      <c r="M116" s="110"/>
      <c r="N116" s="110"/>
      <c r="O116" s="110"/>
      <c r="P116" s="110"/>
      <c r="R116" s="110"/>
      <c r="S116" s="19"/>
      <c r="T116" s="107">
        <v>114</v>
      </c>
      <c r="U116" s="27">
        <f t="shared" si="3"/>
        <v>9.5</v>
      </c>
      <c r="V116" s="18">
        <f t="shared" si="4"/>
        <v>299592000</v>
      </c>
      <c r="W116" s="123">
        <f>POWER($V116-$V110,W$1)/FACT(W$1)</f>
        <v>15768000</v>
      </c>
      <c r="X116" s="123">
        <f>POWER($V116-$V110,X$1)/FACT(X$1)</f>
        <v>124314912000000</v>
      </c>
      <c r="Y116" s="123">
        <f>POWER($V116-$V110,Y$1)/FACT(Y$1)</f>
        <v>6.53399177472E+20</v>
      </c>
      <c r="Z116" s="123">
        <f>POWER($V116-$V110,Z$1)/FACT(Z$1)</f>
        <v>2.5756995575946237E+27</v>
      </c>
      <c r="AA116" s="123">
        <f>POWER($V116-$V110,AA$1)/FACT(AA$1)</f>
        <v>8.1227261248304059E+33</v>
      </c>
      <c r="AB116" s="123"/>
      <c r="AC116" s="125">
        <f t="array" ref="AC116:AJ116">AC110:AJ110+TRANSPOSE(O$12:O$19)*W116+TRANSPOSE(O$22:O$29)*X116+TRANSPOSE(O$32:O$39)*Y116+TRANSPOSE(O$42:O$49)*Z116+TRANSPOSE(O$52:O$59)*AA116</f>
        <v>3.4073523282694054</v>
      </c>
      <c r="AD116" s="42">
        <v>2722.0676898224074</v>
      </c>
      <c r="AE116" s="42">
        <v>1410.2496999803018</v>
      </c>
      <c r="AF116" s="42">
        <v>188.4658302740298</v>
      </c>
      <c r="AG116" s="42">
        <v>108.60066647782774</v>
      </c>
      <c r="AH116" s="42">
        <v>47.519404832322522</v>
      </c>
      <c r="AI116" s="42">
        <v>15.641346184837378</v>
      </c>
      <c r="AJ116" s="42">
        <v>19816.477956163639</v>
      </c>
    </row>
    <row r="117" spans="1:36" s="4" customFormat="1">
      <c r="A117" s="2"/>
      <c r="B117" s="2"/>
      <c r="C117" s="2"/>
      <c r="D117" s="2"/>
      <c r="E117" s="19"/>
      <c r="F117" s="19"/>
      <c r="G117" s="110"/>
      <c r="H117" s="110"/>
      <c r="I117" s="110"/>
      <c r="J117" s="110"/>
      <c r="K117" s="110"/>
      <c r="L117" s="110"/>
      <c r="M117" s="110"/>
      <c r="N117" s="110"/>
      <c r="O117" s="110"/>
      <c r="P117" s="110"/>
      <c r="R117" s="110"/>
      <c r="S117" s="19"/>
      <c r="T117" s="107">
        <v>115</v>
      </c>
      <c r="U117" s="27">
        <f t="shared" si="3"/>
        <v>9.5833333333333339</v>
      </c>
      <c r="V117" s="18">
        <f t="shared" si="4"/>
        <v>302220000</v>
      </c>
      <c r="W117" s="123">
        <f>POWER($V117-$V110,W$1)/FACT(W$1)</f>
        <v>18396000</v>
      </c>
      <c r="X117" s="123">
        <f>POWER($V117-$V110,X$1)/FACT(X$1)</f>
        <v>169206408000000</v>
      </c>
      <c r="Y117" s="123">
        <f>POWER($V117-$V110,Y$1)/FACT(Y$1)</f>
        <v>1.037573693856E+21</v>
      </c>
      <c r="Z117" s="123">
        <f>POWER($V117-$V110,Z$1)/FACT(Z$1)</f>
        <v>4.7718014180437445E+27</v>
      </c>
      <c r="AA117" s="123">
        <f>POWER($V117-$V110,AA$1)/FACT(AA$1)</f>
        <v>1.7556411777266544E+34</v>
      </c>
      <c r="AB117" s="123"/>
      <c r="AC117" s="125">
        <f t="array" ref="AC117:AJ117">AC110:AJ110+TRANSPOSE(O$12:O$19)*W117+TRANSPOSE(O$22:O$29)*X117+TRANSPOSE(O$32:O$39)*Y117+TRANSPOSE(O$42:O$49)*Z117+TRANSPOSE(O$52:O$59)*AA117</f>
        <v>3.3563085474617154</v>
      </c>
      <c r="AD117" s="42">
        <v>2715.4918679408524</v>
      </c>
      <c r="AE117" s="42">
        <v>1410.4450663988875</v>
      </c>
      <c r="AF117" s="42">
        <v>188.52387401311145</v>
      </c>
      <c r="AG117" s="42">
        <v>108.73479361973122</v>
      </c>
      <c r="AH117" s="42">
        <v>47.495058394046829</v>
      </c>
      <c r="AI117" s="42">
        <v>15.34809666393307</v>
      </c>
      <c r="AJ117" s="42">
        <v>19765.45639851964</v>
      </c>
    </row>
    <row r="118" spans="1:36" s="4" customFormat="1">
      <c r="A118" s="2"/>
      <c r="B118" s="2"/>
      <c r="C118" s="2"/>
      <c r="D118" s="2"/>
      <c r="E118" s="19"/>
      <c r="F118" s="19"/>
      <c r="G118" s="110"/>
      <c r="H118" s="110"/>
      <c r="I118" s="110"/>
      <c r="J118" s="110"/>
      <c r="K118" s="110"/>
      <c r="L118" s="110"/>
      <c r="M118" s="110"/>
      <c r="N118" s="110"/>
      <c r="O118" s="110"/>
      <c r="P118" s="110"/>
      <c r="R118" s="110"/>
      <c r="S118" s="19"/>
      <c r="T118" s="107">
        <v>116</v>
      </c>
      <c r="U118" s="27">
        <f t="shared" si="3"/>
        <v>9.6666666666666661</v>
      </c>
      <c r="V118" s="18">
        <f t="shared" si="4"/>
        <v>304848000</v>
      </c>
      <c r="W118" s="123">
        <f>POWER($V118-$V110,W$1)/FACT(W$1)</f>
        <v>21024000</v>
      </c>
      <c r="X118" s="123">
        <f>POWER($V118-$V110,X$1)/FACT(X$1)</f>
        <v>221004288000000</v>
      </c>
      <c r="Y118" s="123">
        <f>POWER($V118-$V110,Y$1)/FACT(Y$1)</f>
        <v>1.548798050304E+21</v>
      </c>
      <c r="Z118" s="123">
        <f>POWER($V118-$V110,Z$1)/FACT(Z$1)</f>
        <v>8.1404825523978233E+27</v>
      </c>
      <c r="AA118" s="123">
        <f>POWER($V118-$V110,AA$1)/FACT(AA$1)</f>
        <v>3.422910103632237E+34</v>
      </c>
      <c r="AB118" s="123"/>
      <c r="AC118" s="125">
        <f t="array" ref="AC118:AJ118">AC110:AJ110+TRANSPOSE(O$12:O$19)*W118+TRANSPOSE(O$22:O$29)*X118+TRANSPOSE(O$32:O$39)*Y118+TRANSPOSE(O$42:O$49)*Z118+TRANSPOSE(O$52:O$59)*AA118</f>
        <v>3.3060294225652398</v>
      </c>
      <c r="AD118" s="42">
        <v>2708.9249918053069</v>
      </c>
      <c r="AE118" s="42">
        <v>1410.6142950658814</v>
      </c>
      <c r="AF118" s="42">
        <v>188.58100273006369</v>
      </c>
      <c r="AG118" s="42">
        <v>108.86825781579776</v>
      </c>
      <c r="AH118" s="42">
        <v>47.471341033508935</v>
      </c>
      <c r="AI118" s="42">
        <v>15.060450349564301</v>
      </c>
      <c r="AJ118" s="42">
        <v>19714.566206328116</v>
      </c>
    </row>
    <row r="119" spans="1:36" s="4" customFormat="1">
      <c r="A119" s="2"/>
      <c r="B119" s="2"/>
      <c r="C119" s="2"/>
      <c r="D119" s="2"/>
      <c r="E119" s="19"/>
      <c r="F119" s="19"/>
      <c r="G119" s="110"/>
      <c r="H119" s="110"/>
      <c r="I119" s="110"/>
      <c r="J119" s="110"/>
      <c r="K119" s="110"/>
      <c r="L119" s="110"/>
      <c r="M119" s="110"/>
      <c r="N119" s="110"/>
      <c r="O119" s="110"/>
      <c r="P119" s="110"/>
      <c r="R119" s="110"/>
      <c r="S119" s="19"/>
      <c r="T119" s="107">
        <v>117</v>
      </c>
      <c r="U119" s="27">
        <f t="shared" si="3"/>
        <v>9.75</v>
      </c>
      <c r="V119" s="18">
        <f t="shared" si="4"/>
        <v>307476000</v>
      </c>
      <c r="W119" s="123">
        <f>POWER($V119-$V110,W$1)/FACT(W$1)</f>
        <v>23652000</v>
      </c>
      <c r="X119" s="123">
        <f>POWER($V119-$V110,X$1)/FACT(X$1)</f>
        <v>279708552000000</v>
      </c>
      <c r="Y119" s="123">
        <f>POWER($V119-$V110,Y$1)/FACT(Y$1)</f>
        <v>2.205222223968E+21</v>
      </c>
      <c r="Z119" s="123">
        <f>POWER($V119-$V110,Z$1)/FACT(Z$1)</f>
        <v>1.3039479010322784E+28</v>
      </c>
      <c r="AA119" s="123">
        <f>POWER($V119-$V110,AA$1)/FACT(AA$1)</f>
        <v>6.1681951510430897E+34</v>
      </c>
      <c r="AB119" s="123"/>
      <c r="AC119" s="125">
        <f t="array" ref="AC119:AJ119">AC110:AJ110+TRANSPOSE(O$12:O$19)*W119+TRANSPOSE(O$22:O$29)*X119+TRANSPOSE(O$32:O$39)*Y119+TRANSPOSE(O$42:O$49)*Z119+TRANSPOSE(O$52:O$59)*AA119</f>
        <v>3.2565034955458652</v>
      </c>
      <c r="AD119" s="42">
        <v>2702.3671852374932</v>
      </c>
      <c r="AE119" s="42">
        <v>1410.7576060212944</v>
      </c>
      <c r="AF119" s="42">
        <v>188.63714500603595</v>
      </c>
      <c r="AG119" s="42">
        <v>109.00106103785075</v>
      </c>
      <c r="AH119" s="42">
        <v>47.448238693857036</v>
      </c>
      <c r="AI119" s="42">
        <v>14.778299837807326</v>
      </c>
      <c r="AJ119" s="42">
        <v>19663.807041361339</v>
      </c>
    </row>
    <row r="120" spans="1:36" s="4" customFormat="1">
      <c r="A120" s="2"/>
      <c r="B120" s="2"/>
      <c r="C120" s="2"/>
      <c r="D120" s="2"/>
      <c r="E120" s="19"/>
      <c r="F120" s="19"/>
      <c r="G120" s="110"/>
      <c r="H120" s="110"/>
      <c r="I120" s="110"/>
      <c r="J120" s="110"/>
      <c r="K120" s="110"/>
      <c r="L120" s="110"/>
      <c r="M120" s="110"/>
      <c r="N120" s="110"/>
      <c r="O120" s="110"/>
      <c r="P120" s="110"/>
      <c r="R120" s="110"/>
      <c r="S120" s="19"/>
      <c r="T120" s="107">
        <v>118</v>
      </c>
      <c r="U120" s="27">
        <f t="shared" si="3"/>
        <v>9.8333333333333339</v>
      </c>
      <c r="V120" s="18">
        <f t="shared" si="4"/>
        <v>310104000</v>
      </c>
      <c r="W120" s="123">
        <f>POWER($V120-$V110,W$1)/FACT(W$1)</f>
        <v>26280000</v>
      </c>
      <c r="X120" s="123">
        <f>POWER($V120-$V110,X$1)/FACT(X$1)</f>
        <v>345319200000000</v>
      </c>
      <c r="Y120" s="123">
        <f>POWER($V120-$V110,Y$1)/FACT(Y$1)</f>
        <v>3.0249961920000001E+21</v>
      </c>
      <c r="Z120" s="123">
        <f>POWER($V120-$V110,Z$1)/FACT(Z$1)</f>
        <v>1.9874224981439999E+28</v>
      </c>
      <c r="AA120" s="123">
        <f>POWER($V120-$V110,AA$1)/FACT(AA$1)</f>
        <v>1.0445892650244865E+35</v>
      </c>
      <c r="AB120" s="123"/>
      <c r="AC120" s="125">
        <f t="array" ref="AC120:AJ120">AC110:AJ110+TRANSPOSE(O$12:O$19)*W120+TRANSPOSE(O$22:O$29)*X120+TRANSPOSE(O$32:O$39)*Y120+TRANSPOSE(O$42:O$49)*Z120+TRANSPOSE(O$52:O$59)*AA120</f>
        <v>3.2077194786076619</v>
      </c>
      <c r="AD120" s="42">
        <v>2695.8185690892583</v>
      </c>
      <c r="AE120" s="42">
        <v>1410.8752181894636</v>
      </c>
      <c r="AF120" s="42">
        <v>188.69223210075498</v>
      </c>
      <c r="AG120" s="42">
        <v>109.13320497012988</v>
      </c>
      <c r="AH120" s="42">
        <v>47.425737289994032</v>
      </c>
      <c r="AI120" s="42">
        <v>14.501539754316459</v>
      </c>
      <c r="AJ120" s="42">
        <v>19613.178566262202</v>
      </c>
    </row>
    <row r="121" spans="1:36" s="4" customFormat="1">
      <c r="A121" s="2"/>
      <c r="B121" s="2"/>
      <c r="C121" s="2"/>
      <c r="D121" s="2"/>
      <c r="E121" s="19"/>
      <c r="F121" s="19"/>
      <c r="G121" s="110"/>
      <c r="H121" s="110"/>
      <c r="I121" s="110"/>
      <c r="J121" s="110"/>
      <c r="K121" s="110"/>
      <c r="L121" s="110"/>
      <c r="M121" s="110"/>
      <c r="N121" s="110"/>
      <c r="O121" s="110"/>
      <c r="P121" s="110"/>
      <c r="R121" s="110"/>
      <c r="S121" s="19"/>
      <c r="T121" s="107">
        <v>119</v>
      </c>
      <c r="U121" s="27">
        <f t="shared" si="3"/>
        <v>9.9166666666666661</v>
      </c>
      <c r="V121" s="18">
        <f t="shared" si="4"/>
        <v>312732000</v>
      </c>
      <c r="W121" s="123">
        <f>POWER($V121-$V110,W$1)/FACT(W$1)</f>
        <v>28908000</v>
      </c>
      <c r="X121" s="123">
        <f>POWER($V121-$V110,X$1)/FACT(X$1)</f>
        <v>417836232000000</v>
      </c>
      <c r="Y121" s="123">
        <f>POWER($V121-$V110,Y$1)/FACT(Y$1)</f>
        <v>4.0262699315519999E+21</v>
      </c>
      <c r="Z121" s="123">
        <f>POWER($V121-$V110,Z$1)/FACT(Z$1)</f>
        <v>2.9097852795326301E+28</v>
      </c>
      <c r="AA121" s="123">
        <f>POWER($V121-$V110,AA$1)/FACT(AA$1)</f>
        <v>1.6823214572145855E+35</v>
      </c>
      <c r="AB121" s="123"/>
      <c r="AC121" s="125">
        <f t="array" ref="AC121:AJ121">AC110:AJ110+TRANSPOSE(O$12:O$19)*W121+TRANSPOSE(O$22:O$29)*X121+TRANSPOSE(O$32:O$39)*Y121+TRANSPOSE(O$42:O$49)*Z121+TRANSPOSE(O$52:O$59)*AA121</f>
        <v>3.1596662512704525</v>
      </c>
      <c r="AD121" s="42">
        <v>2689.2792613091287</v>
      </c>
      <c r="AE121" s="42">
        <v>1410.9673493734692</v>
      </c>
      <c r="AF121" s="42">
        <v>188.74619785180869</v>
      </c>
      <c r="AG121" s="42">
        <v>109.2646910243016</v>
      </c>
      <c r="AH121" s="42">
        <v>47.403822725302895</v>
      </c>
      <c r="AI121" s="42">
        <v>14.230066707858311</v>
      </c>
      <c r="AJ121" s="42">
        <v>19562.680444541966</v>
      </c>
    </row>
    <row r="122" spans="1:36" s="4" customFormat="1">
      <c r="A122" s="2"/>
      <c r="B122" s="2"/>
      <c r="C122" s="2"/>
      <c r="D122" s="2"/>
      <c r="E122" s="19"/>
      <c r="F122" s="19"/>
      <c r="G122" s="110"/>
      <c r="H122" s="110"/>
      <c r="I122" s="110"/>
      <c r="J122" s="110"/>
      <c r="K122" s="110"/>
      <c r="L122" s="110"/>
      <c r="M122" s="110"/>
      <c r="N122" s="110"/>
      <c r="O122" s="110"/>
      <c r="P122" s="110"/>
      <c r="R122" s="110"/>
      <c r="S122" s="19"/>
      <c r="T122" s="107">
        <v>120</v>
      </c>
      <c r="U122" s="27">
        <f t="shared" si="3"/>
        <v>10</v>
      </c>
      <c r="V122" s="18">
        <f t="shared" si="4"/>
        <v>315360000</v>
      </c>
      <c r="W122" s="123">
        <f>POWER($V122-$V110,W$1)/FACT(W$1)</f>
        <v>31536000</v>
      </c>
      <c r="X122" s="123">
        <f>POWER($V122-$V110,X$1)/FACT(X$1)</f>
        <v>497259648000000</v>
      </c>
      <c r="Y122" s="123">
        <f>POWER($V122-$V110,Y$1)/FACT(Y$1)</f>
        <v>5.227193419776E+21</v>
      </c>
      <c r="Z122" s="123">
        <f>POWER($V122-$V110,Z$1)/FACT(Z$1)</f>
        <v>4.121119292151398E+28</v>
      </c>
      <c r="AA122" s="123">
        <f>POWER($V122-$V110,AA$1)/FACT(AA$1)</f>
        <v>2.5992723599457299E+35</v>
      </c>
      <c r="AB122" s="123"/>
      <c r="AC122" s="125">
        <f t="array" ref="AC122:AJ122">AC110:AJ110+TRANSPOSE(O$12:O$19)*W122+TRANSPOSE(O$22:O$29)*X122+TRANSPOSE(O$32:O$39)*Y122+TRANSPOSE(O$42:O$49)*Z122+TRANSPOSE(O$52:O$59)*AA122</f>
        <v>3.1123328574473832</v>
      </c>
      <c r="AD122" s="42">
        <v>2682.7493770088622</v>
      </c>
      <c r="AE122" s="42">
        <v>1411.0342162495533</v>
      </c>
      <c r="AF122" s="42">
        <v>188.79897857392965</v>
      </c>
      <c r="AG122" s="42">
        <v>109.39552035446908</v>
      </c>
      <c r="AH122" s="42">
        <v>47.38248090837191</v>
      </c>
      <c r="AI122" s="42">
        <v>13.963779243845998</v>
      </c>
      <c r="AJ122" s="42">
        <v>19512.312340577966</v>
      </c>
    </row>
    <row r="123" spans="1:36" s="4" customFormat="1">
      <c r="A123" s="2"/>
      <c r="B123" s="2"/>
      <c r="C123" s="2"/>
      <c r="D123" s="2"/>
      <c r="E123" s="19"/>
      <c r="F123" s="19"/>
      <c r="G123" s="110"/>
      <c r="H123" s="110"/>
      <c r="I123" s="110"/>
      <c r="J123" s="110"/>
      <c r="K123" s="110"/>
      <c r="L123" s="110"/>
      <c r="M123" s="110"/>
      <c r="N123" s="110"/>
      <c r="O123" s="110"/>
      <c r="P123" s="110"/>
      <c r="Q123" s="110"/>
      <c r="R123" s="110"/>
      <c r="S123" s="19"/>
      <c r="T123" s="107">
        <v>121</v>
      </c>
      <c r="U123" s="27">
        <f t="shared" si="3"/>
        <v>10.083333333333334</v>
      </c>
      <c r="V123" s="18">
        <f t="shared" si="4"/>
        <v>317988000</v>
      </c>
      <c r="W123" s="123">
        <f>POWER($V123-$V122,W$1)/FACT(W$1)</f>
        <v>2628000</v>
      </c>
      <c r="X123" s="123">
        <f>POWER($V123-$V122,X$1)/FACT(X$1)</f>
        <v>3453192000000</v>
      </c>
      <c r="Y123" s="123">
        <f>POWER($V123-$V122,Y$1)/FACT(Y$1)</f>
        <v>3.024996192E+18</v>
      </c>
      <c r="Z123" s="123">
        <f>POWER($V123-$V122,Z$1)/FACT(Z$1)</f>
        <v>1.9874224981439998E+24</v>
      </c>
      <c r="AA123" s="123">
        <f>POWER($V123-$V122,AA$1)/FACT(AA$1)</f>
        <v>1.0445892650244864E+30</v>
      </c>
      <c r="AB123" s="123"/>
      <c r="AC123" s="125"/>
      <c r="AD123" s="42"/>
      <c r="AE123" s="42"/>
      <c r="AF123" s="42"/>
      <c r="AG123" s="42"/>
      <c r="AH123" s="42"/>
      <c r="AI123" s="42"/>
      <c r="AJ123" s="42"/>
    </row>
    <row r="124" spans="1:36" s="4" customFormat="1">
      <c r="A124" s="2"/>
      <c r="B124" s="2"/>
      <c r="C124" s="2"/>
      <c r="D124" s="2"/>
      <c r="E124" s="19"/>
      <c r="F124" s="19"/>
      <c r="G124" s="110"/>
      <c r="H124" s="110"/>
      <c r="I124" s="110"/>
      <c r="J124" s="110"/>
      <c r="K124" s="110"/>
      <c r="L124" s="110"/>
      <c r="M124" s="110"/>
      <c r="N124" s="110"/>
      <c r="O124" s="110"/>
      <c r="P124" s="110"/>
      <c r="Q124" s="110"/>
      <c r="R124" s="110"/>
      <c r="S124" s="19"/>
      <c r="T124" s="107">
        <v>122</v>
      </c>
      <c r="U124" s="27">
        <f t="shared" si="3"/>
        <v>10.166666666666666</v>
      </c>
      <c r="V124" s="18">
        <f t="shared" si="4"/>
        <v>320616000</v>
      </c>
      <c r="W124" s="123">
        <f>POWER($V124-$V122,W$1)/FACT(W$1)</f>
        <v>5256000</v>
      </c>
      <c r="X124" s="123">
        <f>POWER($V124-$V122,X$1)/FACT(X$1)</f>
        <v>13812768000000</v>
      </c>
      <c r="Y124" s="123">
        <f>POWER($V124-$V122,Y$1)/FACT(Y$1)</f>
        <v>2.4199969536E+19</v>
      </c>
      <c r="Z124" s="123">
        <f>POWER($V124-$V122,Z$1)/FACT(Z$1)</f>
        <v>3.1798759970303997E+25</v>
      </c>
      <c r="AA124" s="123">
        <f>POWER($V124-$V122,AA$1)/FACT(AA$1)</f>
        <v>3.3426856480783565E+31</v>
      </c>
      <c r="AB124" s="123"/>
      <c r="AC124" s="125"/>
      <c r="AD124" s="42"/>
      <c r="AE124" s="42"/>
      <c r="AF124" s="42"/>
      <c r="AG124" s="42"/>
      <c r="AH124" s="42"/>
      <c r="AI124" s="42"/>
      <c r="AJ124" s="42"/>
    </row>
    <row r="125" spans="1:36" s="4" customFormat="1">
      <c r="A125" s="2"/>
      <c r="B125" s="2"/>
      <c r="C125" s="2"/>
      <c r="D125" s="2"/>
      <c r="E125" s="19"/>
      <c r="F125" s="19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9"/>
      <c r="T125" s="107">
        <v>123</v>
      </c>
      <c r="U125" s="27">
        <f t="shared" si="3"/>
        <v>10.25</v>
      </c>
      <c r="V125" s="18">
        <f t="shared" si="4"/>
        <v>323244000</v>
      </c>
      <c r="W125" s="123">
        <f>POWER($V125-$V122,W$1)/FACT(W$1)</f>
        <v>7884000</v>
      </c>
      <c r="X125" s="123">
        <f>POWER($V125-$V122,X$1)/FACT(X$1)</f>
        <v>31078728000000</v>
      </c>
      <c r="Y125" s="123">
        <f>POWER($V125-$V122,Y$1)/FACT(Y$1)</f>
        <v>8.1674897184E+19</v>
      </c>
      <c r="Z125" s="123">
        <f>POWER($V125-$V122,Z$1)/FACT(Z$1)</f>
        <v>1.6098122234966398E+26</v>
      </c>
      <c r="AA125" s="123">
        <f>POWER($V125-$V122,AA$1)/FACT(AA$1)</f>
        <v>2.5383519140095018E+32</v>
      </c>
      <c r="AB125" s="123"/>
      <c r="AC125" s="125"/>
      <c r="AD125" s="42"/>
      <c r="AE125" s="42"/>
      <c r="AF125" s="42"/>
      <c r="AG125" s="42"/>
      <c r="AH125" s="42"/>
      <c r="AI125" s="42"/>
      <c r="AJ125" s="42"/>
    </row>
    <row r="126" spans="1:36" s="4" customFormat="1">
      <c r="A126" s="2"/>
      <c r="B126" s="2"/>
      <c r="C126" s="2"/>
      <c r="D126" s="2"/>
      <c r="E126" s="19"/>
      <c r="F126" s="19"/>
      <c r="G126" s="110"/>
      <c r="H126" s="110"/>
      <c r="I126" s="110"/>
      <c r="J126" s="110"/>
      <c r="K126" s="110"/>
      <c r="L126" s="110"/>
      <c r="M126" s="110"/>
      <c r="N126" s="110"/>
      <c r="O126" s="110"/>
      <c r="P126" s="110"/>
      <c r="Q126" s="110"/>
      <c r="R126" s="110"/>
      <c r="S126" s="19"/>
      <c r="T126" s="107">
        <v>124</v>
      </c>
      <c r="U126" s="27">
        <f t="shared" si="3"/>
        <v>10.333333333333334</v>
      </c>
      <c r="V126" s="18">
        <f t="shared" si="4"/>
        <v>325872000</v>
      </c>
      <c r="W126" s="123">
        <f>POWER($V126-$V122,W$1)/FACT(W$1)</f>
        <v>10512000</v>
      </c>
      <c r="X126" s="123">
        <f>POWER($V126-$V122,X$1)/FACT(X$1)</f>
        <v>55251072000000</v>
      </c>
      <c r="Y126" s="123">
        <f>POWER($V126-$V122,Y$1)/FACT(Y$1)</f>
        <v>1.93599756288E+20</v>
      </c>
      <c r="Z126" s="123">
        <f>POWER($V126-$V122,Z$1)/FACT(Z$1)</f>
        <v>5.0878015952486396E+26</v>
      </c>
      <c r="AA126" s="123">
        <f>POWER($V126-$V122,AA$1)/FACT(AA$1)</f>
        <v>1.0696594073850741E+33</v>
      </c>
      <c r="AB126" s="123"/>
      <c r="AC126" s="125"/>
      <c r="AD126" s="42"/>
      <c r="AE126" s="42"/>
      <c r="AF126" s="42"/>
      <c r="AG126" s="42"/>
      <c r="AH126" s="42"/>
      <c r="AI126" s="42"/>
      <c r="AJ126" s="42"/>
    </row>
    <row r="127" spans="1:36" s="4" customFormat="1">
      <c r="A127" s="2"/>
      <c r="B127" s="2"/>
      <c r="C127" s="2"/>
      <c r="D127" s="2"/>
      <c r="E127" s="19"/>
      <c r="F127" s="19"/>
      <c r="G127" s="110"/>
      <c r="H127" s="110"/>
      <c r="I127" s="110"/>
      <c r="J127" s="110"/>
      <c r="K127" s="110"/>
      <c r="L127" s="110"/>
      <c r="M127" s="110"/>
      <c r="N127" s="110"/>
      <c r="O127" s="110"/>
      <c r="P127" s="110"/>
      <c r="Q127" s="110"/>
      <c r="R127" s="110"/>
      <c r="S127" s="19"/>
      <c r="T127" s="107">
        <v>125</v>
      </c>
      <c r="U127" s="27">
        <f t="shared" si="3"/>
        <v>10.416666666666666</v>
      </c>
      <c r="V127" s="18">
        <f t="shared" si="4"/>
        <v>328500000</v>
      </c>
      <c r="W127" s="123">
        <f>POWER($V127-$V122,W$1)/FACT(W$1)</f>
        <v>13140000</v>
      </c>
      <c r="X127" s="123">
        <f>POWER($V127-$V122,X$1)/FACT(X$1)</f>
        <v>86329800000000</v>
      </c>
      <c r="Y127" s="123">
        <f>POWER($V127-$V122,Y$1)/FACT(Y$1)</f>
        <v>3.7812452400000002E+20</v>
      </c>
      <c r="Z127" s="123">
        <f>POWER($V127-$V122,Z$1)/FACT(Z$1)</f>
        <v>1.2421390613399999E+27</v>
      </c>
      <c r="AA127" s="123">
        <f>POWER($V127-$V122,AA$1)/FACT(AA$1)</f>
        <v>3.2643414532015203E+33</v>
      </c>
      <c r="AB127" s="123"/>
      <c r="AC127" s="125"/>
      <c r="AD127" s="42"/>
      <c r="AE127" s="42"/>
      <c r="AF127" s="42"/>
      <c r="AG127" s="42"/>
      <c r="AH127" s="42"/>
      <c r="AI127" s="42"/>
      <c r="AJ127" s="42"/>
    </row>
    <row r="128" spans="1:36" s="4" customFormat="1">
      <c r="A128" s="2"/>
      <c r="B128" s="2"/>
      <c r="C128" s="2"/>
      <c r="D128" s="2"/>
      <c r="E128" s="19"/>
      <c r="F128" s="19"/>
      <c r="G128" s="110"/>
      <c r="H128" s="110"/>
      <c r="I128" s="110"/>
      <c r="J128" s="110"/>
      <c r="K128" s="110"/>
      <c r="L128" s="110"/>
      <c r="M128" s="110"/>
      <c r="N128" s="110"/>
      <c r="O128" s="110"/>
      <c r="P128" s="110"/>
      <c r="Q128" s="110"/>
      <c r="R128" s="110"/>
      <c r="S128" s="19"/>
      <c r="T128" s="107">
        <v>126</v>
      </c>
      <c r="U128" s="27">
        <f t="shared" si="3"/>
        <v>10.5</v>
      </c>
      <c r="V128" s="18">
        <f t="shared" si="4"/>
        <v>331128000</v>
      </c>
      <c r="W128" s="123">
        <f>POWER($V128-$V122,W$1)/FACT(W$1)</f>
        <v>15768000</v>
      </c>
      <c r="X128" s="123">
        <f>POWER($V128-$V122,X$1)/FACT(X$1)</f>
        <v>124314912000000</v>
      </c>
      <c r="Y128" s="123">
        <f>POWER($V128-$V122,Y$1)/FACT(Y$1)</f>
        <v>6.53399177472E+20</v>
      </c>
      <c r="Z128" s="123">
        <f>POWER($V128-$V122,Z$1)/FACT(Z$1)</f>
        <v>2.5756995575946237E+27</v>
      </c>
      <c r="AA128" s="123">
        <f>POWER($V128-$V122,AA$1)/FACT(AA$1)</f>
        <v>8.1227261248304059E+33</v>
      </c>
      <c r="AB128" s="123"/>
      <c r="AC128" s="125"/>
      <c r="AD128" s="42"/>
      <c r="AE128" s="42"/>
      <c r="AF128" s="42"/>
      <c r="AG128" s="42"/>
      <c r="AH128" s="42"/>
      <c r="AI128" s="42"/>
      <c r="AJ128" s="42"/>
    </row>
    <row r="129" spans="1:36" s="4" customFormat="1">
      <c r="A129" s="2"/>
      <c r="B129" s="2"/>
      <c r="C129" s="2"/>
      <c r="D129" s="2"/>
      <c r="E129" s="19"/>
      <c r="F129" s="19"/>
      <c r="G129" s="110"/>
      <c r="H129" s="110"/>
      <c r="I129" s="110"/>
      <c r="J129" s="110"/>
      <c r="K129" s="110"/>
      <c r="L129" s="110"/>
      <c r="M129" s="110"/>
      <c r="N129" s="110"/>
      <c r="O129" s="110"/>
      <c r="P129" s="110"/>
      <c r="Q129" s="110"/>
      <c r="R129" s="110"/>
      <c r="S129" s="19"/>
      <c r="T129" s="107">
        <v>127</v>
      </c>
      <c r="U129" s="27">
        <f t="shared" si="3"/>
        <v>10.583333333333334</v>
      </c>
      <c r="V129" s="18">
        <f t="shared" si="4"/>
        <v>333756000</v>
      </c>
      <c r="W129" s="123">
        <f>POWER($V129-$V122,W$1)/FACT(W$1)</f>
        <v>18396000</v>
      </c>
      <c r="X129" s="123">
        <f>POWER($V129-$V122,X$1)/FACT(X$1)</f>
        <v>169206408000000</v>
      </c>
      <c r="Y129" s="123">
        <f>POWER($V129-$V122,Y$1)/FACT(Y$1)</f>
        <v>1.037573693856E+21</v>
      </c>
      <c r="Z129" s="123">
        <f>POWER($V129-$V122,Z$1)/FACT(Z$1)</f>
        <v>4.7718014180437445E+27</v>
      </c>
      <c r="AA129" s="123">
        <f>POWER($V129-$V122,AA$1)/FACT(AA$1)</f>
        <v>1.7556411777266544E+34</v>
      </c>
      <c r="AB129" s="123"/>
      <c r="AC129" s="125"/>
      <c r="AD129" s="42"/>
      <c r="AE129" s="42"/>
      <c r="AF129" s="42"/>
      <c r="AG129" s="42"/>
      <c r="AH129" s="42"/>
      <c r="AI129" s="42"/>
      <c r="AJ129" s="42"/>
    </row>
    <row r="130" spans="1:36" s="4" customFormat="1">
      <c r="A130" s="2"/>
      <c r="B130" s="2"/>
      <c r="C130" s="2"/>
      <c r="D130" s="2"/>
      <c r="E130" s="19"/>
      <c r="F130" s="19"/>
      <c r="G130" s="110"/>
      <c r="H130" s="110"/>
      <c r="I130" s="110"/>
      <c r="J130" s="110"/>
      <c r="K130" s="110"/>
      <c r="L130" s="110"/>
      <c r="M130" s="110"/>
      <c r="N130" s="110"/>
      <c r="O130" s="110"/>
      <c r="P130" s="110"/>
      <c r="Q130" s="110"/>
      <c r="R130" s="110"/>
      <c r="S130" s="19"/>
      <c r="T130" s="107">
        <v>128</v>
      </c>
      <c r="U130" s="27">
        <f t="shared" ref="U130:U136" si="5">V130/(3600*365*24)</f>
        <v>10.666666666666666</v>
      </c>
      <c r="V130" s="18">
        <f t="shared" ref="V130:V136" si="6">T130*D$5</f>
        <v>336384000</v>
      </c>
      <c r="W130" s="123">
        <f>POWER($V130-$V122,W$1)/FACT(W$1)</f>
        <v>21024000</v>
      </c>
      <c r="X130" s="123">
        <f>POWER($V130-$V122,X$1)/FACT(X$1)</f>
        <v>221004288000000</v>
      </c>
      <c r="Y130" s="123">
        <f>POWER($V130-$V122,Y$1)/FACT(Y$1)</f>
        <v>1.548798050304E+21</v>
      </c>
      <c r="Z130" s="123">
        <f>POWER($V130-$V122,Z$1)/FACT(Z$1)</f>
        <v>8.1404825523978233E+27</v>
      </c>
      <c r="AA130" s="123">
        <f>POWER($V130-$V122,AA$1)/FACT(AA$1)</f>
        <v>3.422910103632237E+34</v>
      </c>
      <c r="AB130" s="123"/>
      <c r="AC130" s="125"/>
      <c r="AD130" s="42"/>
      <c r="AE130" s="42"/>
      <c r="AF130" s="42"/>
      <c r="AG130" s="42"/>
      <c r="AH130" s="42"/>
      <c r="AI130" s="42"/>
      <c r="AJ130" s="42"/>
    </row>
    <row r="131" spans="1:36" s="4" customFormat="1">
      <c r="A131" s="2"/>
      <c r="B131" s="2"/>
      <c r="C131" s="2"/>
      <c r="D131" s="2"/>
      <c r="E131" s="19"/>
      <c r="F131" s="19"/>
      <c r="G131" s="110"/>
      <c r="H131" s="110"/>
      <c r="I131" s="110"/>
      <c r="J131" s="110"/>
      <c r="K131" s="110"/>
      <c r="L131" s="110"/>
      <c r="M131" s="110"/>
      <c r="N131" s="110"/>
      <c r="O131" s="110"/>
      <c r="P131" s="110"/>
      <c r="Q131" s="110"/>
      <c r="R131" s="110"/>
      <c r="S131" s="19"/>
      <c r="T131" s="107">
        <v>129</v>
      </c>
      <c r="U131" s="27">
        <f t="shared" si="5"/>
        <v>10.75</v>
      </c>
      <c r="V131" s="18">
        <f t="shared" si="6"/>
        <v>339012000</v>
      </c>
      <c r="W131" s="123">
        <f>POWER($V131-$V122,W$1)/FACT(W$1)</f>
        <v>23652000</v>
      </c>
      <c r="X131" s="123">
        <f>POWER($V131-$V122,X$1)/FACT(X$1)</f>
        <v>279708552000000</v>
      </c>
      <c r="Y131" s="123">
        <f>POWER($V131-$V122,Y$1)/FACT(Y$1)</f>
        <v>2.205222223968E+21</v>
      </c>
      <c r="Z131" s="123">
        <f>POWER($V131-$V122,Z$1)/FACT(Z$1)</f>
        <v>1.3039479010322784E+28</v>
      </c>
      <c r="AA131" s="123">
        <f>POWER($V131-$V122,AA$1)/FACT(AA$1)</f>
        <v>6.1681951510430897E+34</v>
      </c>
      <c r="AB131" s="123"/>
      <c r="AC131" s="125"/>
      <c r="AD131" s="42"/>
      <c r="AE131" s="42"/>
      <c r="AF131" s="42"/>
      <c r="AG131" s="42"/>
      <c r="AH131" s="42"/>
      <c r="AI131" s="42"/>
      <c r="AJ131" s="42"/>
    </row>
    <row r="132" spans="1:36" s="4" customFormat="1">
      <c r="A132" s="2"/>
      <c r="B132" s="2"/>
      <c r="C132" s="2"/>
      <c r="D132" s="2"/>
      <c r="E132" s="19"/>
      <c r="F132" s="19"/>
      <c r="G132" s="110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9"/>
      <c r="T132" s="107">
        <v>130</v>
      </c>
      <c r="U132" s="27">
        <f t="shared" si="5"/>
        <v>10.833333333333334</v>
      </c>
      <c r="V132" s="18">
        <f t="shared" si="6"/>
        <v>341640000</v>
      </c>
      <c r="W132" s="123">
        <f>POWER($V132-$V122,W$1)/FACT(W$1)</f>
        <v>26280000</v>
      </c>
      <c r="X132" s="123">
        <f>POWER($V132-$V122,X$1)/FACT(X$1)</f>
        <v>345319200000000</v>
      </c>
      <c r="Y132" s="123">
        <f>POWER($V132-$V122,Y$1)/FACT(Y$1)</f>
        <v>3.0249961920000001E+21</v>
      </c>
      <c r="Z132" s="123">
        <f>POWER($V132-$V122,Z$1)/FACT(Z$1)</f>
        <v>1.9874224981439999E+28</v>
      </c>
      <c r="AA132" s="123">
        <f>POWER($V132-$V122,AA$1)/FACT(AA$1)</f>
        <v>1.0445892650244865E+35</v>
      </c>
      <c r="AB132" s="123"/>
      <c r="AC132" s="125"/>
      <c r="AD132" s="42"/>
      <c r="AE132" s="42"/>
      <c r="AF132" s="42"/>
      <c r="AG132" s="42"/>
      <c r="AH132" s="42"/>
      <c r="AI132" s="42"/>
      <c r="AJ132" s="42"/>
    </row>
    <row r="133" spans="1:36">
      <c r="T133" s="107">
        <v>131</v>
      </c>
      <c r="U133" s="27">
        <f t="shared" si="5"/>
        <v>10.916666666666666</v>
      </c>
      <c r="V133" s="18">
        <f t="shared" si="6"/>
        <v>344268000</v>
      </c>
      <c r="W133" s="123">
        <f>POWER($V133-$V122,W$1)/FACT(W$1)</f>
        <v>28908000</v>
      </c>
      <c r="X133" s="123">
        <f>POWER($V133-$V122,X$1)/FACT(X$1)</f>
        <v>417836232000000</v>
      </c>
      <c r="Y133" s="123">
        <f>POWER($V133-$V122,Y$1)/FACT(Y$1)</f>
        <v>4.0262699315519999E+21</v>
      </c>
      <c r="Z133" s="123">
        <f>POWER($V133-$V122,Z$1)/FACT(Z$1)</f>
        <v>2.9097852795326301E+28</v>
      </c>
      <c r="AA133" s="123">
        <f>POWER($V133-$V122,AA$1)/FACT(AA$1)</f>
        <v>1.6823214572145855E+35</v>
      </c>
      <c r="AB133" s="123"/>
      <c r="AC133" s="125"/>
      <c r="AD133" s="42"/>
      <c r="AE133" s="42"/>
      <c r="AF133" s="42"/>
      <c r="AG133" s="42"/>
      <c r="AH133" s="42"/>
      <c r="AI133" s="42"/>
      <c r="AJ133" s="42"/>
    </row>
    <row r="134" spans="1:36">
      <c r="T134" s="107">
        <v>132</v>
      </c>
      <c r="U134" s="27">
        <f t="shared" si="5"/>
        <v>11</v>
      </c>
      <c r="V134" s="18">
        <f t="shared" si="6"/>
        <v>346896000</v>
      </c>
      <c r="W134" s="123">
        <f>POWER($V134-$V122,W$1)/FACT(W$1)</f>
        <v>31536000</v>
      </c>
      <c r="X134" s="123">
        <f>POWER($V134-$V122,X$1)/FACT(X$1)</f>
        <v>497259648000000</v>
      </c>
      <c r="Y134" s="123">
        <f>POWER($V134-$V122,Y$1)/FACT(Y$1)</f>
        <v>5.227193419776E+21</v>
      </c>
      <c r="Z134" s="123">
        <f>POWER($V134-$V122,Z$1)/FACT(Z$1)</f>
        <v>4.121119292151398E+28</v>
      </c>
      <c r="AA134" s="123">
        <f>POWER($V134-$V122,AA$1)/FACT(AA$1)</f>
        <v>2.5992723599457299E+35</v>
      </c>
      <c r="AB134" s="123"/>
      <c r="AC134" s="125"/>
      <c r="AD134" s="42"/>
      <c r="AE134" s="42"/>
      <c r="AF134" s="42"/>
      <c r="AG134" s="42"/>
      <c r="AH134" s="42"/>
      <c r="AI134" s="42"/>
      <c r="AJ134" s="42"/>
    </row>
    <row r="135" spans="1:36">
      <c r="T135" s="107">
        <v>133</v>
      </c>
      <c r="U135" s="27">
        <f t="shared" si="5"/>
        <v>11.083333333333334</v>
      </c>
      <c r="V135" s="18">
        <f t="shared" si="6"/>
        <v>349524000</v>
      </c>
      <c r="W135" s="123">
        <f>POWER($V135-$V134,W$1)/FACT(W$1)</f>
        <v>2628000</v>
      </c>
      <c r="X135" s="123">
        <f>POWER($V135-$V134,X$1)/FACT(X$1)</f>
        <v>3453192000000</v>
      </c>
      <c r="Y135" s="123">
        <f>POWER($V135-$V134,Y$1)/FACT(Y$1)</f>
        <v>3.024996192E+18</v>
      </c>
      <c r="Z135" s="123">
        <f>POWER($V135-$V134,Z$1)/FACT(Z$1)</f>
        <v>1.9874224981439998E+24</v>
      </c>
      <c r="AA135" s="123">
        <f>POWER($V135-$V134,AA$1)/FACT(AA$1)</f>
        <v>1.0445892650244864E+30</v>
      </c>
      <c r="AB135" s="123"/>
      <c r="AC135" s="125"/>
      <c r="AD135" s="42"/>
      <c r="AE135" s="42"/>
      <c r="AF135" s="42"/>
      <c r="AG135" s="42"/>
      <c r="AH135" s="42"/>
      <c r="AI135" s="42"/>
      <c r="AJ135" s="42"/>
    </row>
    <row r="136" spans="1:36">
      <c r="T136" s="107">
        <v>134</v>
      </c>
      <c r="U136" s="27">
        <f t="shared" si="5"/>
        <v>11.166666666666666</v>
      </c>
      <c r="V136" s="18">
        <f t="shared" si="6"/>
        <v>352152000</v>
      </c>
      <c r="W136" s="123">
        <f>POWER($V136-$V134,W$1)/FACT(W$1)</f>
        <v>5256000</v>
      </c>
      <c r="X136" s="123">
        <f>POWER($V136-$V134,X$1)/FACT(X$1)</f>
        <v>13812768000000</v>
      </c>
      <c r="Y136" s="123">
        <f>POWER($V136-$V134,Y$1)/FACT(Y$1)</f>
        <v>2.4199969536E+19</v>
      </c>
      <c r="Z136" s="123">
        <f>POWER($V136-$V134,Z$1)/FACT(Z$1)</f>
        <v>3.1798759970303997E+25</v>
      </c>
      <c r="AA136" s="123">
        <f>POWER($V136-$V134,AA$1)/FACT(AA$1)</f>
        <v>3.3426856480783565E+31</v>
      </c>
      <c r="AB136" s="123"/>
      <c r="AC136" s="125"/>
      <c r="AD136" s="42"/>
      <c r="AE136" s="42"/>
      <c r="AF136" s="42"/>
      <c r="AG136" s="42"/>
      <c r="AH136" s="42"/>
      <c r="AI136" s="42"/>
      <c r="AJ136" s="42"/>
    </row>
    <row r="137" spans="1:36">
      <c r="W137" s="123"/>
      <c r="X137" s="123"/>
      <c r="Y137" s="123"/>
      <c r="Z137" s="123"/>
      <c r="AA137" s="123"/>
    </row>
    <row r="138" spans="1:36">
      <c r="W138" s="123"/>
      <c r="X138" s="123"/>
      <c r="Y138" s="123"/>
      <c r="Z138" s="123"/>
      <c r="AA138" s="123"/>
    </row>
    <row r="139" spans="1:36">
      <c r="W139" s="123"/>
      <c r="X139" s="123"/>
      <c r="Y139" s="123"/>
      <c r="Z139" s="123"/>
      <c r="AA139" s="123"/>
    </row>
    <row r="140" spans="1:36">
      <c r="W140" s="123"/>
      <c r="X140" s="123"/>
      <c r="Y140" s="123"/>
      <c r="Z140" s="123"/>
      <c r="AA140" s="123"/>
    </row>
    <row r="141" spans="1:36">
      <c r="W141" s="123"/>
      <c r="X141" s="123"/>
      <c r="Y141" s="123"/>
      <c r="Z141" s="123"/>
      <c r="AA141" s="123"/>
    </row>
    <row r="142" spans="1:36">
      <c r="W142" s="123"/>
      <c r="X142" s="123"/>
      <c r="Y142" s="123"/>
      <c r="Z142" s="123"/>
      <c r="AA142" s="123"/>
    </row>
    <row r="143" spans="1:36">
      <c r="W143" s="123"/>
      <c r="X143" s="123"/>
      <c r="Y143" s="123"/>
      <c r="Z143" s="123"/>
      <c r="AA143" s="123"/>
    </row>
    <row r="144" spans="1:36">
      <c r="W144" s="123"/>
      <c r="X144" s="123"/>
      <c r="Y144" s="123"/>
      <c r="Z144" s="123"/>
      <c r="AA144" s="123"/>
    </row>
    <row r="145" spans="23:27">
      <c r="W145" s="123"/>
      <c r="X145" s="123"/>
      <c r="Y145" s="123"/>
      <c r="Z145" s="123"/>
      <c r="AA145" s="123"/>
    </row>
    <row r="146" spans="23:27">
      <c r="W146" s="123"/>
      <c r="X146" s="123"/>
      <c r="Y146" s="123"/>
      <c r="Z146" s="123"/>
      <c r="AA146" s="123"/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>
      <selection activeCell="N28" sqref="N28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M23" sqref="M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workbookViewId="0">
      <selection activeCell="D35" sqref="D3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>
      <selection activeCell="H33" sqref="H3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workbookViewId="0">
      <selection activeCell="M6" sqref="M6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M24" sqref="M24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workbookViewId="0">
      <selection activeCell="M15" sqref="M1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mod.simp.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simp.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2014-08-26T15:35:36Z</dcterms:modified>
</cp:coreProperties>
</file>