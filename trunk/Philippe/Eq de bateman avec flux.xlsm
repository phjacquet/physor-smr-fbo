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15090" windowHeight="6630" tabRatio="872"/>
  </bookViews>
  <sheets>
    <sheet name="Données" sheetId="1" r:id="rId1"/>
    <sheet name="Eq_de_Bateman_avec_RK1" sheetId="2" r:id="rId2"/>
    <sheet name="Pu238" sheetId="3" r:id="rId3"/>
    <sheet name="Pu239" sheetId="4" r:id="rId4"/>
    <sheet name="Pu240" sheetId="5" r:id="rId5"/>
    <sheet name="Pu241" sheetId="6" r:id="rId6"/>
    <sheet name="Pu242" sheetId="7" r:id="rId7"/>
    <sheet name="Am241" sheetId="8" r:id="rId8"/>
    <sheet name="U235" sheetId="9" r:id="rId9"/>
    <sheet name="U238" sheetId="10" r:id="rId10"/>
    <sheet name="M.Pu" sheetId="12" r:id="rId11"/>
    <sheet name="V.Pu" sheetId="13" r:id="rId12"/>
  </sheets>
  <externalReferences>
    <externalReference r:id="rId13"/>
  </externalReferences>
  <calcPr calcId="145621"/>
</workbook>
</file>

<file path=xl/calcChain.xml><?xml version="1.0" encoding="utf-8"?>
<calcChain xmlns="http://schemas.openxmlformats.org/spreadsheetml/2006/main">
  <c r="C30" i="1" l="1"/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B9" i="2" s="1"/>
  <c r="Y2" i="2" s="1"/>
  <c r="C4" i="1"/>
  <c r="C6" i="1" s="1"/>
  <c r="D10" i="1" s="1"/>
  <c r="D13" i="1" l="1"/>
  <c r="B5" i="2" s="1"/>
  <c r="O2" i="2" s="1"/>
  <c r="D11" i="1"/>
  <c r="B3" i="2" s="1"/>
  <c r="K2" i="2" s="1"/>
  <c r="D15" i="1"/>
  <c r="B7" i="2" s="1"/>
  <c r="S2" i="2" s="1"/>
  <c r="D14" i="1"/>
  <c r="B6" i="2" s="1"/>
  <c r="Q2" i="2" s="1"/>
  <c r="D12" i="1"/>
  <c r="B4" i="2" s="1"/>
  <c r="M2" i="2" s="1"/>
  <c r="D16" i="1"/>
  <c r="B8" i="2" s="1"/>
  <c r="W2" i="2" s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2" i="2" l="1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U2" i="2"/>
  <c r="C20" i="1" l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R2" i="2" s="1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J2" i="2" l="1"/>
  <c r="I3" i="2" s="1"/>
  <c r="J3" i="2" s="1"/>
  <c r="Z2" i="2"/>
  <c r="Y3" i="2" s="1"/>
  <c r="Q3" i="2"/>
  <c r="X2" i="2"/>
  <c r="W3" i="2" s="1"/>
  <c r="L2" i="2"/>
  <c r="K3" i="2" s="1"/>
  <c r="T2" i="2"/>
  <c r="S3" i="2" s="1"/>
  <c r="N2" i="2"/>
  <c r="M3" i="2" s="1"/>
  <c r="P2" i="2"/>
  <c r="O3" i="2" s="1"/>
  <c r="R3" i="2" l="1"/>
  <c r="Q4" i="2" s="1"/>
  <c r="Z3" i="2"/>
  <c r="Y4" i="2" s="1"/>
  <c r="P3" i="2"/>
  <c r="O4" i="2" s="1"/>
  <c r="L3" i="2"/>
  <c r="K4" i="2" s="1"/>
  <c r="N3" i="2"/>
  <c r="M4" i="2" s="1"/>
  <c r="U3" i="2"/>
  <c r="I4" i="2"/>
  <c r="J4" i="2" s="1"/>
  <c r="T3" i="2"/>
  <c r="S4" i="2" s="1"/>
  <c r="X3" i="2"/>
  <c r="W4" i="2" s="1"/>
  <c r="AA3" i="2"/>
  <c r="R4" i="2" l="1"/>
  <c r="Q5" i="2" s="1"/>
  <c r="Z4" i="2"/>
  <c r="Y5" i="2" s="1"/>
  <c r="P4" i="2"/>
  <c r="O5" i="2" s="1"/>
  <c r="T4" i="2"/>
  <c r="S5" i="2" s="1"/>
  <c r="X4" i="2"/>
  <c r="W5" i="2" s="1"/>
  <c r="N4" i="2"/>
  <c r="M5" i="2" s="1"/>
  <c r="I5" i="2"/>
  <c r="J5" i="2" s="1"/>
  <c r="AA4" i="2"/>
  <c r="L4" i="2"/>
  <c r="K5" i="2" s="1"/>
  <c r="U4" i="2"/>
  <c r="R5" i="2" l="1"/>
  <c r="Q6" i="2" s="1"/>
  <c r="Z5" i="2"/>
  <c r="Y6" i="2" s="1"/>
  <c r="P5" i="2"/>
  <c r="O6" i="2" s="1"/>
  <c r="N5" i="2"/>
  <c r="M6" i="2" s="1"/>
  <c r="T5" i="2"/>
  <c r="S6" i="2" s="1"/>
  <c r="X5" i="2"/>
  <c r="W6" i="2" s="1"/>
  <c r="I6" i="2"/>
  <c r="J6" i="2" s="1"/>
  <c r="L5" i="2"/>
  <c r="K6" i="2" s="1"/>
  <c r="AA5" i="2"/>
  <c r="U5" i="2"/>
  <c r="R6" i="2" l="1"/>
  <c r="Q7" i="2" s="1"/>
  <c r="Z6" i="2"/>
  <c r="Y7" i="2" s="1"/>
  <c r="I7" i="2"/>
  <c r="J7" i="2" s="1"/>
  <c r="P6" i="2"/>
  <c r="O7" i="2" s="1"/>
  <c r="T6" i="2"/>
  <c r="S7" i="2" s="1"/>
  <c r="X6" i="2"/>
  <c r="W7" i="2" s="1"/>
  <c r="AA6" i="2"/>
  <c r="L6" i="2"/>
  <c r="K7" i="2" s="1"/>
  <c r="N6" i="2"/>
  <c r="M7" i="2" s="1"/>
  <c r="U6" i="2"/>
  <c r="R7" i="2" l="1"/>
  <c r="Q8" i="2" s="1"/>
  <c r="I8" i="2"/>
  <c r="J8" i="2" s="1"/>
  <c r="Z7" i="2"/>
  <c r="Y8" i="2" s="1"/>
  <c r="P7" i="2"/>
  <c r="O8" i="2" s="1"/>
  <c r="T7" i="2"/>
  <c r="S8" i="2" s="1"/>
  <c r="X7" i="2"/>
  <c r="W8" i="2" s="1"/>
  <c r="AA7" i="2"/>
  <c r="N7" i="2"/>
  <c r="M8" i="2" s="1"/>
  <c r="L7" i="2"/>
  <c r="K8" i="2" s="1"/>
  <c r="U7" i="2"/>
  <c r="R8" i="2" l="1"/>
  <c r="Q9" i="2" s="1"/>
  <c r="I9" i="2"/>
  <c r="J9" i="2" s="1"/>
  <c r="Z8" i="2"/>
  <c r="Y9" i="2" s="1"/>
  <c r="T8" i="2"/>
  <c r="S9" i="2" s="1"/>
  <c r="P8" i="2"/>
  <c r="O9" i="2" s="1"/>
  <c r="X8" i="2"/>
  <c r="W9" i="2" s="1"/>
  <c r="AA8" i="2"/>
  <c r="L8" i="2"/>
  <c r="K9" i="2" s="1"/>
  <c r="N8" i="2"/>
  <c r="M9" i="2" s="1"/>
  <c r="U8" i="2"/>
  <c r="R9" i="2" l="1"/>
  <c r="Q10" i="2" s="1"/>
  <c r="I10" i="2"/>
  <c r="J10" i="2" s="1"/>
  <c r="Z9" i="2"/>
  <c r="Y10" i="2" s="1"/>
  <c r="T9" i="2"/>
  <c r="S10" i="2" s="1"/>
  <c r="AA9" i="2"/>
  <c r="L9" i="2"/>
  <c r="K10" i="2" s="1"/>
  <c r="X9" i="2"/>
  <c r="W10" i="2" s="1"/>
  <c r="N9" i="2"/>
  <c r="M10" i="2" s="1"/>
  <c r="P9" i="2"/>
  <c r="O10" i="2" s="1"/>
  <c r="U9" i="2"/>
  <c r="R10" i="2" l="1"/>
  <c r="Q11" i="2" s="1"/>
  <c r="I11" i="2"/>
  <c r="J11" i="2" s="1"/>
  <c r="Z10" i="2"/>
  <c r="Y11" i="2" s="1"/>
  <c r="T10" i="2"/>
  <c r="S11" i="2" s="1"/>
  <c r="L10" i="2"/>
  <c r="K11" i="2" s="1"/>
  <c r="X10" i="2"/>
  <c r="W11" i="2" s="1"/>
  <c r="N10" i="2"/>
  <c r="M11" i="2" s="1"/>
  <c r="AA10" i="2"/>
  <c r="P10" i="2"/>
  <c r="O11" i="2" s="1"/>
  <c r="U10" i="2"/>
  <c r="R11" i="2" l="1"/>
  <c r="Q12" i="2" s="1"/>
  <c r="I12" i="2"/>
  <c r="J12" i="2" s="1"/>
  <c r="Z11" i="2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U11" i="2"/>
  <c r="R12" i="2" l="1"/>
  <c r="Q13" i="2" s="1"/>
  <c r="I13" i="2"/>
  <c r="J13" i="2" s="1"/>
  <c r="Z12" i="2"/>
  <c r="Y13" i="2" s="1"/>
  <c r="L12" i="2"/>
  <c r="K13" i="2" s="1"/>
  <c r="N12" i="2"/>
  <c r="M13" i="2" s="1"/>
  <c r="X12" i="2"/>
  <c r="W13" i="2" s="1"/>
  <c r="P12" i="2"/>
  <c r="O13" i="2" s="1"/>
  <c r="AA12" i="2"/>
  <c r="T12" i="2"/>
  <c r="S13" i="2" s="1"/>
  <c r="U12" i="2"/>
  <c r="R13" i="2" l="1"/>
  <c r="Q14" i="2" s="1"/>
  <c r="I14" i="2"/>
  <c r="J14" i="2" s="1"/>
  <c r="Z13" i="2"/>
  <c r="Y14" i="2" s="1"/>
  <c r="X13" i="2"/>
  <c r="W14" i="2" s="1"/>
  <c r="N13" i="2"/>
  <c r="M14" i="2" s="1"/>
  <c r="L13" i="2"/>
  <c r="K14" i="2" s="1"/>
  <c r="AA13" i="2"/>
  <c r="P13" i="2"/>
  <c r="O14" i="2" s="1"/>
  <c r="T13" i="2"/>
  <c r="S14" i="2" s="1"/>
  <c r="U13" i="2"/>
  <c r="R14" i="2" l="1"/>
  <c r="Q15" i="2" s="1"/>
  <c r="I15" i="2"/>
  <c r="J15" i="2" s="1"/>
  <c r="Z14" i="2"/>
  <c r="Y15" i="2" s="1"/>
  <c r="N14" i="2"/>
  <c r="M15" i="2" s="1"/>
  <c r="X14" i="2"/>
  <c r="W15" i="2" s="1"/>
  <c r="P14" i="2"/>
  <c r="O15" i="2" s="1"/>
  <c r="T14" i="2"/>
  <c r="S15" i="2" s="1"/>
  <c r="AA14" i="2"/>
  <c r="L14" i="2"/>
  <c r="K15" i="2" s="1"/>
  <c r="R15" i="2" l="1"/>
  <c r="Q16" i="2" s="1"/>
  <c r="I16" i="2"/>
  <c r="J16" i="2" s="1"/>
  <c r="Z15" i="2"/>
  <c r="Y16" i="2" s="1"/>
  <c r="P15" i="2"/>
  <c r="O16" i="2" s="1"/>
  <c r="N15" i="2"/>
  <c r="M16" i="2" s="1"/>
  <c r="T15" i="2"/>
  <c r="S16" i="2" s="1"/>
  <c r="AA15" i="2"/>
  <c r="L15" i="2"/>
  <c r="K16" i="2" s="1"/>
  <c r="X15" i="2"/>
  <c r="W16" i="2" s="1"/>
  <c r="U14" i="2"/>
  <c r="R16" i="2" l="1"/>
  <c r="Q17" i="2" s="1"/>
  <c r="I17" i="2"/>
  <c r="J17" i="2" s="1"/>
  <c r="Z16" i="2"/>
  <c r="Y17" i="2" s="1"/>
  <c r="T16" i="2"/>
  <c r="S17" i="2" s="1"/>
  <c r="P16" i="2"/>
  <c r="O17" i="2" s="1"/>
  <c r="AA16" i="2"/>
  <c r="X16" i="2"/>
  <c r="W17" i="2" s="1"/>
  <c r="L16" i="2"/>
  <c r="K17" i="2" s="1"/>
  <c r="N16" i="2"/>
  <c r="M17" i="2" s="1"/>
  <c r="U15" i="2"/>
  <c r="R17" i="2" l="1"/>
  <c r="Q18" i="2" s="1"/>
  <c r="I18" i="2"/>
  <c r="J18" i="2" s="1"/>
  <c r="Z17" i="2"/>
  <c r="Y18" i="2" s="1"/>
  <c r="P17" i="2"/>
  <c r="O18" i="2" s="1"/>
  <c r="T17" i="2"/>
  <c r="S18" i="2" s="1"/>
  <c r="AA17" i="2"/>
  <c r="L17" i="2"/>
  <c r="K18" i="2" s="1"/>
  <c r="X17" i="2"/>
  <c r="W18" i="2" s="1"/>
  <c r="N17" i="2"/>
  <c r="M18" i="2" s="1"/>
  <c r="U16" i="2"/>
  <c r="R18" i="2" l="1"/>
  <c r="Q19" i="2" s="1"/>
  <c r="I19" i="2"/>
  <c r="J19" i="2" s="1"/>
  <c r="Z18" i="2"/>
  <c r="Y19" i="2" s="1"/>
  <c r="T18" i="2"/>
  <c r="S19" i="2" s="1"/>
  <c r="L18" i="2"/>
  <c r="K19" i="2" s="1"/>
  <c r="N18" i="2"/>
  <c r="M19" i="2" s="1"/>
  <c r="X18" i="2"/>
  <c r="W19" i="2" s="1"/>
  <c r="P18" i="2"/>
  <c r="O19" i="2" s="1"/>
  <c r="AA18" i="2"/>
  <c r="R19" i="2" l="1"/>
  <c r="Q20" i="2" s="1"/>
  <c r="I20" i="2"/>
  <c r="J20" i="2" s="1"/>
  <c r="Z19" i="2"/>
  <c r="Y20" i="2" s="1"/>
  <c r="T19" i="2"/>
  <c r="S20" i="2" s="1"/>
  <c r="N19" i="2"/>
  <c r="M20" i="2" s="1"/>
  <c r="X19" i="2"/>
  <c r="W20" i="2" s="1"/>
  <c r="L19" i="2"/>
  <c r="K20" i="2" s="1"/>
  <c r="U19" i="2"/>
  <c r="P19" i="2"/>
  <c r="O20" i="2" s="1"/>
  <c r="AA19" i="2"/>
  <c r="U17" i="2"/>
  <c r="R20" i="2" l="1"/>
  <c r="Q21" i="2" s="1"/>
  <c r="I21" i="2"/>
  <c r="J21" i="2" s="1"/>
  <c r="Z20" i="2"/>
  <c r="Y21" i="2" s="1"/>
  <c r="T20" i="2"/>
  <c r="S21" i="2" s="1"/>
  <c r="L20" i="2"/>
  <c r="K21" i="2" s="1"/>
  <c r="X20" i="2"/>
  <c r="W21" i="2" s="1"/>
  <c r="N20" i="2"/>
  <c r="M21" i="2" s="1"/>
  <c r="P20" i="2"/>
  <c r="O21" i="2" s="1"/>
  <c r="U20" i="2"/>
  <c r="AA20" i="2"/>
  <c r="U18" i="2"/>
  <c r="R21" i="2" l="1"/>
  <c r="I22" i="2"/>
  <c r="J22" i="2" s="1"/>
  <c r="Z21" i="2"/>
  <c r="Y22" i="2" s="1"/>
  <c r="T21" i="2"/>
  <c r="S22" i="2" s="1"/>
  <c r="L21" i="2"/>
  <c r="K22" i="2" s="1"/>
  <c r="N21" i="2"/>
  <c r="M22" i="2" s="1"/>
  <c r="X21" i="2"/>
  <c r="W22" i="2" s="1"/>
  <c r="P21" i="2"/>
  <c r="O22" i="2" s="1"/>
  <c r="Q22" i="2"/>
  <c r="U21" i="2"/>
  <c r="AA21" i="2"/>
  <c r="R22" i="2" l="1"/>
  <c r="Q23" i="2" s="1"/>
  <c r="I23" i="2"/>
  <c r="J23" i="2" s="1"/>
  <c r="Z22" i="2"/>
  <c r="Y23" i="2" s="1"/>
  <c r="N22" i="2"/>
  <c r="M23" i="2" s="1"/>
  <c r="P22" i="2"/>
  <c r="O23" i="2" s="1"/>
  <c r="X22" i="2"/>
  <c r="W23" i="2" s="1"/>
  <c r="L22" i="2"/>
  <c r="K23" i="2" s="1"/>
  <c r="T22" i="2"/>
  <c r="S23" i="2" s="1"/>
  <c r="U22" i="2"/>
  <c r="AA22" i="2"/>
  <c r="R23" i="2" l="1"/>
  <c r="Q24" i="2" s="1"/>
  <c r="I24" i="2"/>
  <c r="J24" i="2" s="1"/>
  <c r="Z23" i="2"/>
  <c r="Y24" i="2" s="1"/>
  <c r="N23" i="2"/>
  <c r="M24" i="2" s="1"/>
  <c r="P23" i="2"/>
  <c r="O24" i="2" s="1"/>
  <c r="T23" i="2"/>
  <c r="S24" i="2" s="1"/>
  <c r="X23" i="2"/>
  <c r="W24" i="2" s="1"/>
  <c r="L23" i="2"/>
  <c r="K24" i="2" s="1"/>
  <c r="U23" i="2"/>
  <c r="AA23" i="2"/>
  <c r="R24" i="2" l="1"/>
  <c r="I25" i="2"/>
  <c r="J25" i="2" s="1"/>
  <c r="Z24" i="2"/>
  <c r="Y25" i="2" s="1"/>
  <c r="N24" i="2"/>
  <c r="M25" i="2" s="1"/>
  <c r="P24" i="2"/>
  <c r="O25" i="2" s="1"/>
  <c r="T24" i="2"/>
  <c r="S25" i="2" s="1"/>
  <c r="X24" i="2"/>
  <c r="W25" i="2" s="1"/>
  <c r="L24" i="2"/>
  <c r="K25" i="2" s="1"/>
  <c r="U24" i="2"/>
  <c r="Q25" i="2"/>
  <c r="AA24" i="2"/>
  <c r="R25" i="2" l="1"/>
  <c r="Q26" i="2" s="1"/>
  <c r="Z25" i="2"/>
  <c r="Y26" i="2" s="1"/>
  <c r="I26" i="2"/>
  <c r="J26" i="2" s="1"/>
  <c r="N25" i="2"/>
  <c r="M26" i="2" s="1"/>
  <c r="P25" i="2"/>
  <c r="O26" i="2" s="1"/>
  <c r="T25" i="2"/>
  <c r="S26" i="2" s="1"/>
  <c r="X25" i="2"/>
  <c r="W26" i="2" s="1"/>
  <c r="L25" i="2"/>
  <c r="K26" i="2" s="1"/>
  <c r="U25" i="2"/>
  <c r="AA25" i="2"/>
  <c r="H10" i="1"/>
  <c r="R26" i="2" l="1"/>
  <c r="Q27" i="2" s="1"/>
  <c r="I27" i="2"/>
  <c r="J27" i="2" s="1"/>
  <c r="Z26" i="2"/>
  <c r="Y27" i="2" s="1"/>
  <c r="I10" i="1"/>
  <c r="P26" i="2"/>
  <c r="O27" i="2" s="1"/>
  <c r="T26" i="2"/>
  <c r="S27" i="2" s="1"/>
  <c r="U26" i="2"/>
  <c r="X26" i="2"/>
  <c r="W27" i="2" s="1"/>
  <c r="N26" i="2"/>
  <c r="M27" i="2" s="1"/>
  <c r="L26" i="2"/>
  <c r="K27" i="2" s="1"/>
  <c r="AA26" i="2"/>
  <c r="R27" i="2" l="1"/>
  <c r="I28" i="2"/>
  <c r="J28" i="2" s="1"/>
  <c r="Z27" i="2"/>
  <c r="Y28" i="2" s="1"/>
  <c r="P27" i="2"/>
  <c r="O28" i="2" s="1"/>
  <c r="T27" i="2"/>
  <c r="S28" i="2" s="1"/>
  <c r="Q28" i="2"/>
  <c r="N27" i="2"/>
  <c r="M28" i="2" s="1"/>
  <c r="L27" i="2"/>
  <c r="K28" i="2" s="1"/>
  <c r="X27" i="2"/>
  <c r="W28" i="2" s="1"/>
  <c r="U27" i="2"/>
  <c r="AA27" i="2"/>
  <c r="H17" i="1"/>
  <c r="H12" i="1"/>
  <c r="H11" i="1"/>
  <c r="H16" i="1"/>
  <c r="H15" i="1"/>
  <c r="H13" i="1"/>
  <c r="H14" i="1"/>
  <c r="R28" i="2" l="1"/>
  <c r="Q29" i="2" s="1"/>
  <c r="I29" i="2"/>
  <c r="J29" i="2" s="1"/>
  <c r="Z28" i="2"/>
  <c r="Y29" i="2" s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P28" i="2"/>
  <c r="O29" i="2" s="1"/>
  <c r="T28" i="2"/>
  <c r="S29" i="2" s="1"/>
  <c r="U28" i="2"/>
  <c r="L28" i="2"/>
  <c r="K29" i="2" s="1"/>
  <c r="N28" i="2"/>
  <c r="M29" i="2" s="1"/>
  <c r="X28" i="2"/>
  <c r="W29" i="2" s="1"/>
  <c r="AA28" i="2"/>
  <c r="R29" i="2" l="1"/>
  <c r="Q30" i="2" s="1"/>
  <c r="I30" i="2"/>
  <c r="J30" i="2" s="1"/>
  <c r="Z29" i="2"/>
  <c r="Y30" i="2" s="1"/>
  <c r="H21" i="1"/>
  <c r="G21" i="1" s="1"/>
  <c r="H18" i="1"/>
  <c r="G18" i="1" s="1"/>
  <c r="H19" i="1"/>
  <c r="L29" i="2"/>
  <c r="K30" i="2" s="1"/>
  <c r="T29" i="2"/>
  <c r="S30" i="2" s="1"/>
  <c r="X29" i="2"/>
  <c r="W30" i="2" s="1"/>
  <c r="N29" i="2"/>
  <c r="M30" i="2" s="1"/>
  <c r="P29" i="2"/>
  <c r="O30" i="2" s="1"/>
  <c r="U29" i="2"/>
  <c r="AA29" i="2"/>
  <c r="R30" i="2" l="1"/>
  <c r="Q31" i="2" s="1"/>
  <c r="I31" i="2"/>
  <c r="J31" i="2" s="1"/>
  <c r="Z30" i="2"/>
  <c r="Y31" i="2" s="1"/>
  <c r="G19" i="1"/>
  <c r="H20" i="1"/>
  <c r="G20" i="1" s="1"/>
  <c r="H22" i="1"/>
  <c r="N30" i="2"/>
  <c r="M31" i="2" s="1"/>
  <c r="L30" i="2"/>
  <c r="K31" i="2" s="1"/>
  <c r="X30" i="2"/>
  <c r="W31" i="2" s="1"/>
  <c r="U30" i="2"/>
  <c r="P30" i="2"/>
  <c r="O31" i="2" s="1"/>
  <c r="T30" i="2"/>
  <c r="S31" i="2" s="1"/>
  <c r="AA30" i="2"/>
  <c r="R31" i="2" l="1"/>
  <c r="Q32" i="2" s="1"/>
  <c r="I32" i="2"/>
  <c r="J32" i="2" s="1"/>
  <c r="Z31" i="2"/>
  <c r="Y32" i="2" s="1"/>
  <c r="I22" i="1"/>
  <c r="P31" i="2"/>
  <c r="O32" i="2" s="1"/>
  <c r="N31" i="2"/>
  <c r="M32" i="2" s="1"/>
  <c r="X31" i="2"/>
  <c r="W32" i="2" s="1"/>
  <c r="L31" i="2"/>
  <c r="K32" i="2" s="1"/>
  <c r="U31" i="2"/>
  <c r="T31" i="2"/>
  <c r="S32" i="2" s="1"/>
  <c r="AA31" i="2"/>
  <c r="R32" i="2" l="1"/>
  <c r="Q33" i="2" s="1"/>
  <c r="I33" i="2"/>
  <c r="J33" i="2" s="1"/>
  <c r="Z32" i="2"/>
  <c r="Y33" i="2" s="1"/>
  <c r="T32" i="2"/>
  <c r="S33" i="2" s="1"/>
  <c r="P32" i="2"/>
  <c r="O33" i="2" s="1"/>
  <c r="N32" i="2"/>
  <c r="M33" i="2" s="1"/>
  <c r="L32" i="2"/>
  <c r="K33" i="2" s="1"/>
  <c r="X32" i="2"/>
  <c r="W33" i="2" s="1"/>
  <c r="U32" i="2"/>
  <c r="AA32" i="2"/>
  <c r="R33" i="2" l="1"/>
  <c r="Q34" i="2" s="1"/>
  <c r="I34" i="2"/>
  <c r="J34" i="2" s="1"/>
  <c r="Z33" i="2"/>
  <c r="Y34" i="2" s="1"/>
  <c r="T33" i="2"/>
  <c r="S34" i="2" s="1"/>
  <c r="P33" i="2"/>
  <c r="O34" i="2" s="1"/>
  <c r="N33" i="2"/>
  <c r="M34" i="2" s="1"/>
  <c r="L33" i="2"/>
  <c r="K34" i="2" s="1"/>
  <c r="X33" i="2"/>
  <c r="W34" i="2" s="1"/>
  <c r="U33" i="2"/>
  <c r="AA33" i="2"/>
  <c r="R34" i="2" l="1"/>
  <c r="Q35" i="2" s="1"/>
  <c r="I35" i="2"/>
  <c r="J35" i="2" s="1"/>
  <c r="Z34" i="2"/>
  <c r="Y35" i="2" s="1"/>
  <c r="T34" i="2"/>
  <c r="S35" i="2" s="1"/>
  <c r="P34" i="2"/>
  <c r="O35" i="2" s="1"/>
  <c r="N34" i="2"/>
  <c r="M35" i="2" s="1"/>
  <c r="U34" i="2"/>
  <c r="X34" i="2"/>
  <c r="W35" i="2" s="1"/>
  <c r="L34" i="2"/>
  <c r="K35" i="2" s="1"/>
  <c r="AA34" i="2"/>
  <c r="R35" i="2" l="1"/>
  <c r="Q36" i="2" s="1"/>
  <c r="I36" i="2"/>
  <c r="J36" i="2" s="1"/>
  <c r="Z35" i="2"/>
  <c r="Y36" i="2" s="1"/>
  <c r="T35" i="2"/>
  <c r="S36" i="2" s="1"/>
  <c r="P35" i="2"/>
  <c r="O36" i="2" s="1"/>
  <c r="L35" i="2"/>
  <c r="K36" i="2" s="1"/>
  <c r="X35" i="2"/>
  <c r="W36" i="2" s="1"/>
  <c r="N35" i="2"/>
  <c r="M36" i="2" s="1"/>
  <c r="U35" i="2"/>
  <c r="AA35" i="2"/>
  <c r="R36" i="2" l="1"/>
  <c r="Q37" i="2" s="1"/>
  <c r="I37" i="2"/>
  <c r="J37" i="2" s="1"/>
  <c r="Z36" i="2"/>
  <c r="Y37" i="2" s="1"/>
  <c r="L36" i="2"/>
  <c r="K37" i="2" s="1"/>
  <c r="T36" i="2"/>
  <c r="S37" i="2" s="1"/>
  <c r="P36" i="2"/>
  <c r="O37" i="2" s="1"/>
  <c r="X36" i="2"/>
  <c r="W37" i="2" s="1"/>
  <c r="U36" i="2"/>
  <c r="N36" i="2"/>
  <c r="M37" i="2" s="1"/>
  <c r="AA36" i="2"/>
  <c r="R37" i="2" l="1"/>
  <c r="Q38" i="2" s="1"/>
  <c r="I38" i="2"/>
  <c r="J38" i="2" s="1"/>
  <c r="Z37" i="2"/>
  <c r="Y38" i="2" s="1"/>
  <c r="X37" i="2"/>
  <c r="W38" i="2" s="1"/>
  <c r="N37" i="2"/>
  <c r="M38" i="2" s="1"/>
  <c r="L37" i="2"/>
  <c r="K38" i="2" s="1"/>
  <c r="T37" i="2"/>
  <c r="S38" i="2" s="1"/>
  <c r="P37" i="2"/>
  <c r="O38" i="2" s="1"/>
  <c r="U37" i="2"/>
  <c r="AA37" i="2"/>
  <c r="R38" i="2" l="1"/>
  <c r="Q39" i="2" s="1"/>
  <c r="I39" i="2"/>
  <c r="J39" i="2" s="1"/>
  <c r="Z38" i="2"/>
  <c r="Y39" i="2" s="1"/>
  <c r="N38" i="2"/>
  <c r="M39" i="2" s="1"/>
  <c r="P38" i="2"/>
  <c r="O39" i="2" s="1"/>
  <c r="L38" i="2"/>
  <c r="K39" i="2" s="1"/>
  <c r="X38" i="2"/>
  <c r="W39" i="2" s="1"/>
  <c r="T38" i="2"/>
  <c r="S39" i="2" s="1"/>
  <c r="U38" i="2"/>
  <c r="AA38" i="2"/>
  <c r="R39" i="2" l="1"/>
  <c r="Q40" i="2" s="1"/>
  <c r="Z39" i="2"/>
  <c r="Y40" i="2" s="1"/>
  <c r="I40" i="2"/>
  <c r="J40" i="2" s="1"/>
  <c r="T39" i="2"/>
  <c r="S40" i="2" s="1"/>
  <c r="X39" i="2"/>
  <c r="W40" i="2" s="1"/>
  <c r="L39" i="2"/>
  <c r="K40" i="2" s="1"/>
  <c r="P39" i="2"/>
  <c r="O40" i="2" s="1"/>
  <c r="N39" i="2"/>
  <c r="M40" i="2" s="1"/>
  <c r="U39" i="2"/>
  <c r="AA39" i="2"/>
  <c r="R40" i="2" l="1"/>
  <c r="Q41" i="2" s="1"/>
  <c r="I41" i="2"/>
  <c r="J41" i="2" s="1"/>
  <c r="Z40" i="2"/>
  <c r="Y41" i="2" s="1"/>
  <c r="T40" i="2"/>
  <c r="S41" i="2" s="1"/>
  <c r="L40" i="2"/>
  <c r="K41" i="2" s="1"/>
  <c r="X40" i="2"/>
  <c r="W41" i="2" s="1"/>
  <c r="P40" i="2"/>
  <c r="O41" i="2" s="1"/>
  <c r="N40" i="2"/>
  <c r="M41" i="2" s="1"/>
  <c r="U40" i="2"/>
  <c r="AA40" i="2"/>
  <c r="R41" i="2" l="1"/>
  <c r="I42" i="2"/>
  <c r="J42" i="2" s="1"/>
  <c r="Z41" i="2"/>
  <c r="Y42" i="2" s="1"/>
  <c r="Q42" i="2"/>
  <c r="T41" i="2"/>
  <c r="S42" i="2" s="1"/>
  <c r="P41" i="2"/>
  <c r="O42" i="2" s="1"/>
  <c r="L41" i="2"/>
  <c r="K42" i="2" s="1"/>
  <c r="X41" i="2"/>
  <c r="W42" i="2" s="1"/>
  <c r="N41" i="2"/>
  <c r="M42" i="2" s="1"/>
  <c r="U41" i="2"/>
  <c r="AA41" i="2"/>
  <c r="R42" i="2" l="1"/>
  <c r="Q43" i="2" s="1"/>
  <c r="I43" i="2"/>
  <c r="J43" i="2" s="1"/>
  <c r="Z42" i="2"/>
  <c r="Y43" i="2" s="1"/>
  <c r="P42" i="2"/>
  <c r="O43" i="2" s="1"/>
  <c r="T42" i="2"/>
  <c r="S43" i="2" s="1"/>
  <c r="X42" i="2"/>
  <c r="W43" i="2" s="1"/>
  <c r="L42" i="2"/>
  <c r="K43" i="2" s="1"/>
  <c r="U42" i="2"/>
  <c r="N42" i="2"/>
  <c r="M43" i="2" s="1"/>
  <c r="AA42" i="2"/>
  <c r="R43" i="2" l="1"/>
  <c r="Q44" i="2" s="1"/>
  <c r="I44" i="2"/>
  <c r="J44" i="2" s="1"/>
  <c r="Z43" i="2"/>
  <c r="Y44" i="2" s="1"/>
  <c r="P43" i="2"/>
  <c r="O44" i="2" s="1"/>
  <c r="T43" i="2"/>
  <c r="S44" i="2" s="1"/>
  <c r="X43" i="2"/>
  <c r="W44" i="2" s="1"/>
  <c r="N43" i="2"/>
  <c r="M44" i="2" s="1"/>
  <c r="U43" i="2"/>
  <c r="L43" i="2"/>
  <c r="K44" i="2" s="1"/>
  <c r="AA43" i="2"/>
  <c r="R44" i="2" l="1"/>
  <c r="I45" i="2"/>
  <c r="J45" i="2" s="1"/>
  <c r="Z44" i="2"/>
  <c r="Y45" i="2" s="1"/>
  <c r="Q45" i="2"/>
  <c r="P44" i="2"/>
  <c r="O45" i="2" s="1"/>
  <c r="T44" i="2"/>
  <c r="S45" i="2" s="1"/>
  <c r="N44" i="2"/>
  <c r="M45" i="2" s="1"/>
  <c r="L44" i="2"/>
  <c r="K45" i="2" s="1"/>
  <c r="U44" i="2"/>
  <c r="X44" i="2"/>
  <c r="W45" i="2" s="1"/>
  <c r="AA44" i="2"/>
  <c r="R45" i="2" l="1"/>
  <c r="Q46" i="2" s="1"/>
  <c r="I46" i="2"/>
  <c r="J46" i="2" s="1"/>
  <c r="Z45" i="2"/>
  <c r="Y46" i="2" s="1"/>
  <c r="P45" i="2"/>
  <c r="O46" i="2" s="1"/>
  <c r="T45" i="2"/>
  <c r="S46" i="2" s="1"/>
  <c r="U45" i="2"/>
  <c r="L45" i="2"/>
  <c r="K46" i="2" s="1"/>
  <c r="N45" i="2"/>
  <c r="M46" i="2" s="1"/>
  <c r="X45" i="2"/>
  <c r="W46" i="2" s="1"/>
  <c r="AA45" i="2"/>
  <c r="R46" i="2" l="1"/>
  <c r="Q47" i="2" s="1"/>
  <c r="Z46" i="2"/>
  <c r="Y47" i="2" s="1"/>
  <c r="I47" i="2"/>
  <c r="J47" i="2" s="1"/>
  <c r="L46" i="2"/>
  <c r="K47" i="2" s="1"/>
  <c r="T46" i="2"/>
  <c r="S47" i="2" s="1"/>
  <c r="P46" i="2"/>
  <c r="O47" i="2" s="1"/>
  <c r="X46" i="2"/>
  <c r="W47" i="2" s="1"/>
  <c r="U46" i="2"/>
  <c r="N46" i="2"/>
  <c r="M47" i="2" s="1"/>
  <c r="AA46" i="2"/>
  <c r="R47" i="2" l="1"/>
  <c r="Q48" i="2" s="1"/>
  <c r="I48" i="2"/>
  <c r="J48" i="2" s="1"/>
  <c r="Z47" i="2"/>
  <c r="Y48" i="2" s="1"/>
  <c r="L47" i="2"/>
  <c r="K48" i="2" s="1"/>
  <c r="N47" i="2"/>
  <c r="M48" i="2" s="1"/>
  <c r="X47" i="2"/>
  <c r="W48" i="2" s="1"/>
  <c r="T47" i="2"/>
  <c r="S48" i="2" s="1"/>
  <c r="P47" i="2"/>
  <c r="O48" i="2" s="1"/>
  <c r="U47" i="2"/>
  <c r="AA47" i="2"/>
  <c r="R48" i="2" l="1"/>
  <c r="Q49" i="2" s="1"/>
  <c r="I49" i="2"/>
  <c r="J49" i="2" s="1"/>
  <c r="Z48" i="2"/>
  <c r="Y49" i="2" s="1"/>
  <c r="L48" i="2"/>
  <c r="K49" i="2" s="1"/>
  <c r="N48" i="2"/>
  <c r="M49" i="2" s="1"/>
  <c r="P48" i="2"/>
  <c r="O49" i="2" s="1"/>
  <c r="X48" i="2"/>
  <c r="W49" i="2" s="1"/>
  <c r="U48" i="2"/>
  <c r="T48" i="2"/>
  <c r="S49" i="2" s="1"/>
  <c r="AA48" i="2"/>
  <c r="R49" i="2" l="1"/>
  <c r="I50" i="2"/>
  <c r="J50" i="2" s="1"/>
  <c r="Z49" i="2"/>
  <c r="Y50" i="2" s="1"/>
  <c r="L49" i="2"/>
  <c r="K50" i="2" s="1"/>
  <c r="P49" i="2"/>
  <c r="O50" i="2" s="1"/>
  <c r="X49" i="2"/>
  <c r="W50" i="2" s="1"/>
  <c r="Q50" i="2"/>
  <c r="N49" i="2"/>
  <c r="M50" i="2" s="1"/>
  <c r="T49" i="2"/>
  <c r="S50" i="2" s="1"/>
  <c r="U49" i="2"/>
  <c r="AA49" i="2"/>
  <c r="R50" i="2" l="1"/>
  <c r="Q51" i="2" s="1"/>
  <c r="I51" i="2"/>
  <c r="J51" i="2" s="1"/>
  <c r="Z50" i="2"/>
  <c r="Y51" i="2" s="1"/>
  <c r="P50" i="2"/>
  <c r="O51" i="2" s="1"/>
  <c r="N50" i="2"/>
  <c r="M51" i="2" s="1"/>
  <c r="X50" i="2"/>
  <c r="W51" i="2" s="1"/>
  <c r="L50" i="2"/>
  <c r="K51" i="2" s="1"/>
  <c r="U50" i="2"/>
  <c r="T50" i="2"/>
  <c r="S51" i="2" s="1"/>
  <c r="AA50" i="2"/>
  <c r="R51" i="2" l="1"/>
  <c r="Q52" i="2" s="1"/>
  <c r="I52" i="2"/>
  <c r="J52" i="2" s="1"/>
  <c r="Z51" i="2"/>
  <c r="Y52" i="2" s="1"/>
  <c r="P51" i="2"/>
  <c r="O52" i="2" s="1"/>
  <c r="N51" i="2"/>
  <c r="M52" i="2" s="1"/>
  <c r="X51" i="2"/>
  <c r="W52" i="2" s="1"/>
  <c r="L51" i="2"/>
  <c r="K52" i="2" s="1"/>
  <c r="U51" i="2"/>
  <c r="T51" i="2"/>
  <c r="S52" i="2" s="1"/>
  <c r="AA51" i="2"/>
  <c r="R52" i="2" l="1"/>
  <c r="Q53" i="2" s="1"/>
  <c r="Z52" i="2"/>
  <c r="Y53" i="2" s="1"/>
  <c r="I53" i="2"/>
  <c r="J53" i="2" s="1"/>
  <c r="N52" i="2"/>
  <c r="M53" i="2" s="1"/>
  <c r="T52" i="2"/>
  <c r="S53" i="2" s="1"/>
  <c r="P52" i="2"/>
  <c r="O53" i="2" s="1"/>
  <c r="X52" i="2"/>
  <c r="W53" i="2" s="1"/>
  <c r="U52" i="2"/>
  <c r="L52" i="2"/>
  <c r="K53" i="2" s="1"/>
  <c r="AA52" i="2"/>
  <c r="R53" i="2" l="1"/>
  <c r="Q54" i="2" s="1"/>
  <c r="I54" i="2"/>
  <c r="J54" i="2" s="1"/>
  <c r="Z53" i="2"/>
  <c r="Y54" i="2" s="1"/>
  <c r="P53" i="2"/>
  <c r="O54" i="2" s="1"/>
  <c r="T53" i="2"/>
  <c r="S54" i="2" s="1"/>
  <c r="L53" i="2"/>
  <c r="K54" i="2" s="1"/>
  <c r="U53" i="2"/>
  <c r="X53" i="2"/>
  <c r="W54" i="2" s="1"/>
  <c r="N53" i="2"/>
  <c r="M54" i="2" s="1"/>
  <c r="AA53" i="2"/>
  <c r="R54" i="2" l="1"/>
  <c r="Q55" i="2" s="1"/>
  <c r="I55" i="2"/>
  <c r="J55" i="2" s="1"/>
  <c r="Z54" i="2"/>
  <c r="Y55" i="2" s="1"/>
  <c r="L54" i="2"/>
  <c r="K55" i="2" s="1"/>
  <c r="T54" i="2"/>
  <c r="S55" i="2" s="1"/>
  <c r="X54" i="2"/>
  <c r="W55" i="2" s="1"/>
  <c r="U54" i="2"/>
  <c r="P54" i="2"/>
  <c r="O55" i="2" s="1"/>
  <c r="N54" i="2"/>
  <c r="M55" i="2" s="1"/>
  <c r="AA54" i="2"/>
  <c r="R55" i="2" l="1"/>
  <c r="Q56" i="2" s="1"/>
  <c r="I56" i="2"/>
  <c r="J56" i="2" s="1"/>
  <c r="Z55" i="2"/>
  <c r="Y56" i="2" s="1"/>
  <c r="L55" i="2"/>
  <c r="K56" i="2" s="1"/>
  <c r="X55" i="2"/>
  <c r="W56" i="2" s="1"/>
  <c r="T55" i="2"/>
  <c r="S56" i="2" s="1"/>
  <c r="N55" i="2"/>
  <c r="M56" i="2" s="1"/>
  <c r="U55" i="2"/>
  <c r="P55" i="2"/>
  <c r="O56" i="2" s="1"/>
  <c r="AA55" i="2"/>
  <c r="R56" i="2" l="1"/>
  <c r="Q57" i="2" s="1"/>
  <c r="I57" i="2"/>
  <c r="J57" i="2" s="1"/>
  <c r="Z56" i="2"/>
  <c r="Y57" i="2" s="1"/>
  <c r="L56" i="2"/>
  <c r="K57" i="2" s="1"/>
  <c r="N56" i="2"/>
  <c r="M57" i="2" s="1"/>
  <c r="X56" i="2"/>
  <c r="W57" i="2" s="1"/>
  <c r="T56" i="2"/>
  <c r="S57" i="2" s="1"/>
  <c r="U56" i="2"/>
  <c r="P56" i="2"/>
  <c r="O57" i="2" s="1"/>
  <c r="AA56" i="2"/>
  <c r="R57" i="2" l="1"/>
  <c r="Q58" i="2" s="1"/>
  <c r="I58" i="2"/>
  <c r="J58" i="2" s="1"/>
  <c r="Z57" i="2"/>
  <c r="Y58" i="2" s="1"/>
  <c r="L57" i="2"/>
  <c r="K58" i="2" s="1"/>
  <c r="N57" i="2"/>
  <c r="M58" i="2" s="1"/>
  <c r="X57" i="2"/>
  <c r="W58" i="2" s="1"/>
  <c r="T57" i="2"/>
  <c r="S58" i="2" s="1"/>
  <c r="P57" i="2"/>
  <c r="O58" i="2" s="1"/>
  <c r="U57" i="2"/>
  <c r="AA57" i="2"/>
  <c r="R58" i="2" l="1"/>
  <c r="Q59" i="2" s="1"/>
  <c r="I59" i="2"/>
  <c r="J59" i="2" s="1"/>
  <c r="Z58" i="2"/>
  <c r="Y59" i="2" s="1"/>
  <c r="L58" i="2"/>
  <c r="K59" i="2" s="1"/>
  <c r="N58" i="2"/>
  <c r="M59" i="2" s="1"/>
  <c r="X58" i="2"/>
  <c r="W59" i="2" s="1"/>
  <c r="P58" i="2"/>
  <c r="O59" i="2" s="1"/>
  <c r="T58" i="2"/>
  <c r="S59" i="2" s="1"/>
  <c r="U58" i="2"/>
  <c r="AA58" i="2"/>
  <c r="R59" i="2" l="1"/>
  <c r="Q60" i="2" s="1"/>
  <c r="I60" i="2"/>
  <c r="J60" i="2" s="1"/>
  <c r="Z59" i="2"/>
  <c r="Y60" i="2" s="1"/>
  <c r="N59" i="2"/>
  <c r="M60" i="2" s="1"/>
  <c r="L59" i="2"/>
  <c r="K60" i="2" s="1"/>
  <c r="P59" i="2"/>
  <c r="O60" i="2" s="1"/>
  <c r="X59" i="2"/>
  <c r="W60" i="2" s="1"/>
  <c r="T59" i="2"/>
  <c r="S60" i="2" s="1"/>
  <c r="U59" i="2"/>
  <c r="AA59" i="2"/>
  <c r="R60" i="2" l="1"/>
  <c r="Q61" i="2" s="1"/>
  <c r="I61" i="2"/>
  <c r="J61" i="2" s="1"/>
  <c r="Z60" i="2"/>
  <c r="Y61" i="2" s="1"/>
  <c r="L60" i="2"/>
  <c r="K61" i="2" s="1"/>
  <c r="N60" i="2"/>
  <c r="M61" i="2" s="1"/>
  <c r="P60" i="2"/>
  <c r="O61" i="2" s="1"/>
  <c r="T60" i="2"/>
  <c r="S61" i="2" s="1"/>
  <c r="X60" i="2"/>
  <c r="W61" i="2" s="1"/>
  <c r="U60" i="2"/>
  <c r="AA60" i="2"/>
  <c r="R61" i="2" l="1"/>
  <c r="Q62" i="2" s="1"/>
  <c r="I62" i="2"/>
  <c r="J62" i="2" s="1"/>
  <c r="N61" i="2"/>
  <c r="M62" i="2" s="1"/>
  <c r="Z61" i="2"/>
  <c r="Y62" i="2" s="1"/>
  <c r="P61" i="2"/>
  <c r="O62" i="2" s="1"/>
  <c r="T61" i="2"/>
  <c r="S62" i="2" s="1"/>
  <c r="L61" i="2"/>
  <c r="K62" i="2" s="1"/>
  <c r="X61" i="2"/>
  <c r="W62" i="2" s="1"/>
  <c r="U61" i="2"/>
  <c r="AA61" i="2"/>
  <c r="R62" i="2" l="1"/>
  <c r="I63" i="2"/>
  <c r="J63" i="2" s="1"/>
  <c r="Z62" i="2"/>
  <c r="Y63" i="2" s="1"/>
  <c r="N62" i="2"/>
  <c r="M63" i="2" s="1"/>
  <c r="P62" i="2"/>
  <c r="O63" i="2" s="1"/>
  <c r="T62" i="2"/>
  <c r="S63" i="2" s="1"/>
  <c r="X62" i="2"/>
  <c r="W63" i="2" s="1"/>
  <c r="Q63" i="2"/>
  <c r="U62" i="2"/>
  <c r="L62" i="2"/>
  <c r="K63" i="2" s="1"/>
  <c r="AA62" i="2"/>
  <c r="R63" i="2" l="1"/>
  <c r="Q64" i="2" s="1"/>
  <c r="I64" i="2"/>
  <c r="J64" i="2" s="1"/>
  <c r="Z63" i="2"/>
  <c r="Y64" i="2" s="1"/>
  <c r="P63" i="2"/>
  <c r="O64" i="2" s="1"/>
  <c r="T63" i="2"/>
  <c r="S64" i="2" s="1"/>
  <c r="N63" i="2"/>
  <c r="M64" i="2" s="1"/>
  <c r="U63" i="2"/>
  <c r="L63" i="2"/>
  <c r="K64" i="2" s="1"/>
  <c r="X63" i="2"/>
  <c r="W64" i="2" s="1"/>
  <c r="AA63" i="2"/>
  <c r="R64" i="2" l="1"/>
  <c r="Q65" i="2" s="1"/>
  <c r="Z64" i="2"/>
  <c r="Y65" i="2" s="1"/>
  <c r="I65" i="2"/>
  <c r="J65" i="2" s="1"/>
  <c r="T64" i="2"/>
  <c r="S65" i="2" s="1"/>
  <c r="P64" i="2"/>
  <c r="O65" i="2" s="1"/>
  <c r="L64" i="2"/>
  <c r="K65" i="2" s="1"/>
  <c r="N64" i="2"/>
  <c r="M65" i="2" s="1"/>
  <c r="U64" i="2"/>
  <c r="X64" i="2"/>
  <c r="W65" i="2" s="1"/>
  <c r="AA64" i="2"/>
  <c r="R65" i="2" l="1"/>
  <c r="Q66" i="2" s="1"/>
  <c r="I66" i="2"/>
  <c r="J66" i="2" s="1"/>
  <c r="Z65" i="2"/>
  <c r="Y66" i="2" s="1"/>
  <c r="T65" i="2"/>
  <c r="S66" i="2" s="1"/>
  <c r="N65" i="2"/>
  <c r="M66" i="2" s="1"/>
  <c r="L65" i="2"/>
  <c r="K66" i="2" s="1"/>
  <c r="X65" i="2"/>
  <c r="W66" i="2" s="1"/>
  <c r="U65" i="2"/>
  <c r="P65" i="2"/>
  <c r="O66" i="2" s="1"/>
  <c r="AA65" i="2"/>
  <c r="R66" i="2" l="1"/>
  <c r="Q67" i="2" s="1"/>
  <c r="I67" i="2"/>
  <c r="J67" i="2" s="1"/>
  <c r="Z66" i="2"/>
  <c r="Y67" i="2" s="1"/>
  <c r="X66" i="2"/>
  <c r="W67" i="2" s="1"/>
  <c r="N66" i="2"/>
  <c r="M67" i="2" s="1"/>
  <c r="T66" i="2"/>
  <c r="S67" i="2" s="1"/>
  <c r="L66" i="2"/>
  <c r="K67" i="2" s="1"/>
  <c r="U66" i="2"/>
  <c r="P66" i="2"/>
  <c r="O67" i="2" s="1"/>
  <c r="AA66" i="2"/>
  <c r="R67" i="2" l="1"/>
  <c r="Q68" i="2" s="1"/>
  <c r="I68" i="2"/>
  <c r="J68" i="2" s="1"/>
  <c r="Z67" i="2"/>
  <c r="Y68" i="2" s="1"/>
  <c r="X67" i="2"/>
  <c r="W68" i="2" s="1"/>
  <c r="P67" i="2"/>
  <c r="O68" i="2" s="1"/>
  <c r="L67" i="2"/>
  <c r="K68" i="2" s="1"/>
  <c r="N67" i="2"/>
  <c r="M68" i="2" s="1"/>
  <c r="T67" i="2"/>
  <c r="S68" i="2" s="1"/>
  <c r="U67" i="2"/>
  <c r="AA67" i="2"/>
  <c r="R68" i="2" l="1"/>
  <c r="Q69" i="2" s="1"/>
  <c r="I69" i="2"/>
  <c r="J69" i="2" s="1"/>
  <c r="Z68" i="2"/>
  <c r="Y69" i="2" s="1"/>
  <c r="X68" i="2"/>
  <c r="W69" i="2" s="1"/>
  <c r="L68" i="2"/>
  <c r="K69" i="2" s="1"/>
  <c r="N68" i="2"/>
  <c r="M69" i="2" s="1"/>
  <c r="T68" i="2"/>
  <c r="S69" i="2" s="1"/>
  <c r="P68" i="2"/>
  <c r="O69" i="2" s="1"/>
  <c r="U68" i="2"/>
  <c r="AA68" i="2"/>
  <c r="R69" i="2" l="1"/>
  <c r="Q70" i="2" s="1"/>
  <c r="I70" i="2"/>
  <c r="J70" i="2" s="1"/>
  <c r="Z69" i="2"/>
  <c r="Y70" i="2" s="1"/>
  <c r="L69" i="2"/>
  <c r="K70" i="2" s="1"/>
  <c r="T69" i="2"/>
  <c r="S70" i="2" s="1"/>
  <c r="P69" i="2"/>
  <c r="O70" i="2" s="1"/>
  <c r="X69" i="2"/>
  <c r="W70" i="2" s="1"/>
  <c r="N69" i="2"/>
  <c r="M70" i="2" s="1"/>
  <c r="U69" i="2"/>
  <c r="AA69" i="2"/>
  <c r="R70" i="2" l="1"/>
  <c r="Q71" i="2" s="1"/>
  <c r="I71" i="2"/>
  <c r="J71" i="2" s="1"/>
  <c r="Z70" i="2"/>
  <c r="Y71" i="2" s="1"/>
  <c r="N70" i="2"/>
  <c r="M71" i="2" s="1"/>
  <c r="P70" i="2"/>
  <c r="O71" i="2" s="1"/>
  <c r="T70" i="2"/>
  <c r="S71" i="2" s="1"/>
  <c r="U70" i="2"/>
  <c r="X70" i="2"/>
  <c r="W71" i="2" s="1"/>
  <c r="L70" i="2"/>
  <c r="K71" i="2" s="1"/>
  <c r="AA70" i="2"/>
  <c r="R71" i="2" l="1"/>
  <c r="Q72" i="2" s="1"/>
  <c r="Z71" i="2"/>
  <c r="Y72" i="2" s="1"/>
  <c r="I72" i="2"/>
  <c r="J72" i="2" s="1"/>
  <c r="P71" i="2"/>
  <c r="O72" i="2" s="1"/>
  <c r="T71" i="2"/>
  <c r="S72" i="2" s="1"/>
  <c r="L71" i="2"/>
  <c r="K72" i="2" s="1"/>
  <c r="N71" i="2"/>
  <c r="M72" i="2" s="1"/>
  <c r="X71" i="2"/>
  <c r="W72" i="2" s="1"/>
  <c r="U71" i="2"/>
  <c r="AA71" i="2"/>
  <c r="R72" i="2" l="1"/>
  <c r="Q73" i="2" s="1"/>
  <c r="I73" i="2"/>
  <c r="J73" i="2" s="1"/>
  <c r="Z72" i="2"/>
  <c r="Y73" i="2" s="1"/>
  <c r="T72" i="2"/>
  <c r="S73" i="2" s="1"/>
  <c r="P72" i="2"/>
  <c r="O73" i="2" s="1"/>
  <c r="L72" i="2"/>
  <c r="K73" i="2" s="1"/>
  <c r="X72" i="2"/>
  <c r="W73" i="2" s="1"/>
  <c r="U72" i="2"/>
  <c r="N72" i="2"/>
  <c r="M73" i="2" s="1"/>
  <c r="AA72" i="2"/>
  <c r="R73" i="2" l="1"/>
  <c r="Q74" i="2" s="1"/>
  <c r="I74" i="2"/>
  <c r="J74" i="2" s="1"/>
  <c r="Z73" i="2"/>
  <c r="Y74" i="2" s="1"/>
  <c r="L73" i="2"/>
  <c r="K74" i="2" s="1"/>
  <c r="T73" i="2"/>
  <c r="S74" i="2" s="1"/>
  <c r="U73" i="2"/>
  <c r="X73" i="2"/>
  <c r="W74" i="2" s="1"/>
  <c r="P73" i="2"/>
  <c r="O74" i="2" s="1"/>
  <c r="N73" i="2"/>
  <c r="M74" i="2" s="1"/>
  <c r="AA73" i="2"/>
  <c r="R74" i="2" l="1"/>
  <c r="Q75" i="2" s="1"/>
  <c r="I75" i="2"/>
  <c r="J75" i="2" s="1"/>
  <c r="Z74" i="2"/>
  <c r="Y75" i="2" s="1"/>
  <c r="L74" i="2"/>
  <c r="K75" i="2" s="1"/>
  <c r="T74" i="2"/>
  <c r="S75" i="2" s="1"/>
  <c r="X74" i="2"/>
  <c r="W75" i="2" s="1"/>
  <c r="U74" i="2"/>
  <c r="P74" i="2"/>
  <c r="O75" i="2" s="1"/>
  <c r="N74" i="2"/>
  <c r="M75" i="2" s="1"/>
  <c r="AA74" i="2"/>
  <c r="R75" i="2" l="1"/>
  <c r="Q76" i="2" s="1"/>
  <c r="I76" i="2"/>
  <c r="J76" i="2" s="1"/>
  <c r="Z75" i="2"/>
  <c r="Y76" i="2" s="1"/>
  <c r="L75" i="2"/>
  <c r="K76" i="2" s="1"/>
  <c r="X75" i="2"/>
  <c r="W76" i="2" s="1"/>
  <c r="N75" i="2"/>
  <c r="M76" i="2" s="1"/>
  <c r="T75" i="2"/>
  <c r="S76" i="2" s="1"/>
  <c r="U75" i="2"/>
  <c r="P75" i="2"/>
  <c r="O76" i="2" s="1"/>
  <c r="AA75" i="2"/>
  <c r="R76" i="2" l="1"/>
  <c r="Q77" i="2" s="1"/>
  <c r="I77" i="2"/>
  <c r="J77" i="2" s="1"/>
  <c r="Z76" i="2"/>
  <c r="Y77" i="2" s="1"/>
  <c r="L76" i="2"/>
  <c r="K77" i="2" s="1"/>
  <c r="N76" i="2"/>
  <c r="M77" i="2" s="1"/>
  <c r="X76" i="2"/>
  <c r="W77" i="2" s="1"/>
  <c r="P76" i="2"/>
  <c r="O77" i="2" s="1"/>
  <c r="U76" i="2"/>
  <c r="T76" i="2"/>
  <c r="S77" i="2" s="1"/>
  <c r="AA76" i="2"/>
  <c r="R77" i="2" l="1"/>
  <c r="Q78" i="2" s="1"/>
  <c r="I78" i="2"/>
  <c r="J78" i="2" s="1"/>
  <c r="Z77" i="2"/>
  <c r="Y78" i="2" s="1"/>
  <c r="N77" i="2"/>
  <c r="M78" i="2" s="1"/>
  <c r="L77" i="2"/>
  <c r="K78" i="2" s="1"/>
  <c r="X77" i="2"/>
  <c r="W78" i="2" s="1"/>
  <c r="T77" i="2"/>
  <c r="S78" i="2" s="1"/>
  <c r="U77" i="2"/>
  <c r="P77" i="2"/>
  <c r="O78" i="2" s="1"/>
  <c r="AA77" i="2"/>
  <c r="R78" i="2" l="1"/>
  <c r="Q79" i="2" s="1"/>
  <c r="I79" i="2"/>
  <c r="J79" i="2" s="1"/>
  <c r="Z78" i="2"/>
  <c r="Y79" i="2" s="1"/>
  <c r="N78" i="2"/>
  <c r="M79" i="2" s="1"/>
  <c r="L78" i="2"/>
  <c r="K79" i="2" s="1"/>
  <c r="X78" i="2"/>
  <c r="W79" i="2" s="1"/>
  <c r="P78" i="2"/>
  <c r="O79" i="2" s="1"/>
  <c r="T78" i="2"/>
  <c r="S79" i="2" s="1"/>
  <c r="U78" i="2"/>
  <c r="AA78" i="2"/>
  <c r="R79" i="2" l="1"/>
  <c r="Q80" i="2" s="1"/>
  <c r="I80" i="2"/>
  <c r="J80" i="2" s="1"/>
  <c r="N79" i="2"/>
  <c r="M80" i="2" s="1"/>
  <c r="Z79" i="2"/>
  <c r="Y80" i="2" s="1"/>
  <c r="P79" i="2"/>
  <c r="O80" i="2" s="1"/>
  <c r="U79" i="2"/>
  <c r="T79" i="2"/>
  <c r="S80" i="2" s="1"/>
  <c r="X79" i="2"/>
  <c r="W80" i="2" s="1"/>
  <c r="L79" i="2"/>
  <c r="K80" i="2" s="1"/>
  <c r="AA79" i="2"/>
  <c r="R80" i="2" l="1"/>
  <c r="Q81" i="2" s="1"/>
  <c r="Z80" i="2"/>
  <c r="Y81" i="2" s="1"/>
  <c r="I81" i="2"/>
  <c r="J81" i="2" s="1"/>
  <c r="P80" i="2"/>
  <c r="O81" i="2" s="1"/>
  <c r="T80" i="2"/>
  <c r="S81" i="2" s="1"/>
  <c r="L80" i="2"/>
  <c r="K81" i="2" s="1"/>
  <c r="U80" i="2"/>
  <c r="N80" i="2"/>
  <c r="M81" i="2" s="1"/>
  <c r="X80" i="2"/>
  <c r="W81" i="2" s="1"/>
  <c r="AA80" i="2"/>
  <c r="R81" i="2" l="1"/>
  <c r="Q82" i="2" s="1"/>
  <c r="I82" i="2"/>
  <c r="J82" i="2" s="1"/>
  <c r="Z81" i="2"/>
  <c r="Y82" i="2" s="1"/>
  <c r="T81" i="2"/>
  <c r="S82" i="2" s="1"/>
  <c r="P81" i="2"/>
  <c r="O82" i="2" s="1"/>
  <c r="U81" i="2"/>
  <c r="L81" i="2"/>
  <c r="K82" i="2" s="1"/>
  <c r="X81" i="2"/>
  <c r="W82" i="2" s="1"/>
  <c r="N81" i="2"/>
  <c r="M82" i="2" s="1"/>
  <c r="AA81" i="2"/>
  <c r="R82" i="2" l="1"/>
  <c r="Q83" i="2" s="1"/>
  <c r="I83" i="2"/>
  <c r="J83" i="2" s="1"/>
  <c r="Z82" i="2"/>
  <c r="Y83" i="2" s="1"/>
  <c r="L82" i="2"/>
  <c r="K83" i="2" s="1"/>
  <c r="N82" i="2"/>
  <c r="M83" i="2" s="1"/>
  <c r="X82" i="2"/>
  <c r="W83" i="2" s="1"/>
  <c r="T82" i="2"/>
  <c r="S83" i="2" s="1"/>
  <c r="P82" i="2"/>
  <c r="O83" i="2" s="1"/>
  <c r="U82" i="2"/>
  <c r="AA82" i="2"/>
  <c r="R83" i="2" l="1"/>
  <c r="Q84" i="2" s="1"/>
  <c r="I84" i="2"/>
  <c r="J84" i="2" s="1"/>
  <c r="Z83" i="2"/>
  <c r="Y84" i="2" s="1"/>
  <c r="L83" i="2"/>
  <c r="K84" i="2" s="1"/>
  <c r="P83" i="2"/>
  <c r="O84" i="2" s="1"/>
  <c r="X83" i="2"/>
  <c r="W84" i="2" s="1"/>
  <c r="N83" i="2"/>
  <c r="M84" i="2" s="1"/>
  <c r="U83" i="2"/>
  <c r="T83" i="2"/>
  <c r="S84" i="2" s="1"/>
  <c r="AA83" i="2"/>
  <c r="R84" i="2" l="1"/>
  <c r="Q85" i="2" s="1"/>
  <c r="I85" i="2"/>
  <c r="J85" i="2" s="1"/>
  <c r="Z84" i="2"/>
  <c r="Y85" i="2" s="1"/>
  <c r="L84" i="2"/>
  <c r="K85" i="2" s="1"/>
  <c r="X84" i="2"/>
  <c r="W85" i="2" s="1"/>
  <c r="P84" i="2"/>
  <c r="O85" i="2" s="1"/>
  <c r="U84" i="2"/>
  <c r="T84" i="2"/>
  <c r="S85" i="2" s="1"/>
  <c r="N84" i="2"/>
  <c r="M85" i="2" s="1"/>
  <c r="AA84" i="2"/>
  <c r="R85" i="2" l="1"/>
  <c r="Q86" i="2" s="1"/>
  <c r="I86" i="2"/>
  <c r="J86" i="2" s="1"/>
  <c r="P85" i="2"/>
  <c r="O86" i="2" s="1"/>
  <c r="Z85" i="2"/>
  <c r="Y86" i="2" s="1"/>
  <c r="L85" i="2"/>
  <c r="K86" i="2" s="1"/>
  <c r="N85" i="2"/>
  <c r="M86" i="2" s="1"/>
  <c r="X85" i="2"/>
  <c r="W86" i="2" s="1"/>
  <c r="U85" i="2"/>
  <c r="T85" i="2"/>
  <c r="S86" i="2" s="1"/>
  <c r="AA85" i="2"/>
  <c r="R86" i="2" l="1"/>
  <c r="Q87" i="2" s="1"/>
  <c r="I87" i="2"/>
  <c r="J87" i="2" s="1"/>
  <c r="Z86" i="2"/>
  <c r="Y87" i="2" s="1"/>
  <c r="N86" i="2"/>
  <c r="M87" i="2" s="1"/>
  <c r="P86" i="2"/>
  <c r="O87" i="2" s="1"/>
  <c r="U86" i="2"/>
  <c r="T86" i="2"/>
  <c r="S87" i="2" s="1"/>
  <c r="X86" i="2"/>
  <c r="W87" i="2" s="1"/>
  <c r="L86" i="2"/>
  <c r="K87" i="2" s="1"/>
  <c r="AA86" i="2"/>
  <c r="R87" i="2" l="1"/>
  <c r="Q88" i="2" s="1"/>
  <c r="I88" i="2"/>
  <c r="J88" i="2" s="1"/>
  <c r="Z87" i="2"/>
  <c r="Y88" i="2" s="1"/>
  <c r="P87" i="2"/>
  <c r="O88" i="2" s="1"/>
  <c r="L87" i="2"/>
  <c r="K88" i="2" s="1"/>
  <c r="T87" i="2"/>
  <c r="S88" i="2" s="1"/>
  <c r="X87" i="2"/>
  <c r="W88" i="2" s="1"/>
  <c r="N87" i="2"/>
  <c r="M88" i="2" s="1"/>
  <c r="U87" i="2"/>
  <c r="AA87" i="2"/>
  <c r="R88" i="2" l="1"/>
  <c r="Q89" i="2" s="1"/>
  <c r="Z88" i="2"/>
  <c r="Y89" i="2" s="1"/>
  <c r="I89" i="2"/>
  <c r="J89" i="2" s="1"/>
  <c r="N88" i="2"/>
  <c r="M89" i="2" s="1"/>
  <c r="U88" i="2"/>
  <c r="T88" i="2"/>
  <c r="S89" i="2" s="1"/>
  <c r="L88" i="2"/>
  <c r="K89" i="2" s="1"/>
  <c r="X88" i="2"/>
  <c r="W89" i="2" s="1"/>
  <c r="P88" i="2"/>
  <c r="O89" i="2" s="1"/>
  <c r="AA88" i="2"/>
  <c r="R89" i="2" l="1"/>
  <c r="Q90" i="2" s="1"/>
  <c r="I90" i="2"/>
  <c r="J90" i="2" s="1"/>
  <c r="Z89" i="2"/>
  <c r="Y90" i="2" s="1"/>
  <c r="P89" i="2"/>
  <c r="O90" i="2" s="1"/>
  <c r="U89" i="2"/>
  <c r="L89" i="2"/>
  <c r="K90" i="2" s="1"/>
  <c r="N89" i="2"/>
  <c r="M90" i="2" s="1"/>
  <c r="X89" i="2"/>
  <c r="W90" i="2" s="1"/>
  <c r="T89" i="2"/>
  <c r="S90" i="2" s="1"/>
  <c r="AA89" i="2"/>
  <c r="R90" i="2" l="1"/>
  <c r="Q91" i="2" s="1"/>
  <c r="I91" i="2"/>
  <c r="J91" i="2" s="1"/>
  <c r="Z90" i="2"/>
  <c r="Y91" i="2" s="1"/>
  <c r="P90" i="2"/>
  <c r="O91" i="2" s="1"/>
  <c r="T90" i="2"/>
  <c r="S91" i="2" s="1"/>
  <c r="U90" i="2"/>
  <c r="N90" i="2"/>
  <c r="M91" i="2" s="1"/>
  <c r="L90" i="2"/>
  <c r="K91" i="2" s="1"/>
  <c r="X90" i="2"/>
  <c r="W91" i="2" s="1"/>
  <c r="AA90" i="2"/>
  <c r="R91" i="2" l="1"/>
  <c r="Q92" i="2" s="1"/>
  <c r="I92" i="2"/>
  <c r="J92" i="2" s="1"/>
  <c r="Z91" i="2"/>
  <c r="Y92" i="2" s="1"/>
  <c r="P91" i="2"/>
  <c r="O92" i="2" s="1"/>
  <c r="T91" i="2"/>
  <c r="S92" i="2" s="1"/>
  <c r="U91" i="2"/>
  <c r="L91" i="2"/>
  <c r="K92" i="2" s="1"/>
  <c r="N91" i="2"/>
  <c r="M92" i="2" s="1"/>
  <c r="X91" i="2"/>
  <c r="W92" i="2" s="1"/>
  <c r="AA91" i="2"/>
  <c r="R92" i="2" l="1"/>
  <c r="Q93" i="2" s="1"/>
  <c r="Z92" i="2"/>
  <c r="Y93" i="2" s="1"/>
  <c r="I93" i="2"/>
  <c r="J93" i="2" s="1"/>
  <c r="T92" i="2"/>
  <c r="S93" i="2" s="1"/>
  <c r="U92" i="2"/>
  <c r="L92" i="2"/>
  <c r="K93" i="2" s="1"/>
  <c r="N92" i="2"/>
  <c r="M93" i="2" s="1"/>
  <c r="P92" i="2"/>
  <c r="O93" i="2" s="1"/>
  <c r="X92" i="2"/>
  <c r="W93" i="2" s="1"/>
  <c r="AA92" i="2"/>
  <c r="R93" i="2" l="1"/>
  <c r="Q94" i="2" s="1"/>
  <c r="I94" i="2"/>
  <c r="J94" i="2" s="1"/>
  <c r="Z93" i="2"/>
  <c r="Y94" i="2" s="1"/>
  <c r="T93" i="2"/>
  <c r="S94" i="2" s="1"/>
  <c r="N93" i="2"/>
  <c r="M94" i="2" s="1"/>
  <c r="U93" i="2"/>
  <c r="L93" i="2"/>
  <c r="K94" i="2" s="1"/>
  <c r="P93" i="2"/>
  <c r="O94" i="2" s="1"/>
  <c r="X93" i="2"/>
  <c r="W94" i="2" s="1"/>
  <c r="AA93" i="2"/>
  <c r="R94" i="2" l="1"/>
  <c r="Q95" i="2" s="1"/>
  <c r="I95" i="2"/>
  <c r="J95" i="2" s="1"/>
  <c r="Z94" i="2"/>
  <c r="Y95" i="2" s="1"/>
  <c r="U94" i="2"/>
  <c r="P94" i="2"/>
  <c r="O95" i="2" s="1"/>
  <c r="L94" i="2"/>
  <c r="K95" i="2" s="1"/>
  <c r="N94" i="2"/>
  <c r="M95" i="2" s="1"/>
  <c r="T94" i="2"/>
  <c r="S95" i="2" s="1"/>
  <c r="X94" i="2"/>
  <c r="W95" i="2" s="1"/>
  <c r="AA94" i="2"/>
  <c r="R95" i="2" l="1"/>
  <c r="Q96" i="2" s="1"/>
  <c r="N95" i="2"/>
  <c r="M96" i="2" s="1"/>
  <c r="I96" i="2"/>
  <c r="J96" i="2" s="1"/>
  <c r="Z95" i="2"/>
  <c r="Y96" i="2" s="1"/>
  <c r="L95" i="2"/>
  <c r="K96" i="2" s="1"/>
  <c r="U95" i="2"/>
  <c r="P95" i="2"/>
  <c r="O96" i="2" s="1"/>
  <c r="T95" i="2"/>
  <c r="S96" i="2" s="1"/>
  <c r="X95" i="2"/>
  <c r="W96" i="2" s="1"/>
  <c r="AA95" i="2"/>
  <c r="R96" i="2" l="1"/>
  <c r="Q97" i="2" s="1"/>
  <c r="N96" i="2"/>
  <c r="M97" i="2" s="1"/>
  <c r="I97" i="2"/>
  <c r="J97" i="2" s="1"/>
  <c r="Z96" i="2"/>
  <c r="Y97" i="2" s="1"/>
  <c r="T96" i="2"/>
  <c r="S97" i="2" s="1"/>
  <c r="L96" i="2"/>
  <c r="K97" i="2" s="1"/>
  <c r="P96" i="2"/>
  <c r="O97" i="2" s="1"/>
  <c r="U96" i="2"/>
  <c r="X96" i="2"/>
  <c r="W97" i="2" s="1"/>
  <c r="AA96" i="2"/>
  <c r="R97" i="2" l="1"/>
  <c r="I98" i="2"/>
  <c r="J98" i="2" s="1"/>
  <c r="N97" i="2"/>
  <c r="M98" i="2" s="1"/>
  <c r="U97" i="2"/>
  <c r="Q98" i="2"/>
  <c r="Z97" i="2"/>
  <c r="Y98" i="2" s="1"/>
  <c r="L97" i="2"/>
  <c r="K98" i="2" s="1"/>
  <c r="T97" i="2"/>
  <c r="S98" i="2" s="1"/>
  <c r="P97" i="2"/>
  <c r="O98" i="2" s="1"/>
  <c r="X97" i="2"/>
  <c r="W98" i="2" s="1"/>
  <c r="AA97" i="2"/>
  <c r="R98" i="2" l="1"/>
  <c r="Q99" i="2" s="1"/>
  <c r="I99" i="2"/>
  <c r="J99" i="2" s="1"/>
  <c r="N98" i="2"/>
  <c r="M99" i="2" s="1"/>
  <c r="Z98" i="2"/>
  <c r="Y99" i="2" s="1"/>
  <c r="L98" i="2"/>
  <c r="K99" i="2" s="1"/>
  <c r="T98" i="2"/>
  <c r="S99" i="2" s="1"/>
  <c r="U98" i="2"/>
  <c r="P98" i="2"/>
  <c r="O99" i="2" s="1"/>
  <c r="X98" i="2"/>
  <c r="W99" i="2" s="1"/>
  <c r="AA98" i="2"/>
  <c r="R99" i="2" l="1"/>
  <c r="Q100" i="2" s="1"/>
  <c r="I100" i="2"/>
  <c r="J100" i="2" s="1"/>
  <c r="P99" i="2"/>
  <c r="O100" i="2" s="1"/>
  <c r="Z99" i="2"/>
  <c r="Y100" i="2" s="1"/>
  <c r="U99" i="2"/>
  <c r="N99" i="2"/>
  <c r="M100" i="2" s="1"/>
  <c r="L99" i="2"/>
  <c r="K100" i="2" s="1"/>
  <c r="T99" i="2"/>
  <c r="S100" i="2" s="1"/>
  <c r="X99" i="2"/>
  <c r="W100" i="2" s="1"/>
  <c r="AA99" i="2"/>
  <c r="R100" i="2" l="1"/>
  <c r="Q101" i="2" s="1"/>
  <c r="Z100" i="2"/>
  <c r="Y101" i="2" s="1"/>
  <c r="I101" i="2"/>
  <c r="J101" i="2" s="1"/>
  <c r="P100" i="2"/>
  <c r="O101" i="2" s="1"/>
  <c r="N100" i="2"/>
  <c r="M101" i="2" s="1"/>
  <c r="H36" i="1"/>
  <c r="L100" i="2"/>
  <c r="K101" i="2" s="1"/>
  <c r="U100" i="2"/>
  <c r="T100" i="2"/>
  <c r="S101" i="2" s="1"/>
  <c r="X100" i="2"/>
  <c r="W101" i="2" s="1"/>
  <c r="AA100" i="2"/>
  <c r="R101" i="2" l="1"/>
  <c r="Q102" i="2" s="1"/>
  <c r="I102" i="2"/>
  <c r="J102" i="2" s="1"/>
  <c r="Z101" i="2"/>
  <c r="Y102" i="2" s="1"/>
  <c r="N101" i="2"/>
  <c r="M102" i="2" s="1"/>
  <c r="P101" i="2"/>
  <c r="O102" i="2" s="1"/>
  <c r="L101" i="2"/>
  <c r="K102" i="2" s="1"/>
  <c r="T101" i="2"/>
  <c r="S102" i="2" s="1"/>
  <c r="U101" i="2"/>
  <c r="X101" i="2"/>
  <c r="W102" i="2" s="1"/>
  <c r="AA101" i="2"/>
  <c r="R102" i="2" l="1"/>
  <c r="Q103" i="2" s="1"/>
  <c r="I103" i="2"/>
  <c r="J103" i="2" s="1"/>
  <c r="Z102" i="2"/>
  <c r="Y103" i="2" s="1"/>
  <c r="N102" i="2"/>
  <c r="M103" i="2" s="1"/>
  <c r="P102" i="2"/>
  <c r="O103" i="2" s="1"/>
  <c r="U102" i="2"/>
  <c r="L102" i="2"/>
  <c r="K103" i="2" s="1"/>
  <c r="T102" i="2"/>
  <c r="S103" i="2" s="1"/>
  <c r="X102" i="2"/>
  <c r="W103" i="2" s="1"/>
  <c r="AA102" i="2"/>
  <c r="R103" i="2" l="1"/>
  <c r="Q104" i="2" s="1"/>
  <c r="Z103" i="2"/>
  <c r="Y104" i="2" s="1"/>
  <c r="N103" i="2"/>
  <c r="M104" i="2" s="1"/>
  <c r="I104" i="2"/>
  <c r="J104" i="2" s="1"/>
  <c r="P103" i="2"/>
  <c r="O104" i="2" s="1"/>
  <c r="U103" i="2"/>
  <c r="T103" i="2"/>
  <c r="S104" i="2" s="1"/>
  <c r="L103" i="2"/>
  <c r="K104" i="2" s="1"/>
  <c r="X103" i="2"/>
  <c r="W104" i="2" s="1"/>
  <c r="AA103" i="2"/>
  <c r="R104" i="2" l="1"/>
  <c r="Q105" i="2" s="1"/>
  <c r="I105" i="2"/>
  <c r="J105" i="2" s="1"/>
  <c r="Z104" i="2"/>
  <c r="Y105" i="2" s="1"/>
  <c r="T104" i="2"/>
  <c r="S105" i="2" s="1"/>
  <c r="P104" i="2"/>
  <c r="O105" i="2" s="1"/>
  <c r="U104" i="2"/>
  <c r="N104" i="2"/>
  <c r="M105" i="2" s="1"/>
  <c r="L104" i="2"/>
  <c r="K105" i="2" s="1"/>
  <c r="X104" i="2"/>
  <c r="W105" i="2" s="1"/>
  <c r="AA104" i="2"/>
  <c r="R105" i="2" l="1"/>
  <c r="Q106" i="2" s="1"/>
  <c r="I106" i="2"/>
  <c r="J106" i="2" s="1"/>
  <c r="Z105" i="2"/>
  <c r="Y106" i="2" s="1"/>
  <c r="P105" i="2"/>
  <c r="O106" i="2" s="1"/>
  <c r="T105" i="2"/>
  <c r="S106" i="2" s="1"/>
  <c r="N105" i="2"/>
  <c r="M106" i="2" s="1"/>
  <c r="U105" i="2"/>
  <c r="L105" i="2"/>
  <c r="K106" i="2" s="1"/>
  <c r="X105" i="2"/>
  <c r="W106" i="2" s="1"/>
  <c r="AA105" i="2"/>
  <c r="R106" i="2" l="1"/>
  <c r="Q107" i="2" s="1"/>
  <c r="I107" i="2"/>
  <c r="J107" i="2" s="1"/>
  <c r="P106" i="2"/>
  <c r="O107" i="2" s="1"/>
  <c r="Z106" i="2"/>
  <c r="Y107" i="2" s="1"/>
  <c r="T106" i="2"/>
  <c r="S107" i="2" s="1"/>
  <c r="U106" i="2"/>
  <c r="N106" i="2"/>
  <c r="M107" i="2" s="1"/>
  <c r="L106" i="2"/>
  <c r="K107" i="2" s="1"/>
  <c r="X106" i="2"/>
  <c r="W107" i="2" s="1"/>
  <c r="AA106" i="2"/>
  <c r="R107" i="2" l="1"/>
  <c r="Q108" i="2" s="1"/>
  <c r="I108" i="2"/>
  <c r="J108" i="2" s="1"/>
  <c r="Z107" i="2"/>
  <c r="Y108" i="2" s="1"/>
  <c r="T107" i="2"/>
  <c r="S108" i="2" s="1"/>
  <c r="P107" i="2"/>
  <c r="O108" i="2" s="1"/>
  <c r="U107" i="2"/>
  <c r="N107" i="2"/>
  <c r="M108" i="2" s="1"/>
  <c r="L107" i="2"/>
  <c r="K108" i="2" s="1"/>
  <c r="X107" i="2"/>
  <c r="W108" i="2" s="1"/>
  <c r="AA107" i="2"/>
  <c r="R108" i="2" l="1"/>
  <c r="Q109" i="2" s="1"/>
  <c r="Z108" i="2"/>
  <c r="Y109" i="2" s="1"/>
  <c r="I109" i="2"/>
  <c r="J109" i="2" s="1"/>
  <c r="T108" i="2"/>
  <c r="S109" i="2" s="1"/>
  <c r="P108" i="2"/>
  <c r="O109" i="2" s="1"/>
  <c r="U108" i="2"/>
  <c r="N108" i="2"/>
  <c r="M109" i="2" s="1"/>
  <c r="L108" i="2"/>
  <c r="K109" i="2" s="1"/>
  <c r="X108" i="2"/>
  <c r="W109" i="2" s="1"/>
  <c r="AA108" i="2"/>
  <c r="R109" i="2" l="1"/>
  <c r="Q110" i="2" s="1"/>
  <c r="Z109" i="2"/>
  <c r="Y110" i="2" s="1"/>
  <c r="I110" i="2"/>
  <c r="J110" i="2" s="1"/>
  <c r="P109" i="2"/>
  <c r="O110" i="2" s="1"/>
  <c r="T109" i="2"/>
  <c r="S110" i="2" s="1"/>
  <c r="U109" i="2"/>
  <c r="N109" i="2"/>
  <c r="M110" i="2" s="1"/>
  <c r="L109" i="2"/>
  <c r="K110" i="2" s="1"/>
  <c r="X109" i="2"/>
  <c r="W110" i="2" s="1"/>
  <c r="AA109" i="2"/>
  <c r="R110" i="2" l="1"/>
  <c r="Q111" i="2" s="1"/>
  <c r="Z110" i="2"/>
  <c r="Y111" i="2" s="1"/>
  <c r="I111" i="2"/>
  <c r="J111" i="2" s="1"/>
  <c r="P110" i="2"/>
  <c r="O111" i="2" s="1"/>
  <c r="T110" i="2"/>
  <c r="S111" i="2" s="1"/>
  <c r="N110" i="2"/>
  <c r="M111" i="2" s="1"/>
  <c r="U110" i="2"/>
  <c r="L110" i="2"/>
  <c r="K111" i="2" s="1"/>
  <c r="X110" i="2"/>
  <c r="W111" i="2" s="1"/>
  <c r="AA110" i="2"/>
  <c r="R111" i="2" l="1"/>
  <c r="Q112" i="2" s="1"/>
  <c r="Z111" i="2"/>
  <c r="Y112" i="2" s="1"/>
  <c r="I112" i="2"/>
  <c r="J112" i="2" s="1"/>
  <c r="T111" i="2"/>
  <c r="S112" i="2" s="1"/>
  <c r="U111" i="2"/>
  <c r="P111" i="2"/>
  <c r="O112" i="2" s="1"/>
  <c r="N111" i="2"/>
  <c r="M112" i="2" s="1"/>
  <c r="L111" i="2"/>
  <c r="K112" i="2" s="1"/>
  <c r="X111" i="2"/>
  <c r="W112" i="2" s="1"/>
  <c r="AA111" i="2"/>
  <c r="R112" i="2" l="1"/>
  <c r="Q113" i="2" s="1"/>
  <c r="I113" i="2"/>
  <c r="J113" i="2" s="1"/>
  <c r="Z112" i="2"/>
  <c r="Y113" i="2" s="1"/>
  <c r="T112" i="2"/>
  <c r="S113" i="2" s="1"/>
  <c r="P112" i="2"/>
  <c r="O113" i="2" s="1"/>
  <c r="N112" i="2"/>
  <c r="M113" i="2" s="1"/>
  <c r="U112" i="2"/>
  <c r="L112" i="2"/>
  <c r="K113" i="2" s="1"/>
  <c r="X112" i="2"/>
  <c r="W113" i="2" s="1"/>
  <c r="AA112" i="2"/>
  <c r="R113" i="2" l="1"/>
  <c r="Q114" i="2" s="1"/>
  <c r="I114" i="2"/>
  <c r="J114" i="2" s="1"/>
  <c r="Z113" i="2"/>
  <c r="Y114" i="2" s="1"/>
  <c r="T113" i="2"/>
  <c r="S114" i="2" s="1"/>
  <c r="N113" i="2"/>
  <c r="M114" i="2" s="1"/>
  <c r="U113" i="2"/>
  <c r="P113" i="2"/>
  <c r="O114" i="2" s="1"/>
  <c r="L113" i="2"/>
  <c r="K114" i="2" s="1"/>
  <c r="X113" i="2"/>
  <c r="W114" i="2" s="1"/>
  <c r="AA113" i="2"/>
  <c r="R114" i="2" l="1"/>
  <c r="Q115" i="2" s="1"/>
  <c r="I115" i="2"/>
  <c r="J115" i="2" s="1"/>
  <c r="P114" i="2"/>
  <c r="O115" i="2" s="1"/>
  <c r="T114" i="2"/>
  <c r="S115" i="2" s="1"/>
  <c r="Z114" i="2"/>
  <c r="Y115" i="2" s="1"/>
  <c r="U114" i="2"/>
  <c r="N114" i="2"/>
  <c r="M115" i="2" s="1"/>
  <c r="L114" i="2"/>
  <c r="K115" i="2" s="1"/>
  <c r="X114" i="2"/>
  <c r="W115" i="2" s="1"/>
  <c r="AA114" i="2"/>
  <c r="R115" i="2" l="1"/>
  <c r="I116" i="2"/>
  <c r="J116" i="2" s="1"/>
  <c r="Z115" i="2"/>
  <c r="Y116" i="2" s="1"/>
  <c r="T115" i="2"/>
  <c r="S116" i="2" s="1"/>
  <c r="N115" i="2"/>
  <c r="M116" i="2" s="1"/>
  <c r="Q116" i="2"/>
  <c r="P115" i="2"/>
  <c r="O116" i="2" s="1"/>
  <c r="U115" i="2"/>
  <c r="L115" i="2"/>
  <c r="K116" i="2" s="1"/>
  <c r="X115" i="2"/>
  <c r="W116" i="2" s="1"/>
  <c r="AA115" i="2"/>
  <c r="R116" i="2" l="1"/>
  <c r="Q117" i="2" s="1"/>
  <c r="I117" i="2"/>
  <c r="J117" i="2" s="1"/>
  <c r="Z116" i="2"/>
  <c r="Y117" i="2" s="1"/>
  <c r="U116" i="2"/>
  <c r="T116" i="2"/>
  <c r="S117" i="2" s="1"/>
  <c r="P116" i="2"/>
  <c r="O117" i="2" s="1"/>
  <c r="N116" i="2"/>
  <c r="M117" i="2" s="1"/>
  <c r="L116" i="2"/>
  <c r="K117" i="2" s="1"/>
  <c r="X116" i="2"/>
  <c r="W117" i="2" s="1"/>
  <c r="AA116" i="2"/>
  <c r="R117" i="2" l="1"/>
  <c r="Q118" i="2" s="1"/>
  <c r="I118" i="2"/>
  <c r="J118" i="2" s="1"/>
  <c r="Z117" i="2"/>
  <c r="Y118" i="2" s="1"/>
  <c r="U117" i="2"/>
  <c r="N117" i="2"/>
  <c r="M118" i="2" s="1"/>
  <c r="P117" i="2"/>
  <c r="O118" i="2" s="1"/>
  <c r="T117" i="2"/>
  <c r="S118" i="2" s="1"/>
  <c r="L117" i="2"/>
  <c r="K118" i="2" s="1"/>
  <c r="X117" i="2"/>
  <c r="W118" i="2" s="1"/>
  <c r="AA117" i="2"/>
  <c r="R118" i="2" l="1"/>
  <c r="Q119" i="2" s="1"/>
  <c r="Z118" i="2"/>
  <c r="Y119" i="2" s="1"/>
  <c r="I119" i="2"/>
  <c r="J119" i="2" s="1"/>
  <c r="T118" i="2"/>
  <c r="S119" i="2" s="1"/>
  <c r="N118" i="2"/>
  <c r="M119" i="2" s="1"/>
  <c r="U118" i="2"/>
  <c r="P118" i="2"/>
  <c r="O119" i="2" s="1"/>
  <c r="L118" i="2"/>
  <c r="K119" i="2" s="1"/>
  <c r="X118" i="2"/>
  <c r="W119" i="2" s="1"/>
  <c r="AA118" i="2"/>
  <c r="R119" i="2" l="1"/>
  <c r="Q120" i="2" s="1"/>
  <c r="I120" i="2"/>
  <c r="J120" i="2" s="1"/>
  <c r="Z119" i="2"/>
  <c r="Y120" i="2" s="1"/>
  <c r="U119" i="2"/>
  <c r="T119" i="2"/>
  <c r="S120" i="2" s="1"/>
  <c r="P119" i="2"/>
  <c r="O120" i="2" s="1"/>
  <c r="N119" i="2"/>
  <c r="M120" i="2" s="1"/>
  <c r="L119" i="2"/>
  <c r="K120" i="2" s="1"/>
  <c r="X119" i="2"/>
  <c r="W120" i="2" s="1"/>
  <c r="AA119" i="2"/>
  <c r="R120" i="2" l="1"/>
  <c r="Q121" i="2" s="1"/>
  <c r="Z120" i="2"/>
  <c r="Y121" i="2" s="1"/>
  <c r="I121" i="2"/>
  <c r="J121" i="2" s="1"/>
  <c r="N120" i="2"/>
  <c r="M121" i="2" s="1"/>
  <c r="P120" i="2"/>
  <c r="O121" i="2" s="1"/>
  <c r="U120" i="2"/>
  <c r="T120" i="2"/>
  <c r="S121" i="2" s="1"/>
  <c r="L120" i="2"/>
  <c r="K121" i="2" s="1"/>
  <c r="X120" i="2"/>
  <c r="W121" i="2" s="1"/>
  <c r="AA120" i="2"/>
  <c r="R121" i="2" l="1"/>
  <c r="Q122" i="2" s="1"/>
  <c r="Z121" i="2"/>
  <c r="Y122" i="2" s="1"/>
  <c r="I122" i="2"/>
  <c r="J122" i="2" s="1"/>
  <c r="P121" i="2"/>
  <c r="O122" i="2" s="1"/>
  <c r="N121" i="2"/>
  <c r="M122" i="2" s="1"/>
  <c r="U121" i="2"/>
  <c r="T121" i="2"/>
  <c r="S122" i="2" s="1"/>
  <c r="L121" i="2"/>
  <c r="K122" i="2" s="1"/>
  <c r="X121" i="2"/>
  <c r="W122" i="2" s="1"/>
  <c r="AA121" i="2"/>
  <c r="R122" i="2" l="1"/>
  <c r="Q123" i="2" s="1"/>
  <c r="I123" i="2"/>
  <c r="J123" i="2" s="1"/>
  <c r="T122" i="2"/>
  <c r="S123" i="2" s="1"/>
  <c r="Z122" i="2"/>
  <c r="Y123" i="2" s="1"/>
  <c r="P122" i="2"/>
  <c r="O123" i="2" s="1"/>
  <c r="U122" i="2"/>
  <c r="N122" i="2"/>
  <c r="M123" i="2" s="1"/>
  <c r="L122" i="2"/>
  <c r="K123" i="2" s="1"/>
  <c r="X122" i="2"/>
  <c r="W123" i="2" s="1"/>
  <c r="AA122" i="2"/>
  <c r="R123" i="2" l="1"/>
  <c r="Q124" i="2" s="1"/>
  <c r="Z123" i="2"/>
  <c r="Y124" i="2" s="1"/>
  <c r="T123" i="2"/>
  <c r="S124" i="2" s="1"/>
  <c r="I124" i="2"/>
  <c r="J124" i="2" s="1"/>
  <c r="P123" i="2"/>
  <c r="O124" i="2" s="1"/>
  <c r="U123" i="2"/>
  <c r="N123" i="2"/>
  <c r="M124" i="2" s="1"/>
  <c r="L123" i="2"/>
  <c r="K124" i="2" s="1"/>
  <c r="X123" i="2"/>
  <c r="W124" i="2" s="1"/>
  <c r="AA123" i="2"/>
  <c r="R124" i="2" l="1"/>
  <c r="Q125" i="2" s="1"/>
  <c r="I125" i="2"/>
  <c r="J125" i="2" s="1"/>
  <c r="T124" i="2"/>
  <c r="S125" i="2" s="1"/>
  <c r="Z124" i="2"/>
  <c r="Y125" i="2" s="1"/>
  <c r="U124" i="2"/>
  <c r="P124" i="2"/>
  <c r="O125" i="2" s="1"/>
  <c r="N124" i="2"/>
  <c r="M125" i="2" s="1"/>
  <c r="L124" i="2"/>
  <c r="K125" i="2" s="1"/>
  <c r="X124" i="2"/>
  <c r="W125" i="2" s="1"/>
  <c r="AA124" i="2"/>
  <c r="R125" i="2" l="1"/>
  <c r="Q126" i="2" s="1"/>
  <c r="I126" i="2"/>
  <c r="J126" i="2" s="1"/>
  <c r="Z125" i="2"/>
  <c r="Y126" i="2" s="1"/>
  <c r="N125" i="2"/>
  <c r="M126" i="2" s="1"/>
  <c r="T125" i="2"/>
  <c r="S126" i="2" s="1"/>
  <c r="P125" i="2"/>
  <c r="O126" i="2" s="1"/>
  <c r="U125" i="2"/>
  <c r="L125" i="2"/>
  <c r="K126" i="2" s="1"/>
  <c r="X125" i="2"/>
  <c r="W126" i="2" s="1"/>
  <c r="AA125" i="2"/>
  <c r="R126" i="2" l="1"/>
  <c r="Q127" i="2" s="1"/>
  <c r="I127" i="2"/>
  <c r="J127" i="2" s="1"/>
  <c r="N126" i="2"/>
  <c r="M127" i="2" s="1"/>
  <c r="T126" i="2"/>
  <c r="S127" i="2" s="1"/>
  <c r="Z126" i="2"/>
  <c r="Y127" i="2" s="1"/>
  <c r="U126" i="2"/>
  <c r="P126" i="2"/>
  <c r="O127" i="2" s="1"/>
  <c r="L126" i="2"/>
  <c r="K127" i="2" s="1"/>
  <c r="X126" i="2"/>
  <c r="W127" i="2" s="1"/>
  <c r="AA126" i="2"/>
  <c r="R127" i="2" l="1"/>
  <c r="Q128" i="2" s="1"/>
  <c r="I128" i="2"/>
  <c r="J128" i="2" s="1"/>
  <c r="U127" i="2"/>
  <c r="Z127" i="2"/>
  <c r="Y128" i="2" s="1"/>
  <c r="P127" i="2"/>
  <c r="O128" i="2" s="1"/>
  <c r="T127" i="2"/>
  <c r="S128" i="2" s="1"/>
  <c r="L127" i="2"/>
  <c r="K128" i="2" s="1"/>
  <c r="N127" i="2"/>
  <c r="M128" i="2" s="1"/>
  <c r="X127" i="2"/>
  <c r="W128" i="2" s="1"/>
  <c r="AA127" i="2"/>
  <c r="R128" i="2" l="1"/>
  <c r="Q129" i="2" s="1"/>
  <c r="I129" i="2"/>
  <c r="J129" i="2" s="1"/>
  <c r="P128" i="2"/>
  <c r="O129" i="2" s="1"/>
  <c r="T128" i="2"/>
  <c r="S129" i="2" s="1"/>
  <c r="Z128" i="2"/>
  <c r="Y129" i="2" s="1"/>
  <c r="L128" i="2"/>
  <c r="K129" i="2" s="1"/>
  <c r="U128" i="2"/>
  <c r="N128" i="2"/>
  <c r="M129" i="2" s="1"/>
  <c r="X128" i="2"/>
  <c r="W129" i="2" s="1"/>
  <c r="AA128" i="2"/>
  <c r="R129" i="2" l="1"/>
  <c r="Q130" i="2" s="1"/>
  <c r="I130" i="2"/>
  <c r="J130" i="2" s="1"/>
  <c r="T129" i="2"/>
  <c r="S130" i="2" s="1"/>
  <c r="Z129" i="2"/>
  <c r="Y130" i="2" s="1"/>
  <c r="P129" i="2"/>
  <c r="O130" i="2" s="1"/>
  <c r="N129" i="2"/>
  <c r="M130" i="2" s="1"/>
  <c r="L129" i="2"/>
  <c r="K130" i="2" s="1"/>
  <c r="U129" i="2"/>
  <c r="X129" i="2"/>
  <c r="W130" i="2" s="1"/>
  <c r="AA129" i="2"/>
  <c r="R130" i="2" l="1"/>
  <c r="Q131" i="2" s="1"/>
  <c r="Z130" i="2"/>
  <c r="Y131" i="2" s="1"/>
  <c r="I131" i="2"/>
  <c r="J131" i="2" s="1"/>
  <c r="U130" i="2"/>
  <c r="T130" i="2"/>
  <c r="S131" i="2" s="1"/>
  <c r="N130" i="2"/>
  <c r="M131" i="2" s="1"/>
  <c r="P130" i="2"/>
  <c r="O131" i="2" s="1"/>
  <c r="L130" i="2"/>
  <c r="K131" i="2" s="1"/>
  <c r="X130" i="2"/>
  <c r="W131" i="2" s="1"/>
  <c r="AA130" i="2"/>
  <c r="R131" i="2" l="1"/>
  <c r="Q132" i="2" s="1"/>
  <c r="I132" i="2"/>
  <c r="J132" i="2" s="1"/>
  <c r="Z131" i="2"/>
  <c r="Y132" i="2" s="1"/>
  <c r="N131" i="2"/>
  <c r="M132" i="2" s="1"/>
  <c r="P131" i="2"/>
  <c r="O132" i="2" s="1"/>
  <c r="U131" i="2"/>
  <c r="T131" i="2"/>
  <c r="S132" i="2" s="1"/>
  <c r="L131" i="2"/>
  <c r="K132" i="2" s="1"/>
  <c r="X131" i="2"/>
  <c r="W132" i="2" s="1"/>
  <c r="AA131" i="2"/>
  <c r="R132" i="2" l="1"/>
  <c r="Q133" i="2" s="1"/>
  <c r="I133" i="2"/>
  <c r="J133" i="2" s="1"/>
  <c r="Z132" i="2"/>
  <c r="Y133" i="2" s="1"/>
  <c r="P132" i="2"/>
  <c r="O133" i="2" s="1"/>
  <c r="T132" i="2"/>
  <c r="S133" i="2" s="1"/>
  <c r="N132" i="2"/>
  <c r="M133" i="2" s="1"/>
  <c r="U132" i="2"/>
  <c r="L132" i="2"/>
  <c r="K133" i="2" s="1"/>
  <c r="X132" i="2"/>
  <c r="W133" i="2" s="1"/>
  <c r="AA132" i="2"/>
  <c r="R133" i="2" l="1"/>
  <c r="Q134" i="2" s="1"/>
  <c r="I134" i="2"/>
  <c r="J134" i="2" s="1"/>
  <c r="N133" i="2"/>
  <c r="M134" i="2" s="1"/>
  <c r="P133" i="2"/>
  <c r="O134" i="2" s="1"/>
  <c r="T133" i="2"/>
  <c r="S134" i="2" s="1"/>
  <c r="U133" i="2"/>
  <c r="Z133" i="2"/>
  <c r="Y134" i="2" s="1"/>
  <c r="L133" i="2"/>
  <c r="K134" i="2" s="1"/>
  <c r="X133" i="2"/>
  <c r="W134" i="2" s="1"/>
  <c r="AA133" i="2"/>
  <c r="R134" i="2" l="1"/>
  <c r="Q135" i="2" s="1"/>
  <c r="I135" i="2"/>
  <c r="J135" i="2" s="1"/>
  <c r="P134" i="2"/>
  <c r="O135" i="2" s="1"/>
  <c r="Z134" i="2"/>
  <c r="Y135" i="2" s="1"/>
  <c r="T134" i="2"/>
  <c r="S135" i="2" s="1"/>
  <c r="N134" i="2"/>
  <c r="M135" i="2" s="1"/>
  <c r="L134" i="2"/>
  <c r="K135" i="2" s="1"/>
  <c r="U134" i="2"/>
  <c r="X134" i="2"/>
  <c r="W135" i="2" s="1"/>
  <c r="AA134" i="2"/>
  <c r="R135" i="2" l="1"/>
  <c r="Q136" i="2" s="1"/>
  <c r="I136" i="2"/>
  <c r="J136" i="2" s="1"/>
  <c r="Z135" i="2"/>
  <c r="Y136" i="2" s="1"/>
  <c r="T135" i="2"/>
  <c r="S136" i="2" s="1"/>
  <c r="N135" i="2"/>
  <c r="M136" i="2" s="1"/>
  <c r="P135" i="2"/>
  <c r="O136" i="2" s="1"/>
  <c r="U135" i="2"/>
  <c r="L135" i="2"/>
  <c r="K136" i="2" s="1"/>
  <c r="X135" i="2"/>
  <c r="W136" i="2" s="1"/>
  <c r="AA135" i="2"/>
  <c r="R136" i="2" l="1"/>
  <c r="Z136" i="2"/>
  <c r="P136" i="2"/>
  <c r="N136" i="2"/>
  <c r="T136" i="2"/>
  <c r="U136" i="2"/>
  <c r="L136" i="2"/>
  <c r="X136" i="2"/>
  <c r="AA136" i="2"/>
</calcChain>
</file>

<file path=xl/sharedStrings.xml><?xml version="1.0" encoding="utf-8"?>
<sst xmlns="http://schemas.openxmlformats.org/spreadsheetml/2006/main" count="201" uniqueCount="147">
  <si>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</si>
  <si>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</si>
  <si>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</si>
  <si>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</si>
  <si>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</si>
  <si>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</si>
  <si>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</si>
  <si>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</si>
  <si>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</si>
  <si>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</si>
  <si>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</si>
  <si>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</si>
  <si>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</si>
  <si>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</si>
  <si>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</si>
  <si>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</si>
  <si>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</si>
  <si>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</si>
  <si>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</si>
  <si>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</si>
  <si>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</si>
  <si>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</si>
  <si>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</si>
  <si>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</si>
  <si>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</si>
  <si>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</si>
  <si>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</si>
  <si>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</si>
  <si>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</si>
  <si>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</si>
  <si>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</si>
  <si>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</si>
  <si>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</si>
  <si>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</si>
  <si>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</si>
  <si>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</si>
  <si>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</si>
  <si>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</si>
  <si>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</si>
  <si>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</si>
  <si>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</si>
  <si>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</si>
  <si>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</si>
  <si>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</si>
  <si>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</si>
  <si>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</si>
  <si>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</si>
  <si>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</si>
  <si>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</si>
  <si>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</si>
  <si>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</si>
  <si>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</si>
  <si>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</si>
  <si>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</si>
  <si>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</si>
  <si>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</si>
  <si>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</si>
  <si>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</si>
  <si>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</si>
  <si>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</si>
  <si>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</si>
  <si>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</si>
  <si>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</si>
  <si>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</si>
  <si>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</si>
  <si>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</si>
  <si>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</si>
  <si>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</si>
  <si>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</si>
  <si>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</si>
  <si>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</si>
  <si>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</si>
  <si>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</si>
  <si>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</si>
  <si>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</si>
  <si>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</si>
  <si>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</si>
  <si>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</si>
  <si>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</si>
  <si>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</si>
  <si>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</si>
  <si>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</si>
  <si>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</si>
  <si>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</si>
  <si>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</si>
  <si>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</si>
  <si>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</si>
  <si>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</si>
  <si>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</si>
  <si>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</si>
  <si>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</si>
  <si>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</si>
  <si>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</si>
  <si>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</si>
  <si>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</si>
  <si>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</si>
  <si>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</si>
  <si>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</si>
  <si>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</si>
  <si>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</si>
  <si>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</si>
  <si>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</si>
  <si>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</si>
  <si>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</si>
  <si>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</si>
  <si>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</si>
  <si>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</si>
  <si>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</si>
  <si>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</si>
  <si>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</si>
  <si>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</si>
  <si>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</si>
  <si>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</si>
  <si>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</si>
  <si>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</si>
  <si>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</si>
  <si>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</si>
  <si>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</si>
  <si>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</si>
  <si>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</si>
  <si>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</si>
  <si>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</si>
  <si>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</si>
  <si>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</si>
  <si>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</si>
  <si>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</si>
  <si>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</si>
  <si>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</si>
  <si>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</si>
  <si>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</si>
  <si>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</si>
  <si>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</si>
  <si>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</si>
  <si>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</si>
  <si>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</si>
  <si>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</si>
  <si>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</si>
  <si>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</si>
  <si>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</si>
  <si>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</si>
  <si>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</si>
  <si>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</si>
  <si>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Section macro de capture (cm-1)</t>
  </si>
  <si>
    <t>Val</t>
  </si>
  <si>
    <t xml:space="preserve">sensibilité </t>
  </si>
  <si>
    <t>fiss.</t>
  </si>
  <si>
    <t>capt.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</si>
</sst>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3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11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0" fontId="3" fillId="9" borderId="16" xfId="0" applyFont="1" applyFill="1" applyBorder="1" applyAlignment="1">
      <alignment wrapText="1"/>
    </xf>
    <xf numFmtId="0" fontId="0" fillId="9" borderId="34" xfId="0" applyFill="1" applyBorder="1" applyAlignment="1">
      <alignment wrapText="1"/>
    </xf>
    <xf numFmtId="10" fontId="3" fillId="2" borderId="10" xfId="0" applyNumberFormat="1" applyFont="1" applyFill="1" applyBorder="1" applyAlignment="1">
      <alignment horizontal="center" wrapText="1"/>
    </xf>
    <xf numFmtId="0" fontId="3" fillId="13" borderId="0" xfId="0" applyFont="1" applyFill="1" applyAlignment="1">
      <alignment horizontal="center" wrapText="1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1.0025090615880305E+19</c:v>
                </c:pt>
                <c:pt idx="1">
                  <c:v>2.1361606764754811E+21</c:v>
                </c:pt>
                <c:pt idx="2">
                  <c:v>7.575576703572645E+20</c:v>
                </c:pt>
                <c:pt idx="3">
                  <c:v>1.3608115115902766E+20</c:v>
                </c:pt>
                <c:pt idx="4">
                  <c:v>5.4391395777300398E+19</c:v>
                </c:pt>
                <c:pt idx="5">
                  <c:v>3.2965710425138921E+19</c:v>
                </c:pt>
                <c:pt idx="6">
                  <c:v>7.0407740249778143E+19</c:v>
                </c:pt>
                <c:pt idx="7">
                  <c:v>1.628750598637446E+22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24960"/>
        <c:axId val="29226496"/>
      </c:barChart>
      <c:catAx>
        <c:axId val="29224960"/>
        <c:scaling>
          <c:orientation val="minMax"/>
        </c:scaling>
        <c:delete val="0"/>
        <c:axPos val="b"/>
        <c:majorTickMark val="out"/>
        <c:minorTickMark val="none"/>
        <c:tickLblPos val="nextTo"/>
        <c:crossAx val="29226496"/>
        <c:crosses val="autoZero"/>
        <c:auto val="1"/>
        <c:lblAlgn val="ctr"/>
        <c:lblOffset val="100"/>
        <c:noMultiLvlLbl val="0"/>
      </c:catAx>
      <c:valAx>
        <c:axId val="29226496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292249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-1.113320079522917E-3</c:v>
                </c:pt>
                <c:pt idx="1">
                  <c:v>-1.1375270162666817E-3</c:v>
                </c:pt>
                <c:pt idx="2">
                  <c:v>4.3648003103857747E-4</c:v>
                </c:pt>
                <c:pt idx="3">
                  <c:v>-2.0098441345365314E-3</c:v>
                </c:pt>
                <c:pt idx="4">
                  <c:v>5.0118614053262789E-4</c:v>
                </c:pt>
                <c:pt idx="5">
                  <c:v>3.6295245322870429E-4</c:v>
                </c:pt>
                <c:pt idx="6">
                  <c:v>-2.1225644933057231E-3</c:v>
                </c:pt>
                <c:pt idx="7">
                  <c:v>4.8404662982526325E-4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-4.7829654385719289E-3</c:v>
                </c:pt>
                <c:pt idx="1">
                  <c:v>-3.956091729159894E-3</c:v>
                </c:pt>
                <c:pt idx="2">
                  <c:v>-2.6504282303463356E-3</c:v>
                </c:pt>
                <c:pt idx="3">
                  <c:v>-3.3815350389322374E-3</c:v>
                </c:pt>
                <c:pt idx="4">
                  <c:v>-3.4991530712311647E-3</c:v>
                </c:pt>
                <c:pt idx="5">
                  <c:v>-3.0758310658938193E-3</c:v>
                </c:pt>
                <c:pt idx="6">
                  <c:v>-3.8248304904668906E-3</c:v>
                </c:pt>
                <c:pt idx="7">
                  <c:v>4.6170148349984341E-3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32032"/>
        <c:axId val="35933568"/>
      </c:barChart>
      <c:catAx>
        <c:axId val="35932032"/>
        <c:scaling>
          <c:orientation val="minMax"/>
        </c:scaling>
        <c:delete val="0"/>
        <c:axPos val="b"/>
        <c:majorTickMark val="out"/>
        <c:minorTickMark val="none"/>
        <c:tickLblPos val="nextTo"/>
        <c:crossAx val="35933568"/>
        <c:crosses val="autoZero"/>
        <c:auto val="1"/>
        <c:lblAlgn val="ctr"/>
        <c:lblOffset val="100"/>
        <c:noMultiLvlLbl val="0"/>
      </c:catAx>
      <c:valAx>
        <c:axId val="3593356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359320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18.754295882376709</c:v>
                </c:pt>
                <c:pt idx="2">
                  <c:v>18.471221884870278</c:v>
                </c:pt>
                <c:pt idx="3">
                  <c:v>18.192420555800286</c:v>
                </c:pt>
                <c:pt idx="4">
                  <c:v>17.917827404271318</c:v>
                </c:pt>
                <c:pt idx="5">
                  <c:v>17.647378912802036</c:v>
                </c:pt>
                <c:pt idx="6">
                  <c:v>17.381012522632634</c:v>
                </c:pt>
                <c:pt idx="7">
                  <c:v>17.118666619254071</c:v>
                </c:pt>
                <c:pt idx="8">
                  <c:v>16.860280518155722</c:v>
                </c:pt>
                <c:pt idx="9">
                  <c:v>16.605794450788139</c:v>
                </c:pt>
                <c:pt idx="10">
                  <c:v>16.355149550737696</c:v>
                </c:pt>
                <c:pt idx="11">
                  <c:v>16.108287840109927</c:v>
                </c:pt>
                <c:pt idx="12">
                  <c:v>15.865152216118359</c:v>
                </c:pt>
                <c:pt idx="13">
                  <c:v>15.625686437875796</c:v>
                </c:pt>
                <c:pt idx="14">
                  <c:v>15.389835113384963</c:v>
                </c:pt>
                <c:pt idx="15">
                  <c:v>15.157543686725514</c:v>
                </c:pt>
                <c:pt idx="16">
                  <c:v>14.928758425434436</c:v>
                </c:pt>
                <c:pt idx="17">
                  <c:v>14.703426408076929</c:v>
                </c:pt>
                <c:pt idx="18">
                  <c:v>14.481495512004892</c:v>
                </c:pt>
                <c:pt idx="19">
                  <c:v>14.262914401300183</c:v>
                </c:pt>
                <c:pt idx="20">
                  <c:v>14.047632514899849</c:v>
                </c:pt>
                <c:pt idx="21">
                  <c:v>13.835600054900606</c:v>
                </c:pt>
                <c:pt idx="22">
                  <c:v>13.626767975039842</c:v>
                </c:pt>
                <c:pt idx="23">
                  <c:v>13.421087969350484</c:v>
                </c:pt>
                <c:pt idx="24">
                  <c:v>13.218512460987116</c:v>
                </c:pt>
                <c:pt idx="25">
                  <c:v>13.018994591220736</c:v>
                </c:pt>
                <c:pt idx="26">
                  <c:v>12.822488208599646</c:v>
                </c:pt>
                <c:pt idx="27">
                  <c:v>12.628947858273927</c:v>
                </c:pt>
                <c:pt idx="28">
                  <c:v>12.438328771481059</c:v>
                </c:pt>
                <c:pt idx="29">
                  <c:v>12.250586855190241</c:v>
                </c:pt>
                <c:pt idx="30">
                  <c:v>12.065678681903014</c:v>
                </c:pt>
                <c:pt idx="31">
                  <c:v>11.883561479607836</c:v>
                </c:pt>
                <c:pt idx="32">
                  <c:v>11.704193121886282</c:v>
                </c:pt>
                <c:pt idx="33">
                  <c:v>11.527532118168571</c:v>
                </c:pt>
                <c:pt idx="34">
                  <c:v>11.353537604136182</c:v>
                </c:pt>
                <c:pt idx="35">
                  <c:v>11.182169332269336</c:v>
                </c:pt>
                <c:pt idx="36">
                  <c:v>11.013387662537134</c:v>
                </c:pt>
                <c:pt idx="37">
                  <c:v>10.847153553228239</c:v>
                </c:pt>
                <c:pt idx="38">
                  <c:v>10.683428551919937</c:v>
                </c:pt>
                <c:pt idx="39">
                  <c:v>10.52217478658353</c:v>
                </c:pt>
                <c:pt idx="40">
                  <c:v>10.363354956823965</c:v>
                </c:pt>
                <c:pt idx="41">
                  <c:v>10.206932325251701</c:v>
                </c:pt>
                <c:pt idx="42">
                  <c:v>10.052870708984802</c:v>
                </c:pt>
                <c:pt idx="43">
                  <c:v>9.901134471279299</c:v>
                </c:pt>
                <c:pt idx="44">
                  <c:v>9.7516885132858828</c:v>
                </c:pt>
                <c:pt idx="45">
                  <c:v>9.6044982659310172</c:v>
                </c:pt>
                <c:pt idx="46">
                  <c:v>9.4595296819205927</c:v>
                </c:pt>
                <c:pt idx="47">
                  <c:v>9.3167492278642907</c:v>
                </c:pt>
                <c:pt idx="48">
                  <c:v>9.1761238765188011</c:v>
                </c:pt>
                <c:pt idx="49">
                  <c:v>9.0376210991481365</c:v>
                </c:pt>
                <c:pt idx="50">
                  <c:v>8.9012088579992508</c:v>
                </c:pt>
                <c:pt idx="51">
                  <c:v>8.7668555988912278</c:v>
                </c:pt>
                <c:pt idx="52">
                  <c:v>8.6345302439163287</c:v>
                </c:pt>
                <c:pt idx="53">
                  <c:v>8.5042021842512163</c:v>
                </c:pt>
                <c:pt idx="54">
                  <c:v>8.37584127307667</c:v>
                </c:pt>
                <c:pt idx="55">
                  <c:v>8.2494178186041847</c:v>
                </c:pt>
                <c:pt idx="56">
                  <c:v>8.1249025772078163</c:v>
                </c:pt>
                <c:pt idx="57">
                  <c:v>8.0022667466596928</c:v>
                </c:pt>
                <c:pt idx="58">
                  <c:v>7.881481959467636</c:v>
                </c:pt>
                <c:pt idx="59">
                  <c:v>7.7625202763133343</c:v>
                </c:pt>
                <c:pt idx="60">
                  <c:v>7.6453541795895648</c:v>
                </c:pt>
                <c:pt idx="61">
                  <c:v>7.5299565670349606</c:v>
                </c:pt>
                <c:pt idx="62">
                  <c:v>7.416300745464854</c:v>
                </c:pt>
                <c:pt idx="63">
                  <c:v>7.3043604245967471</c:v>
                </c:pt>
                <c:pt idx="64">
                  <c:v>7.1941097109689771</c:v>
                </c:pt>
                <c:pt idx="65">
                  <c:v>7.0855231019511749</c:v>
                </c:pt>
                <c:pt idx="66">
                  <c:v>6.9785754798451247</c:v>
                </c:pt>
                <c:pt idx="67">
                  <c:v>6.8732421060746685</c:v>
                </c:pt>
                <c:pt idx="68">
                  <c:v>6.7694986154633057</c:v>
                </c:pt>
                <c:pt idx="69">
                  <c:v>6.6673210105981635</c:v>
                </c:pt>
                <c:pt idx="70">
                  <c:v>6.5666856562790414</c:v>
                </c:pt>
                <c:pt idx="71">
                  <c:v>6.4675692740512334</c:v>
                </c:pt>
                <c:pt idx="72">
                  <c:v>6.3699489368208795</c:v>
                </c:pt>
                <c:pt idx="73">
                  <c:v>6.2738020635515852</c:v>
                </c:pt>
                <c:pt idx="74">
                  <c:v>6.1791064140410912</c:v>
                </c:pt>
                <c:pt idx="75">
                  <c:v>6.0858400837767865</c:v>
                </c:pt>
                <c:pt idx="76">
                  <c:v>5.993981498868866</c:v>
                </c:pt>
                <c:pt idx="77">
                  <c:v>5.9035094110599706</c:v>
                </c:pt>
                <c:pt idx="78">
                  <c:v>5.8144028928101479</c:v>
                </c:pt>
                <c:pt idx="79">
                  <c:v>5.7266413324560013</c:v>
                </c:pt>
                <c:pt idx="80">
                  <c:v>5.6402044294429068</c:v>
                </c:pt>
                <c:pt idx="81">
                  <c:v>5.5550721896291906</c:v>
                </c:pt>
                <c:pt idx="82">
                  <c:v>5.4712249206611885</c:v>
                </c:pt>
                <c:pt idx="83">
                  <c:v>5.3886432274181102</c:v>
                </c:pt>
                <c:pt idx="84">
                  <c:v>5.3073080075256591</c:v>
                </c:pt>
                <c:pt idx="85">
                  <c:v>5.2272004469373705</c:v>
                </c:pt>
                <c:pt idx="86">
                  <c:v>5.148302015582642</c:v>
                </c:pt>
                <c:pt idx="87">
                  <c:v>5.070594463080452</c:v>
                </c:pt>
                <c:pt idx="88">
                  <c:v>4.994059814517775</c:v>
                </c:pt>
                <c:pt idx="89">
                  <c:v>4.918680366291718</c:v>
                </c:pt>
                <c:pt idx="90">
                  <c:v>4.8444386820144123</c:v>
                </c:pt>
                <c:pt idx="91">
                  <c:v>4.7713175884797181</c:v>
                </c:pt>
                <c:pt idx="92">
                  <c:v>4.6993001716908065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43200"/>
        <c:axId val="29445120"/>
      </c:scatterChart>
      <c:valAx>
        <c:axId val="2944320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29445120"/>
        <c:crosses val="autoZero"/>
        <c:crossBetween val="midCat"/>
      </c:valAx>
      <c:valAx>
        <c:axId val="29445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294432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3456.2842968609007</c:v>
                </c:pt>
                <c:pt idx="2">
                  <c:v>3450.9331037282609</c:v>
                </c:pt>
                <c:pt idx="3">
                  <c:v>3445.529875750376</c:v>
                </c:pt>
                <c:pt idx="4">
                  <c:v>3440.0759613863374</c:v>
                </c:pt>
                <c:pt idx="5">
                  <c:v>3434.5726832683313</c:v>
                </c:pt>
                <c:pt idx="6">
                  <c:v>3429.0213386788773</c:v>
                </c:pt>
                <c:pt idx="7">
                  <c:v>3423.4232000193015</c:v>
                </c:pt>
                <c:pt idx="8">
                  <c:v>3417.7795152696062</c:v>
                </c:pt>
                <c:pt idx="9">
                  <c:v>3412.0915084398935</c:v>
                </c:pt>
                <c:pt idx="10">
                  <c:v>3406.3603800134961</c:v>
                </c:pt>
                <c:pt idx="11">
                  <c:v>3400.5873073819703</c:v>
                </c:pt>
                <c:pt idx="12">
                  <c:v>3394.7734452720988</c:v>
                </c:pt>
                <c:pt idx="13">
                  <c:v>3388.9199261650483</c:v>
                </c:pt>
                <c:pt idx="14">
                  <c:v>3383.0278607078285</c:v>
                </c:pt>
                <c:pt idx="15">
                  <c:v>3377.0983381171918</c:v>
                </c:pt>
                <c:pt idx="16">
                  <c:v>3371.1324265761145</c:v>
                </c:pt>
                <c:pt idx="17">
                  <c:v>3365.1311736229904</c:v>
                </c:pt>
                <c:pt idx="18">
                  <c:v>3359.0956065336777</c:v>
                </c:pt>
                <c:pt idx="19">
                  <c:v>3353.0267326965236</c:v>
                </c:pt>
                <c:pt idx="20">
                  <c:v>3346.9255399804997</c:v>
                </c:pt>
                <c:pt idx="21">
                  <c:v>3340.7929970965729</c:v>
                </c:pt>
                <c:pt idx="22">
                  <c:v>3334.630053952435</c:v>
                </c:pt>
                <c:pt idx="23">
                  <c:v>3328.4376420007143</c:v>
                </c:pt>
                <c:pt idx="24">
                  <c:v>3322.2166745807895</c:v>
                </c:pt>
                <c:pt idx="25">
                  <c:v>3315.9680472543191</c:v>
                </c:pt>
                <c:pt idx="26">
                  <c:v>3309.6926381346061</c:v>
                </c:pt>
                <c:pt idx="27">
                  <c:v>3303.3913082099093</c:v>
                </c:pt>
                <c:pt idx="28">
                  <c:v>3297.0649016608118</c:v>
                </c:pt>
                <c:pt idx="29">
                  <c:v>3290.7142461717553</c:v>
                </c:pt>
                <c:pt idx="30">
                  <c:v>3284.3401532368498</c:v>
                </c:pt>
                <c:pt idx="31">
                  <c:v>3277.9434184600595</c:v>
                </c:pt>
                <c:pt idx="32">
                  <c:v>3271.5248218498728</c:v>
                </c:pt>
                <c:pt idx="33">
                  <c:v>3265.0851281085529</c:v>
                </c:pt>
                <c:pt idx="34">
                  <c:v>3258.6250869160726</c:v>
                </c:pt>
                <c:pt idx="35">
                  <c:v>3252.1454332088274</c:v>
                </c:pt>
                <c:pt idx="36">
                  <c:v>3245.6468874532247</c:v>
                </c:pt>
                <c:pt idx="37">
                  <c:v>3239.130155914243</c:v>
                </c:pt>
                <c:pt idx="38">
                  <c:v>3232.5959309190516</c:v>
                </c:pt>
                <c:pt idx="39">
                  <c:v>3226.0448911157841</c:v>
                </c:pt>
                <c:pt idx="40">
                  <c:v>3219.4777017275519</c:v>
                </c:pt>
                <c:pt idx="41">
                  <c:v>3212.8950148017871</c:v>
                </c:pt>
                <c:pt idx="42">
                  <c:v>3206.2974694550003</c:v>
                </c:pt>
                <c:pt idx="43">
                  <c:v>3199.6856921130352</c:v>
                </c:pt>
                <c:pt idx="44">
                  <c:v>3193.0602967469049</c:v>
                </c:pt>
                <c:pt idx="45">
                  <c:v>3186.4218851042901</c:v>
                </c:pt>
                <c:pt idx="46">
                  <c:v>3179.7710469367812</c:v>
                </c:pt>
                <c:pt idx="47">
                  <c:v>3173.1083602229351</c:v>
                </c:pt>
                <c:pt idx="48">
                  <c:v>3166.434391387234</c:v>
                </c:pt>
                <c:pt idx="49">
                  <c:v>3159.7496955150123</c:v>
                </c:pt>
                <c:pt idx="50">
                  <c:v>3153.0548165634309</c:v>
                </c:pt>
                <c:pt idx="51">
                  <c:v>3146.3502875685695</c:v>
                </c:pt>
                <c:pt idx="52">
                  <c:v>3139.6366308487068</c:v>
                </c:pt>
                <c:pt idx="53">
                  <c:v>3132.9143582038628</c:v>
                </c:pt>
                <c:pt idx="54">
                  <c:v>3126.1839711116663</c:v>
                </c:pt>
                <c:pt idx="55">
                  <c:v>3119.445960919621</c:v>
                </c:pt>
                <c:pt idx="56">
                  <c:v>3112.70080903383</c:v>
                </c:pt>
                <c:pt idx="57">
                  <c:v>3105.9489871042479</c:v>
                </c:pt>
                <c:pt idx="58">
                  <c:v>3099.1909572065242</c:v>
                </c:pt>
                <c:pt idx="59">
                  <c:v>3092.4271720204979</c:v>
                </c:pt>
                <c:pt idx="60">
                  <c:v>3085.6580750054081</c:v>
                </c:pt>
                <c:pt idx="61">
                  <c:v>3078.8841005718778</c:v>
                </c:pt>
                <c:pt idx="62">
                  <c:v>3072.1056742507303</c:v>
                </c:pt>
                <c:pt idx="63">
                  <c:v>3065.3232128587015</c:v>
                </c:pt>
                <c:pt idx="64">
                  <c:v>3058.5371246610962</c:v>
                </c:pt>
                <c:pt idx="65">
                  <c:v>3051.7478095314536</c:v>
                </c:pt>
                <c:pt idx="66">
                  <c:v>3044.9556591082696</c:v>
                </c:pt>
                <c:pt idx="67">
                  <c:v>3038.1610569488339</c:v>
                </c:pt>
                <c:pt idx="68">
                  <c:v>3031.3643786802354</c:v>
                </c:pt>
                <c:pt idx="69">
                  <c:v>3024.5659921475835</c:v>
                </c:pt>
                <c:pt idx="70">
                  <c:v>3017.7662575595036</c:v>
                </c:pt>
                <c:pt idx="71">
                  <c:v>3010.9655276309468</c:v>
                </c:pt>
                <c:pt idx="72">
                  <c:v>3004.1641477233743</c:v>
                </c:pt>
                <c:pt idx="73">
                  <c:v>2997.362455982357</c:v>
                </c:pt>
                <c:pt idx="74">
                  <c:v>2990.5607834726393</c:v>
                </c:pt>
                <c:pt idx="75">
                  <c:v>2983.7594543107148</c:v>
                </c:pt>
                <c:pt idx="76">
                  <c:v>2976.9587857949614</c:v>
                </c:pt>
                <c:pt idx="77">
                  <c:v>2970.1590885333749</c:v>
                </c:pt>
                <c:pt idx="78">
                  <c:v>2963.3606665689517</c:v>
                </c:pt>
                <c:pt idx="79">
                  <c:v>2956.563817502758</c:v>
                </c:pt>
                <c:pt idx="80">
                  <c:v>2949.7688326147336</c:v>
                </c:pt>
                <c:pt idx="81">
                  <c:v>2942.9759969822662</c:v>
                </c:pt>
                <c:pt idx="82">
                  <c:v>2936.1855895965837</c:v>
                </c:pt>
                <c:pt idx="83">
                  <c:v>2929.397883476996</c:v>
                </c:pt>
                <c:pt idx="84">
                  <c:v>2922.6131457830343</c:v>
                </c:pt>
                <c:pt idx="85">
                  <c:v>2915.831637924523</c:v>
                </c:pt>
                <c:pt idx="86">
                  <c:v>2909.0536156696185</c:v>
                </c:pt>
                <c:pt idx="87">
                  <c:v>2902.2793292508604</c:v>
                </c:pt>
                <c:pt idx="88">
                  <c:v>2895.5090234692634</c:v>
                </c:pt>
                <c:pt idx="89">
                  <c:v>2888.7429377964909</c:v>
                </c:pt>
                <c:pt idx="90">
                  <c:v>2881.9813064751443</c:v>
                </c:pt>
                <c:pt idx="91">
                  <c:v>2875.2243586172021</c:v>
                </c:pt>
                <c:pt idx="92">
                  <c:v>2868.4723183006427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525120"/>
        <c:axId val="93527040"/>
      </c:scatterChart>
      <c:valAx>
        <c:axId val="9352512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93527040"/>
        <c:crosses val="autoZero"/>
        <c:crossBetween val="midCat"/>
      </c:valAx>
      <c:valAx>
        <c:axId val="93527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935251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1168.8582312347976</c:v>
                </c:pt>
                <c:pt idx="4">
                  <c:v>1173.5261091910857</c:v>
                </c:pt>
                <c:pt idx="5">
                  <c:v>1178.1400143535529</c:v>
                </c:pt>
                <c:pt idx="6">
                  <c:v>1182.7001459020278</c:v>
                </c:pt>
                <c:pt idx="7">
                  <c:v>1187.2067064956063</c:v>
                </c:pt>
                <c:pt idx="8">
                  <c:v>1191.6599021537545</c:v>
                </c:pt>
                <c:pt idx="9">
                  <c:v>1196.0599421399954</c:v>
                </c:pt>
                <c:pt idx="10">
                  <c:v>1200.4070388481364</c:v>
                </c:pt>
                <c:pt idx="11">
                  <c:v>1204.7014076909829</c:v>
                </c:pt>
                <c:pt idx="12">
                  <c:v>1208.9432669914916</c:v>
                </c:pt>
                <c:pt idx="13">
                  <c:v>1213.1328378763151</c:v>
                </c:pt>
                <c:pt idx="14">
                  <c:v>1217.2703441716919</c:v>
                </c:pt>
                <c:pt idx="15">
                  <c:v>1221.3560123016357</c:v>
                </c:pt>
                <c:pt idx="16">
                  <c:v>1225.390071188378</c:v>
                </c:pt>
                <c:pt idx="17">
                  <c:v>1229.3727521550213</c:v>
                </c:pt>
                <c:pt idx="18">
                  <c:v>1233.3042888303587</c:v>
                </c:pt>
                <c:pt idx="19">
                  <c:v>1237.1849170558176</c:v>
                </c:pt>
                <c:pt idx="20">
                  <c:v>1241.0148747944852</c:v>
                </c:pt>
                <c:pt idx="21">
                  <c:v>1244.7944020421771</c:v>
                </c:pt>
                <c:pt idx="22">
                  <c:v>1248.5237407405052</c:v>
                </c:pt>
                <c:pt idx="23">
                  <c:v>1252.2031346919091</c:v>
                </c:pt>
                <c:pt idx="24">
                  <c:v>1255.8328294766097</c:v>
                </c:pt>
                <c:pt idx="25">
                  <c:v>1259.4130723714488</c:v>
                </c:pt>
                <c:pt idx="26">
                  <c:v>1262.9441122705766</c:v>
                </c:pt>
                <c:pt idx="27">
                  <c:v>1266.4261996079504</c:v>
                </c:pt>
                <c:pt idx="28">
                  <c:v>1269.8595862816096</c:v>
                </c:pt>
                <c:pt idx="29">
                  <c:v>1273.2445255796918</c:v>
                </c:pt>
                <c:pt idx="30">
                  <c:v>1276.5812721081531</c:v>
                </c:pt>
                <c:pt idx="31">
                  <c:v>1279.8700817201634</c:v>
                </c:pt>
                <c:pt idx="32">
                  <c:v>1283.1112114471382</c:v>
                </c:pt>
                <c:pt idx="33">
                  <c:v>1286.3049194313792</c:v>
                </c:pt>
                <c:pt idx="34">
                  <c:v>1289.4514648602876</c:v>
                </c:pt>
                <c:pt idx="35">
                  <c:v>1292.5511079021221</c:v>
                </c:pt>
                <c:pt idx="36">
                  <c:v>1295.6041096432682</c:v>
                </c:pt>
                <c:pt idx="37">
                  <c:v>1298.6107320269905</c:v>
                </c:pt>
                <c:pt idx="38">
                  <c:v>1301.5712377936377</c:v>
                </c:pt>
                <c:pt idx="39">
                  <c:v>1304.4858904222708</c:v>
                </c:pt>
                <c:pt idx="40">
                  <c:v>1307.3549540736869</c:v>
                </c:pt>
                <c:pt idx="41">
                  <c:v>1310.1786935348102</c:v>
                </c:pt>
                <c:pt idx="42">
                  <c:v>1312.9573741644222</c:v>
                </c:pt>
                <c:pt idx="43">
                  <c:v>1315.691261840205</c:v>
                </c:pt>
                <c:pt idx="44">
                  <c:v>1318.3806229070719</c:v>
                </c:pt>
                <c:pt idx="45">
                  <c:v>1321.0257241267575</c:v>
                </c:pt>
                <c:pt idx="46">
                  <c:v>1323.6268326286429</c:v>
                </c:pt>
                <c:pt idx="47">
                  <c:v>1326.1842158617926</c:v>
                </c:pt>
                <c:pt idx="48">
                  <c:v>1328.6981415481753</c:v>
                </c:pt>
                <c:pt idx="49">
                  <c:v>1331.1688776370479</c:v>
                </c:pt>
                <c:pt idx="50">
                  <c:v>1333.5966922604771</c:v>
                </c:pt>
                <c:pt idx="51">
                  <c:v>1335.9818536899766</c:v>
                </c:pt>
                <c:pt idx="52">
                  <c:v>1338.3246302942366</c:v>
                </c:pt>
                <c:pt idx="53">
                  <c:v>1340.6252904979237</c:v>
                </c:pt>
                <c:pt idx="54">
                  <c:v>1342.8841027415297</c:v>
                </c:pt>
                <c:pt idx="55">
                  <c:v>1345.1013354422469</c:v>
                </c:pt>
                <c:pt idx="56">
                  <c:v>1347.2772569558501</c:v>
                </c:pt>
                <c:pt idx="57">
                  <c:v>1349.4121355395648</c:v>
                </c:pt>
                <c:pt idx="58">
                  <c:v>1351.5062393158996</c:v>
                </c:pt>
                <c:pt idx="59">
                  <c:v>1353.5598362374255</c:v>
                </c:pt>
                <c:pt idx="60">
                  <c:v>1355.5731940524813</c:v>
                </c:pt>
                <c:pt idx="61">
                  <c:v>1357.5465802717852</c:v>
                </c:pt>
                <c:pt idx="62">
                  <c:v>1359.4802621359365</c:v>
                </c:pt>
                <c:pt idx="63">
                  <c:v>1361.374506583787</c:v>
                </c:pt>
                <c:pt idx="64">
                  <c:v>1363.229580221664</c:v>
                </c:pt>
                <c:pt idx="65">
                  <c:v>1365.0457492934293</c:v>
                </c:pt>
                <c:pt idx="66">
                  <c:v>1366.8232796513539</c:v>
                </c:pt>
                <c:pt idx="67">
                  <c:v>1368.5624367277953</c:v>
                </c:pt>
                <c:pt idx="68">
                  <c:v>1370.2634855076569</c:v>
                </c:pt>
                <c:pt idx="69">
                  <c:v>1371.9266905016157</c:v>
                </c:pt>
                <c:pt idx="70">
                  <c:v>1373.5523157201005</c:v>
                </c:pt>
                <c:pt idx="71">
                  <c:v>1375.1406246480083</c:v>
                </c:pt>
                <c:pt idx="72">
                  <c:v>1376.691880220138</c:v>
                </c:pt>
                <c:pt idx="73">
                  <c:v>1378.2063447973321</c:v>
                </c:pt>
                <c:pt idx="74">
                  <c:v>1379.684280143307</c:v>
                </c:pt>
                <c:pt idx="75">
                  <c:v>1381.1259474021613</c:v>
                </c:pt>
                <c:pt idx="76">
                  <c:v>1382.5316070765437</c:v>
                </c:pt>
                <c:pt idx="77">
                  <c:v>1383.9015190064704</c:v>
                </c:pt>
                <c:pt idx="78">
                  <c:v>1385.235942348776</c:v>
                </c:pt>
                <c:pt idx="79">
                  <c:v>1386.5351355571854</c:v>
                </c:pt>
                <c:pt idx="80">
                  <c:v>1387.7993563629925</c:v>
                </c:pt>
                <c:pt idx="81">
                  <c:v>1389.0288617563344</c:v>
                </c:pt>
                <c:pt idx="82">
                  <c:v>1390.2239079680473</c:v>
                </c:pt>
                <c:pt idx="83">
                  <c:v>1391.3847504520918</c:v>
                </c:pt>
                <c:pt idx="84">
                  <c:v>1392.5116438685357</c:v>
                </c:pt>
                <c:pt idx="85">
                  <c:v>1393.6048420670816</c:v>
                </c:pt>
                <c:pt idx="86">
                  <c:v>1394.6645980711296</c:v>
                </c:pt>
                <c:pt idx="87">
                  <c:v>1395.6911640623612</c:v>
                </c:pt>
                <c:pt idx="88">
                  <c:v>1396.6847913658339</c:v>
                </c:pt>
                <c:pt idx="89">
                  <c:v>1397.6457304355765</c:v>
                </c:pt>
                <c:pt idx="90">
                  <c:v>1398.5742308406734</c:v>
                </c:pt>
                <c:pt idx="91">
                  <c:v>1399.4705412518265</c:v>
                </c:pt>
                <c:pt idx="92">
                  <c:v>1400.3349094283867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02944"/>
        <c:axId val="93604864"/>
      </c:scatterChart>
      <c:valAx>
        <c:axId val="9360294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93604864"/>
        <c:crosses val="autoZero"/>
        <c:crossBetween val="midCat"/>
      </c:valAx>
      <c:valAx>
        <c:axId val="936048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93602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232.52995403087959</c:v>
                </c:pt>
                <c:pt idx="5">
                  <c:v>230.47772625028944</c:v>
                </c:pt>
                <c:pt idx="6">
                  <c:v>228.49975748898811</c:v>
                </c:pt>
                <c:pt idx="7">
                  <c:v>226.59378517559514</c:v>
                </c:pt>
                <c:pt idx="8">
                  <c:v>224.75761029162518</c:v>
                </c:pt>
                <c:pt idx="9">
                  <c:v>222.9890956203154</c:v>
                </c:pt>
                <c:pt idx="10">
                  <c:v>221.28616404361662</c:v>
                </c:pt>
                <c:pt idx="11">
                  <c:v>219.64679688602118</c:v>
                </c:pt>
                <c:pt idx="12">
                  <c:v>218.06903230393704</c:v>
                </c:pt>
                <c:pt idx="13">
                  <c:v>216.55096371935306</c:v>
                </c:pt>
                <c:pt idx="14">
                  <c:v>215.09073829657535</c:v>
                </c:pt>
                <c:pt idx="15">
                  <c:v>213.68655546084815</c:v>
                </c:pt>
                <c:pt idx="16">
                  <c:v>212.33666545770541</c:v>
                </c:pt>
                <c:pt idx="17">
                  <c:v>211.03936795193098</c:v>
                </c:pt>
                <c:pt idx="18">
                  <c:v>209.7930106650368</c:v>
                </c:pt>
                <c:pt idx="19">
                  <c:v>208.59598805019786</c:v>
                </c:pt>
                <c:pt idx="20">
                  <c:v>207.44674000361266</c:v>
                </c:pt>
                <c:pt idx="21">
                  <c:v>206.34375061128574</c:v>
                </c:pt>
                <c:pt idx="22">
                  <c:v>205.28554693025728</c:v>
                </c:pt>
                <c:pt idx="23">
                  <c:v>204.2706978033309</c:v>
                </c:pt>
                <c:pt idx="24">
                  <c:v>203.29781270637761</c:v>
                </c:pt>
                <c:pt idx="25">
                  <c:v>202.36554062731875</c:v>
                </c:pt>
                <c:pt idx="26">
                  <c:v>201.47256897591626</c:v>
                </c:pt>
                <c:pt idx="27">
                  <c:v>200.6176225235217</c:v>
                </c:pt>
                <c:pt idx="28">
                  <c:v>199.79946237195981</c:v>
                </c:pt>
                <c:pt idx="29">
                  <c:v>199.0168849507443</c:v>
                </c:pt>
                <c:pt idx="30">
                  <c:v>198.26872104184662</c:v>
                </c:pt>
                <c:pt idx="31">
                  <c:v>197.55383483125877</c:v>
                </c:pt>
                <c:pt idx="32">
                  <c:v>196.87112298661347</c:v>
                </c:pt>
                <c:pt idx="33">
                  <c:v>196.2195137601442</c:v>
                </c:pt>
                <c:pt idx="34">
                  <c:v>195.59796611628801</c:v>
                </c:pt>
                <c:pt idx="35">
                  <c:v>195.00546888325334</c:v>
                </c:pt>
                <c:pt idx="36">
                  <c:v>194.44103992789317</c:v>
                </c:pt>
                <c:pt idx="37">
                  <c:v>193.90372535324249</c:v>
                </c:pt>
                <c:pt idx="38">
                  <c:v>193.39259871809696</c:v>
                </c:pt>
                <c:pt idx="39">
                  <c:v>192.90676027802596</c:v>
                </c:pt>
                <c:pt idx="40">
                  <c:v>192.44533624723098</c:v>
                </c:pt>
                <c:pt idx="41">
                  <c:v>192.00747808067587</c:v>
                </c:pt>
                <c:pt idx="42">
                  <c:v>191.59236177593132</c:v>
                </c:pt>
                <c:pt idx="43">
                  <c:v>191.19918719419184</c:v>
                </c:pt>
                <c:pt idx="44">
                  <c:v>190.82717739993768</c:v>
                </c:pt>
                <c:pt idx="45">
                  <c:v>190.47557801872946</c:v>
                </c:pt>
                <c:pt idx="46">
                  <c:v>190.14365661263651</c:v>
                </c:pt>
                <c:pt idx="47">
                  <c:v>189.83070207281463</c:v>
                </c:pt>
                <c:pt idx="48">
                  <c:v>189.53602402876177</c:v>
                </c:pt>
                <c:pt idx="49">
                  <c:v>189.25895227379283</c:v>
                </c:pt>
                <c:pt idx="50">
                  <c:v>188.99883620628833</c:v>
                </c:pt>
                <c:pt idx="51">
                  <c:v>188.75504428628321</c:v>
                </c:pt>
                <c:pt idx="52">
                  <c:v>188.52696350697414</c:v>
                </c:pt>
                <c:pt idx="53">
                  <c:v>188.31399888073551</c:v>
                </c:pt>
                <c:pt idx="54">
                  <c:v>188.11557293924551</c:v>
                </c:pt>
                <c:pt idx="55">
                  <c:v>187.93112524733448</c:v>
                </c:pt>
                <c:pt idx="56">
                  <c:v>187.76011193017862</c:v>
                </c:pt>
                <c:pt idx="57">
                  <c:v>187.60200521347264</c:v>
                </c:pt>
                <c:pt idx="58">
                  <c:v>187.4562929762244</c:v>
                </c:pt>
                <c:pt idx="59">
                  <c:v>187.32247831582544</c:v>
                </c:pt>
                <c:pt idx="60">
                  <c:v>187.20007912505972</c:v>
                </c:pt>
                <c:pt idx="61">
                  <c:v>187.08862768072316</c:v>
                </c:pt>
                <c:pt idx="62">
                  <c:v>186.98767024353478</c:v>
                </c:pt>
                <c:pt idx="63">
                  <c:v>186.89676666902969</c:v>
                </c:pt>
                <c:pt idx="64">
                  <c:v>186.81549002913221</c:v>
                </c:pt>
                <c:pt idx="65">
                  <c:v>186.74342624411614</c:v>
                </c:pt>
                <c:pt idx="66">
                  <c:v>186.68017372466667</c:v>
                </c:pt>
                <c:pt idx="67">
                  <c:v>186.62534302376713</c:v>
                </c:pt>
                <c:pt idx="68">
                  <c:v>186.57855649814047</c:v>
                </c:pt>
                <c:pt idx="69">
                  <c:v>186.5394479789835</c:v>
                </c:pt>
                <c:pt idx="70">
                  <c:v>186.50766245173881</c:v>
                </c:pt>
                <c:pt idx="71">
                  <c:v>186.48285574465623</c:v>
                </c:pt>
                <c:pt idx="72">
                  <c:v>186.464694225903</c:v>
                </c:pt>
                <c:pt idx="73">
                  <c:v>186.45285450898766</c:v>
                </c:pt>
                <c:pt idx="74">
                  <c:v>186.4470231662699</c:v>
                </c:pt>
                <c:pt idx="75">
                  <c:v>186.44689645033441</c:v>
                </c:pt>
                <c:pt idx="76">
                  <c:v>186.45218002301303</c:v>
                </c:pt>
                <c:pt idx="77">
                  <c:v>186.4625886918455</c:v>
                </c:pt>
                <c:pt idx="78">
                  <c:v>186.47784615377475</c:v>
                </c:pt>
                <c:pt idx="79">
                  <c:v>186.49768474587816</c:v>
                </c:pt>
                <c:pt idx="80">
                  <c:v>186.52184520294216</c:v>
                </c:pt>
                <c:pt idx="81">
                  <c:v>186.55007642169238</c:v>
                </c:pt>
                <c:pt idx="82">
                  <c:v>186.58213523149669</c:v>
                </c:pt>
                <c:pt idx="83">
                  <c:v>186.61778617136406</c:v>
                </c:pt>
                <c:pt idx="84">
                  <c:v>186.65680127306626</c:v>
                </c:pt>
                <c:pt idx="85">
                  <c:v>186.69895985021486</c:v>
                </c:pt>
                <c:pt idx="86">
                  <c:v>186.74404829313002</c:v>
                </c:pt>
                <c:pt idx="87">
                  <c:v>186.79185986934266</c:v>
                </c:pt>
                <c:pt idx="88">
                  <c:v>186.84219452957532</c:v>
                </c:pt>
                <c:pt idx="89">
                  <c:v>186.89485871905185</c:v>
                </c:pt>
                <c:pt idx="90">
                  <c:v>186.94966519398957</c:v>
                </c:pt>
                <c:pt idx="91">
                  <c:v>187.00643284313227</c:v>
                </c:pt>
                <c:pt idx="92">
                  <c:v>187.06498651418579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643904"/>
        <c:axId val="93645824"/>
      </c:scatterChart>
      <c:valAx>
        <c:axId val="9364390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93645824"/>
        <c:crosses val="autoZero"/>
        <c:crossBetween val="midCat"/>
      </c:valAx>
      <c:valAx>
        <c:axId val="93645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9364390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84.582404784003813</c:v>
                </c:pt>
                <c:pt idx="6">
                  <c:v>85.030836244935543</c:v>
                </c:pt>
                <c:pt idx="7">
                  <c:v>85.469344938541241</c:v>
                </c:pt>
                <c:pt idx="8">
                  <c:v>85.898237671909513</c:v>
                </c:pt>
                <c:pt idx="9">
                  <c:v>86.317812223969312</c:v>
                </c:pt>
                <c:pt idx="10">
                  <c:v>86.728357593289616</c:v>
                </c:pt>
                <c:pt idx="11">
                  <c:v>87.130154239215528</c:v>
                </c:pt>
                <c:pt idx="12">
                  <c:v>87.523474316520407</c:v>
                </c:pt>
                <c:pt idx="13">
                  <c:v>87.908581903748754</c:v>
                </c:pt>
                <c:pt idx="14">
                  <c:v>88.285733225420017</c:v>
                </c:pt>
                <c:pt idx="15">
                  <c:v>88.655176868258522</c:v>
                </c:pt>
                <c:pt idx="16">
                  <c:v>89.017153991610556</c:v>
                </c:pt>
                <c:pt idx="17">
                  <c:v>89.371898532205179</c:v>
                </c:pt>
                <c:pt idx="18">
                  <c:v>89.719637403410914</c:v>
                </c:pt>
                <c:pt idx="19">
                  <c:v>90.060590689136575</c:v>
                </c:pt>
                <c:pt idx="20">
                  <c:v>90.394971832520326</c:v>
                </c:pt>
                <c:pt idx="21">
                  <c:v>90.7229878195472</c:v>
                </c:pt>
                <c:pt idx="22">
                  <c:v>91.044839357731462</c:v>
                </c:pt>
                <c:pt idx="23">
                  <c:v>91.360721049996613</c:v>
                </c:pt>
                <c:pt idx="24">
                  <c:v>91.670821563882029</c:v>
                </c:pt>
                <c:pt idx="25">
                  <c:v>91.975323796201963</c:v>
                </c:pt>
                <c:pt idx="26">
                  <c:v>92.274405033279066</c:v>
                </c:pt>
                <c:pt idx="27">
                  <c:v>92.568237106871322</c:v>
                </c:pt>
                <c:pt idx="28">
                  <c:v>92.856986545908143</c:v>
                </c:pt>
                <c:pt idx="29">
                  <c:v>93.140814724148058</c:v>
                </c:pt>
                <c:pt idx="30">
                  <c:v>93.419878003867538</c:v>
                </c:pt>
                <c:pt idx="31">
                  <c:v>93.694327875687605</c:v>
                </c:pt>
                <c:pt idx="32">
                  <c:v>93.964311094641673</c:v>
                </c:pt>
                <c:pt idx="33">
                  <c:v>94.229969812585566</c:v>
                </c:pt>
                <c:pt idx="34">
                  <c:v>94.491441707047912</c:v>
                </c:pt>
                <c:pt idx="35">
                  <c:v>94.748860106616206</c:v>
                </c:pt>
                <c:pt idx="36">
                  <c:v>95.002354112951537</c:v>
                </c:pt>
                <c:pt idx="37">
                  <c:v>95.252048719522321</c:v>
                </c:pt>
                <c:pt idx="38">
                  <c:v>95.498064927144981</c:v>
                </c:pt>
                <c:pt idx="39">
                  <c:v>95.740519856417052</c:v>
                </c:pt>
                <c:pt idx="40">
                  <c:v>95.979526857126075</c:v>
                </c:pt>
                <c:pt idx="41">
                  <c:v>96.215195614715157</c:v>
                </c:pt>
                <c:pt idx="42">
                  <c:v>96.447632253884066</c:v>
                </c:pt>
                <c:pt idx="43">
                  <c:v>96.676939439402517</c:v>
                </c:pt>
                <c:pt idx="44">
                  <c:v>96.903216474210268</c:v>
                </c:pt>
                <c:pt idx="45">
                  <c:v>97.126559394876637</c:v>
                </c:pt>
                <c:pt idx="46">
                  <c:v>97.347061064490006</c:v>
                </c:pt>
                <c:pt idx="47">
                  <c:v>97.56481126304611</c:v>
                </c:pt>
                <c:pt idx="48">
                  <c:v>97.779896775401994</c:v>
                </c:pt>
                <c:pt idx="49">
                  <c:v>97.992401476860721</c:v>
                </c:pt>
                <c:pt idx="50">
                  <c:v>98.202406416450032</c:v>
                </c:pt>
                <c:pt idx="51">
                  <c:v>98.409989897956791</c:v>
                </c:pt>
                <c:pt idx="52">
                  <c:v>98.615227558776937</c:v>
                </c:pt>
                <c:pt idx="53">
                  <c:v>98.818192446639529</c:v>
                </c:pt>
                <c:pt idx="54">
                  <c:v>99.018955094261401</c:v>
                </c:pt>
                <c:pt idx="55">
                  <c:v>99.217583591987932</c:v>
                </c:pt>
                <c:pt idx="56">
                  <c:v>99.414143658473478</c:v>
                </c:pt>
                <c:pt idx="57">
                  <c:v>99.60869870945389</c:v>
                </c:pt>
                <c:pt idx="58">
                  <c:v>99.801309924661979</c:v>
                </c:pt>
                <c:pt idx="59">
                  <c:v>99.992036312935568</c:v>
                </c:pt>
                <c:pt idx="60">
                  <c:v>100.18093477556614</c:v>
                </c:pt>
                <c:pt idx="61">
                  <c:v>100.36806016793524</c:v>
                </c:pt>
                <c:pt idx="62">
                  <c:v>100.55346535948404</c:v>
                </c:pt>
                <c:pt idx="63">
                  <c:v>100.73720129206069</c:v>
                </c:pt>
                <c:pt idx="64">
                  <c:v>100.91931703668861</c:v>
                </c:pt>
                <c:pt idx="65">
                  <c:v>101.09985984879776</c:v>
                </c:pt>
                <c:pt idx="66">
                  <c:v>101.27887522195991</c:v>
                </c:pt>
                <c:pt idx="67">
                  <c:v>101.45640694016767</c:v>
                </c:pt>
                <c:pt idx="68">
                  <c:v>101.6324971286962</c:v>
                </c:pt>
                <c:pt idx="69">
                  <c:v>101.80718630358518</c:v>
                </c:pt>
                <c:pt idx="70">
                  <c:v>101.98051341977786</c:v>
                </c:pt>
                <c:pt idx="71">
                  <c:v>102.15251591795294</c:v>
                </c:pt>
                <c:pt idx="72">
                  <c:v>102.32322977008398</c:v>
                </c:pt>
                <c:pt idx="73">
                  <c:v>102.49268952376036</c:v>
                </c:pt>
                <c:pt idx="74">
                  <c:v>102.66092834530257</c:v>
                </c:pt>
                <c:pt idx="75">
                  <c:v>102.82797806170394</c:v>
                </c:pt>
                <c:pt idx="76">
                  <c:v>102.99386920143023</c:v>
                </c:pt>
                <c:pt idx="77">
                  <c:v>103.158631034107</c:v>
                </c:pt>
                <c:pt idx="78">
                  <c:v>103.32229160912489</c:v>
                </c:pt>
                <c:pt idx="79">
                  <c:v>103.48487779319107</c:v>
                </c:pt>
                <c:pt idx="80">
                  <c:v>103.64641530685529</c:v>
                </c:pt>
                <c:pt idx="81">
                  <c:v>103.80692876003742</c:v>
                </c:pt>
                <c:pt idx="82">
                  <c:v>103.96644168658334</c:v>
                </c:pt>
                <c:pt idx="83">
                  <c:v>104.1249765778747</c:v>
                </c:pt>
                <c:pt idx="84">
                  <c:v>104.28255491551802</c:v>
                </c:pt>
                <c:pt idx="85">
                  <c:v>104.43919720313717</c:v>
                </c:pt>
                <c:pt idx="86">
                  <c:v>104.59492299729349</c:v>
                </c:pt>
                <c:pt idx="87">
                  <c:v>104.74975093755643</c:v>
                </c:pt>
                <c:pt idx="88">
                  <c:v>104.90369877574729</c:v>
                </c:pt>
                <c:pt idx="89">
                  <c:v>105.05678340437819</c:v>
                </c:pt>
                <c:pt idx="90">
                  <c:v>105.20902088430749</c:v>
                </c:pt>
                <c:pt idx="91">
                  <c:v>105.36042647163248</c:v>
                </c:pt>
                <c:pt idx="92">
                  <c:v>105.51101464383964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179904"/>
        <c:axId val="95181824"/>
      </c:scatterChart>
      <c:valAx>
        <c:axId val="9517990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95181824"/>
        <c:crosses val="autoZero"/>
        <c:crossBetween val="midCat"/>
      </c:valAx>
      <c:valAx>
        <c:axId val="951818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951799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3"/>
            <c:dispRSqr val="0"/>
            <c:dispEq val="1"/>
            <c:trendlineLbl>
              <c:layout>
                <c:manualLayout>
                  <c:x val="0.1410759647863532"/>
                  <c:y val="-0.12052841719878346"/>
                </c:manualLayout>
              </c:layout>
              <c:numFmt formatCode="General" sourceLinked="0"/>
            </c:trendlineLbl>
          </c:trendline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52.572075145625369</c:v>
                </c:pt>
                <c:pt idx="6">
                  <c:v>52.633386208087515</c:v>
                </c:pt>
                <c:pt idx="7">
                  <c:v>52.685709236802523</c:v>
                </c:pt>
                <c:pt idx="8">
                  <c:v>52.729482945681148</c:v>
                </c:pt>
                <c:pt idx="9">
                  <c:v>52.765129937827837</c:v>
                </c:pt>
                <c:pt idx="10">
                  <c:v>52.793057220753518</c:v>
                </c:pt>
                <c:pt idx="11">
                  <c:v>52.813656706214545</c:v>
                </c:pt>
                <c:pt idx="12">
                  <c:v>52.827305695120479</c:v>
                </c:pt>
                <c:pt idx="13">
                  <c:v>52.834367347940905</c:v>
                </c:pt>
                <c:pt idx="14">
                  <c:v>52.835191141029277</c:v>
                </c:pt>
                <c:pt idx="15">
                  <c:v>52.830113309270047</c:v>
                </c:pt>
                <c:pt idx="16">
                  <c:v>52.819457275443717</c:v>
                </c:pt>
                <c:pt idx="17">
                  <c:v>52.803534066693466</c:v>
                </c:pt>
                <c:pt idx="18">
                  <c:v>52.782642718465901</c:v>
                </c:pt>
                <c:pt idx="19">
                  <c:v>52.757070666288186</c:v>
                </c:pt>
                <c:pt idx="20">
                  <c:v>52.727094125733338</c:v>
                </c:pt>
                <c:pt idx="21">
                  <c:v>52.692978460915654</c:v>
                </c:pt>
                <c:pt idx="22">
                  <c:v>52.654978541848436</c:v>
                </c:pt>
                <c:pt idx="23">
                  <c:v>52.613339090986869</c:v>
                </c:pt>
                <c:pt idx="24">
                  <c:v>52.568295019269627</c:v>
                </c:pt>
                <c:pt idx="25">
                  <c:v>52.520071751964011</c:v>
                </c:pt>
                <c:pt idx="26">
                  <c:v>52.4688855446107</c:v>
                </c:pt>
                <c:pt idx="27">
                  <c:v>52.41494378935576</c:v>
                </c:pt>
                <c:pt idx="28">
                  <c:v>52.358445311949524</c:v>
                </c:pt>
                <c:pt idx="29">
                  <c:v>52.299580659683819</c:v>
                </c:pt>
                <c:pt idx="30">
                  <c:v>52.238532380531517</c:v>
                </c:pt>
                <c:pt idx="31">
                  <c:v>52.17547529374464</c:v>
                </c:pt>
                <c:pt idx="32">
                  <c:v>52.110576752160227</c:v>
                </c:pt>
                <c:pt idx="33">
                  <c:v>52.043996896455859</c:v>
                </c:pt>
                <c:pt idx="34">
                  <c:v>51.975888901589954</c:v>
                </c:pt>
                <c:pt idx="35">
                  <c:v>51.906399215655298</c:v>
                </c:pt>
                <c:pt idx="36">
                  <c:v>51.835667791367605</c:v>
                </c:pt>
                <c:pt idx="37">
                  <c:v>51.763828310404797</c:v>
                </c:pt>
                <c:pt idx="38">
                  <c:v>51.691008400806389</c:v>
                </c:pt>
                <c:pt idx="39">
                  <c:v>51.617329847636391</c:v>
                </c:pt>
                <c:pt idx="40">
                  <c:v>51.542908797107501</c:v>
                </c:pt>
                <c:pt idx="41">
                  <c:v>51.467855954358484</c:v>
                </c:pt>
                <c:pt idx="42">
                  <c:v>51.392276775071387</c:v>
                </c:pt>
                <c:pt idx="43">
                  <c:v>51.316271651109673</c:v>
                </c:pt>
                <c:pt idx="44">
                  <c:v>51.239936090353432</c:v>
                </c:pt>
                <c:pt idx="45">
                  <c:v>51.163360890902553</c:v>
                </c:pt>
                <c:pt idx="46">
                  <c:v>51.086632309814064</c:v>
                </c:pt>
                <c:pt idx="47">
                  <c:v>51.009832226534897</c:v>
                </c:pt>
                <c:pt idx="48">
                  <c:v>50.933038301186912</c:v>
                </c:pt>
                <c:pt idx="49">
                  <c:v>50.85632412785634</c:v>
                </c:pt>
                <c:pt idx="50">
                  <c:v>50.779759383035568</c:v>
                </c:pt>
                <c:pt idx="51">
                  <c:v>50.703409969360933</c:v>
                </c:pt>
                <c:pt idx="52">
                  <c:v>50.62733815478601</c:v>
                </c:pt>
                <c:pt idx="53">
                  <c:v>50.551602707325941</c:v>
                </c:pt>
                <c:pt idx="54">
                  <c:v>50.476259025504405</c:v>
                </c:pt>
                <c:pt idx="55">
                  <c:v>50.401359264631125</c:v>
                </c:pt>
                <c:pt idx="56">
                  <c:v>50.326952459034082</c:v>
                </c:pt>
                <c:pt idx="57">
                  <c:v>50.253084640366971</c:v>
                </c:pt>
                <c:pt idx="58">
                  <c:v>50.179798952109131</c:v>
                </c:pt>
                <c:pt idx="59">
                  <c:v>50.107135760371669</c:v>
                </c:pt>
                <c:pt idx="60">
                  <c:v>50.035132761120252</c:v>
                </c:pt>
                <c:pt idx="61">
                  <c:v>49.963825083921904</c:v>
                </c:pt>
                <c:pt idx="62">
                  <c:v>49.893245392319983</c:v>
                </c:pt>
                <c:pt idx="63">
                  <c:v>49.823423980938593</c:v>
                </c:pt>
                <c:pt idx="64">
                  <c:v>49.754388869414669</c:v>
                </c:pt>
                <c:pt idx="65">
                  <c:v>49.686165893253168</c:v>
                </c:pt>
                <c:pt idx="66">
                  <c:v>49.618778791698141</c:v>
                </c:pt>
                <c:pt idx="67">
                  <c:v>49.552249292709568</c:v>
                </c:pt>
                <c:pt idx="68">
                  <c:v>49.486597195133463</c:v>
                </c:pt>
                <c:pt idx="69">
                  <c:v>49.421840448150043</c:v>
                </c:pt>
                <c:pt idx="70">
                  <c:v>49.357995228082466</c:v>
                </c:pt>
                <c:pt idx="71">
                  <c:v>49.295076012646035</c:v>
                </c:pt>
                <c:pt idx="72">
                  <c:v>49.23309565271569</c:v>
                </c:pt>
                <c:pt idx="73">
                  <c:v>49.172065441687181</c:v>
                </c:pt>
                <c:pt idx="74">
                  <c:v>49.111995182505154</c:v>
                </c:pt>
                <c:pt idx="75">
                  <c:v>49.052893252429342</c:v>
                </c:pt>
                <c:pt idx="76">
                  <c:v>48.994766665607855</c:v>
                </c:pt>
                <c:pt idx="77">
                  <c:v>48.937621133524658</c:v>
                </c:pt>
                <c:pt idx="78">
                  <c:v>48.881461123386295</c:v>
                </c:pt>
                <c:pt idx="79">
                  <c:v>48.826289914511122</c:v>
                </c:pt>
                <c:pt idx="80">
                  <c:v>48.772109652782305</c:v>
                </c:pt>
                <c:pt idx="81">
                  <c:v>48.718921403224229</c:v>
                </c:pt>
                <c:pt idx="82">
                  <c:v>48.666725200760112</c:v>
                </c:pt>
                <c:pt idx="83">
                  <c:v>48.61552009920694</c:v>
                </c:pt>
                <c:pt idx="84">
                  <c:v>48.56530421856224</c:v>
                </c:pt>
                <c:pt idx="85">
                  <c:v>48.516074790635564</c:v>
                </c:pt>
                <c:pt idx="86">
                  <c:v>48.467828203076031</c:v>
                </c:pt>
                <c:pt idx="87">
                  <c:v>48.420560041845789</c:v>
                </c:pt>
                <c:pt idx="88">
                  <c:v>48.374265132187723</c:v>
                </c:pt>
                <c:pt idx="89">
                  <c:v>48.328937578134422</c:v>
                </c:pt>
                <c:pt idx="90">
                  <c:v>48.28457080060393</c:v>
                </c:pt>
                <c:pt idx="91">
                  <c:v>48.241157574126539</c:v>
                </c:pt>
                <c:pt idx="92">
                  <c:v>48.198690062245532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93824"/>
        <c:axId val="95295744"/>
      </c:scatterChart>
      <c:valAx>
        <c:axId val="9529382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95295744"/>
        <c:crosses val="autoZero"/>
        <c:crossBetween val="midCat"/>
      </c:valAx>
      <c:valAx>
        <c:axId val="952957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95293824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136.29276721068064</c:v>
                </c:pt>
                <c:pt idx="2">
                  <c:v>133.66422869958748</c:v>
                </c:pt>
                <c:pt idx="3">
                  <c:v>131.0865309861565</c:v>
                </c:pt>
                <c:pt idx="4">
                  <c:v>128.55869034267218</c:v>
                </c:pt>
                <c:pt idx="5">
                  <c:v>126.07974207656153</c:v>
                </c:pt>
                <c:pt idx="6">
                  <c:v>123.6487401620645</c:v>
                </c:pt>
                <c:pt idx="7">
                  <c:v>121.26475687903151</c:v>
                </c:pt>
                <c:pt idx="8">
                  <c:v>118.92688245871018</c:v>
                </c:pt>
                <c:pt idx="9">
                  <c:v>116.63422473638603</c:v>
                </c:pt>
                <c:pt idx="10">
                  <c:v>114.38590881074454</c:v>
                </c:pt>
                <c:pt idx="11">
                  <c:v>112.18107670982448</c:v>
                </c:pt>
                <c:pt idx="12">
                  <c:v>110.01888706343503</c:v>
                </c:pt>
                <c:pt idx="13">
                  <c:v>107.89851478191152</c:v>
                </c:pt>
                <c:pt idx="14">
                  <c:v>105.81915074108726</c:v>
                </c:pt>
                <c:pt idx="15">
                  <c:v>103.7800014733611</c:v>
                </c:pt>
                <c:pt idx="16">
                  <c:v>101.78028886474273</c:v>
                </c:pt>
                <c:pt idx="17">
                  <c:v>99.819249857760241</c:v>
                </c:pt>
                <c:pt idx="18">
                  <c:v>97.896136160116242</c:v>
                </c:pt>
                <c:pt idx="19">
                  <c:v>96.010213958981552</c:v>
                </c:pt>
                <c:pt idx="20">
                  <c:v>94.160763640817208</c:v>
                </c:pt>
                <c:pt idx="21">
                  <c:v>92.34707951661791</c:v>
                </c:pt>
                <c:pt idx="22">
                  <c:v>90.568469552471981</c:v>
                </c:pt>
                <c:pt idx="23">
                  <c:v>88.824255105334913</c:v>
                </c:pt>
                <c:pt idx="24">
                  <c:v>87.113770663915744</c:v>
                </c:pt>
                <c:pt idx="25">
                  <c:v>85.436363594577145</c:v>
                </c:pt>
                <c:pt idx="26">
                  <c:v>83.791393892152414</c:v>
                </c:pt>
                <c:pt idx="27">
                  <c:v>82.178233935584103</c:v>
                </c:pt>
                <c:pt idx="28">
                  <c:v>80.596268248290983</c:v>
                </c:pt>
                <c:pt idx="29">
                  <c:v>79.044893263171915</c:v>
                </c:pt>
                <c:pt idx="30">
                  <c:v>77.523517092156865</c:v>
                </c:pt>
                <c:pt idx="31">
                  <c:v>76.031559300217069</c:v>
                </c:pt>
                <c:pt idx="32">
                  <c:v>74.568450683748139</c:v>
                </c:pt>
                <c:pt idx="33">
                  <c:v>73.13363305324134</c:v>
                </c:pt>
                <c:pt idx="34">
                  <c:v>71.726559020160238</c:v>
                </c:pt>
                <c:pt idx="35">
                  <c:v>70.346691787941268</c:v>
                </c:pt>
                <c:pt idx="36">
                  <c:v>68.99350494703836</c:v>
                </c:pt>
                <c:pt idx="37">
                  <c:v>67.666482273933497</c:v>
                </c:pt>
                <c:pt idx="38">
                  <c:v>66.365117534036401</c:v>
                </c:pt>
                <c:pt idx="39">
                  <c:v>65.088914288398016</c:v>
                </c:pt>
                <c:pt idx="40">
                  <c:v>63.83738570416422</c:v>
                </c:pt>
                <c:pt idx="41">
                  <c:v>62.610054368697106</c:v>
                </c:pt>
                <c:pt idx="42">
                  <c:v>61.406452107293077</c:v>
                </c:pt>
                <c:pt idx="43">
                  <c:v>60.226119804428066</c:v>
                </c:pt>
                <c:pt idx="44">
                  <c:v>59.068607228461659</c:v>
                </c:pt>
                <c:pt idx="45">
                  <c:v>57.933472859733179</c:v>
                </c:pt>
                <c:pt idx="46">
                  <c:v>56.820283721984111</c:v>
                </c:pt>
                <c:pt idx="47">
                  <c:v>55.728615217042488</c:v>
                </c:pt>
                <c:pt idx="48">
                  <c:v>54.65805096270612</c:v>
                </c:pt>
                <c:pt idx="49">
                  <c:v>53.608182633762794</c:v>
                </c:pt>
                <c:pt idx="50">
                  <c:v>52.57860980608671</c:v>
                </c:pt>
                <c:pt idx="51">
                  <c:v>51.568939803751675</c:v>
                </c:pt>
                <c:pt idx="52">
                  <c:v>50.578787549102607</c:v>
                </c:pt>
                <c:pt idx="53">
                  <c:v>49.607775415728199</c:v>
                </c:pt>
                <c:pt idx="54">
                  <c:v>48.655533084278538</c:v>
                </c:pt>
                <c:pt idx="55">
                  <c:v>47.721697401072625</c:v>
                </c:pt>
                <c:pt idx="56">
                  <c:v>46.805912239441895</c:v>
                </c:pt>
                <c:pt idx="57">
                  <c:v>45.907828363756686</c:v>
                </c:pt>
                <c:pt idx="58">
                  <c:v>45.027103296083816</c:v>
                </c:pt>
                <c:pt idx="59">
                  <c:v>44.163401185424341</c:v>
                </c:pt>
                <c:pt idx="60">
                  <c:v>43.316392679481545</c:v>
                </c:pt>
                <c:pt idx="61">
                  <c:v>42.485754798910243</c:v>
                </c:pt>
                <c:pt idx="62">
                  <c:v>41.671170813999339</c:v>
                </c:pt>
                <c:pt idx="63">
                  <c:v>40.872330123740575</c:v>
                </c:pt>
                <c:pt idx="64">
                  <c:v>40.088928137237325</c:v>
                </c:pt>
                <c:pt idx="65">
                  <c:v>39.32066615740812</c:v>
                </c:pt>
                <c:pt idx="66">
                  <c:v>38.567251266940488</c:v>
                </c:pt>
                <c:pt idx="67">
                  <c:v>37.82839621645163</c:v>
                </c:pt>
                <c:pt idx="68">
                  <c:v>37.103819314813158</c:v>
                </c:pt>
                <c:pt idx="69">
                  <c:v>36.393244321598075</c:v>
                </c:pt>
                <c:pt idx="70">
                  <c:v>35.696400341608879</c:v>
                </c:pt>
                <c:pt idx="71">
                  <c:v>35.013021721446577</c:v>
                </c:pt>
                <c:pt idx="72">
                  <c:v>34.342847948081094</c:v>
                </c:pt>
                <c:pt idx="73">
                  <c:v>33.685623549384331</c:v>
                </c:pt>
                <c:pt idx="74">
                  <c:v>33.041097996587929</c:v>
                </c:pt>
                <c:pt idx="75">
                  <c:v>32.409025608628461</c:v>
                </c:pt>
                <c:pt idx="76">
                  <c:v>31.789165458343572</c:v>
                </c:pt>
                <c:pt idx="77">
                  <c:v>31.181281280483194</c:v>
                </c:pt>
                <c:pt idx="78">
                  <c:v>30.585141381500804</c:v>
                </c:pt>
                <c:pt idx="79">
                  <c:v>30.000518551090163</c:v>
                </c:pt>
                <c:pt idx="80">
                  <c:v>29.427189975433876</c:v>
                </c:pt>
                <c:pt idx="81">
                  <c:v>28.864937152130569</c:v>
                </c:pt>
                <c:pt idx="82">
                  <c:v>28.313545806768236</c:v>
                </c:pt>
                <c:pt idx="83">
                  <c:v>27.772805811111905</c:v>
                </c:pt>
                <c:pt idx="84">
                  <c:v>27.242511102874374</c:v>
                </c:pt>
                <c:pt idx="85">
                  <c:v>26.722459607039383</c:v>
                </c:pt>
                <c:pt idx="86">
                  <c:v>26.212453158707206</c:v>
                </c:pt>
                <c:pt idx="87">
                  <c:v>25.71229742743316</c:v>
                </c:pt>
                <c:pt idx="88">
                  <c:v>25.22180184303021</c:v>
                </c:pt>
                <c:pt idx="89">
                  <c:v>24.740779522807252</c:v>
                </c:pt>
                <c:pt idx="90">
                  <c:v>24.269047200215379</c:v>
                </c:pt>
                <c:pt idx="91">
                  <c:v>23.806425154874841</c:v>
                </c:pt>
                <c:pt idx="92">
                  <c:v>23.352737143955974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389184"/>
        <c:axId val="95391104"/>
      </c:scatterChart>
      <c:valAx>
        <c:axId val="95389184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95391104"/>
        <c:crosses val="autoZero"/>
        <c:crossBetween val="midCat"/>
      </c:valAx>
      <c:valAx>
        <c:axId val="95391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953891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26518.091570463366</c:v>
                </c:pt>
                <c:pt idx="2">
                  <c:v>26449.727287570873</c:v>
                </c:pt>
                <c:pt idx="3">
                  <c:v>26381.539249565416</c:v>
                </c:pt>
                <c:pt idx="4">
                  <c:v>26313.527002081584</c:v>
                </c:pt>
                <c:pt idx="5">
                  <c:v>26245.690091925389</c:v>
                </c:pt>
                <c:pt idx="6">
                  <c:v>26178.028067071238</c:v>
                </c:pt>
                <c:pt idx="7">
                  <c:v>26110.540476658924</c:v>
                </c:pt>
                <c:pt idx="8">
                  <c:v>26043.226870990613</c:v>
                </c:pt>
                <c:pt idx="9">
                  <c:v>25976.086801527854</c:v>
                </c:pt>
                <c:pt idx="10">
                  <c:v>25909.11982088858</c:v>
                </c:pt>
                <c:pt idx="11">
                  <c:v>25842.325482844139</c:v>
                </c:pt>
                <c:pt idx="12">
                  <c:v>25775.703342316305</c:v>
                </c:pt>
                <c:pt idx="13">
                  <c:v>25709.252955374315</c:v>
                </c:pt>
                <c:pt idx="14">
                  <c:v>25642.973879231919</c:v>
                </c:pt>
                <c:pt idx="15">
                  <c:v>25576.86567224441</c:v>
                </c:pt>
                <c:pt idx="16">
                  <c:v>25510.927893905697</c:v>
                </c:pt>
                <c:pt idx="17">
                  <c:v>25445.160104845359</c:v>
                </c:pt>
                <c:pt idx="18">
                  <c:v>25379.561866825723</c:v>
                </c:pt>
                <c:pt idx="19">
                  <c:v>25314.132742738933</c:v>
                </c:pt>
                <c:pt idx="20">
                  <c:v>25248.872296604044</c:v>
                </c:pt>
                <c:pt idx="21">
                  <c:v>25183.780093564113</c:v>
                </c:pt>
                <c:pt idx="22">
                  <c:v>25118.855699883305</c:v>
                </c:pt>
                <c:pt idx="23">
                  <c:v>25054.098682943993</c:v>
                </c:pt>
                <c:pt idx="24">
                  <c:v>24989.50861124388</c:v>
                </c:pt>
                <c:pt idx="25">
                  <c:v>24925.085054393119</c:v>
                </c:pt>
                <c:pt idx="26">
                  <c:v>24860.827583111452</c:v>
                </c:pt>
                <c:pt idx="27">
                  <c:v>24796.735769225343</c:v>
                </c:pt>
                <c:pt idx="28">
                  <c:v>24732.809185665119</c:v>
                </c:pt>
                <c:pt idx="29">
                  <c:v>24669.047406462134</c:v>
                </c:pt>
                <c:pt idx="30">
                  <c:v>24605.450006745923</c:v>
                </c:pt>
                <c:pt idx="31">
                  <c:v>24542.01656274137</c:v>
                </c:pt>
                <c:pt idx="32">
                  <c:v>24478.746651765887</c:v>
                </c:pt>
                <c:pt idx="33">
                  <c:v>24415.639852226595</c:v>
                </c:pt>
                <c:pt idx="34">
                  <c:v>24352.695743617514</c:v>
                </c:pt>
                <c:pt idx="35">
                  <c:v>24289.913906516758</c:v>
                </c:pt>
                <c:pt idx="36">
                  <c:v>24227.293922583744</c:v>
                </c:pt>
                <c:pt idx="37">
                  <c:v>24164.835374556395</c:v>
                </c:pt>
                <c:pt idx="38">
                  <c:v>24102.537846248375</c:v>
                </c:pt>
                <c:pt idx="39">
                  <c:v>24040.400922546298</c:v>
                </c:pt>
                <c:pt idx="40">
                  <c:v>23978.424189406971</c:v>
                </c:pt>
                <c:pt idx="41">
                  <c:v>23916.607233854633</c:v>
                </c:pt>
                <c:pt idx="42">
                  <c:v>23854.949643978201</c:v>
                </c:pt>
                <c:pt idx="43">
                  <c:v>23793.451008928525</c:v>
                </c:pt>
                <c:pt idx="44">
                  <c:v>23732.110918915649</c:v>
                </c:pt>
                <c:pt idx="45">
                  <c:v>23670.928965206083</c:v>
                </c:pt>
                <c:pt idx="46">
                  <c:v>23609.904740120077</c:v>
                </c:pt>
                <c:pt idx="47">
                  <c:v>23549.0378370289</c:v>
                </c:pt>
                <c:pt idx="48">
                  <c:v>23488.327850352136</c:v>
                </c:pt>
                <c:pt idx="49">
                  <c:v>23427.774375554982</c:v>
                </c:pt>
                <c:pt idx="50">
                  <c:v>23367.377009145541</c:v>
                </c:pt>
                <c:pt idx="51">
                  <c:v>23307.135348672149</c:v>
                </c:pt>
                <c:pt idx="52">
                  <c:v>23247.04899272068</c:v>
                </c:pt>
                <c:pt idx="53">
                  <c:v>23187.117540911877</c:v>
                </c:pt>
                <c:pt idx="54">
                  <c:v>23127.340593898676</c:v>
                </c:pt>
                <c:pt idx="55">
                  <c:v>23067.717753363562</c:v>
                </c:pt>
                <c:pt idx="56">
                  <c:v>23008.24862201589</c:v>
                </c:pt>
                <c:pt idx="57">
                  <c:v>22948.932803589261</c:v>
                </c:pt>
                <c:pt idx="58">
                  <c:v>22889.769902838863</c:v>
                </c:pt>
                <c:pt idx="59">
                  <c:v>22830.759525538848</c:v>
                </c:pt>
                <c:pt idx="60">
                  <c:v>22771.901278479698</c:v>
                </c:pt>
                <c:pt idx="61">
                  <c:v>22713.194769465612</c:v>
                </c:pt>
                <c:pt idx="62">
                  <c:v>22654.639607311885</c:v>
                </c:pt>
                <c:pt idx="63">
                  <c:v>22596.235401842303</c:v>
                </c:pt>
                <c:pt idx="64">
                  <c:v>22537.981763886546</c:v>
                </c:pt>
                <c:pt idx="65">
                  <c:v>22479.878305277591</c:v>
                </c:pt>
                <c:pt idx="66">
                  <c:v>22421.92463884913</c:v>
                </c:pt>
                <c:pt idx="67">
                  <c:v>22364.120378432981</c:v>
                </c:pt>
                <c:pt idx="68">
                  <c:v>22306.465138856522</c:v>
                </c:pt>
                <c:pt idx="69">
                  <c:v>22248.958535940124</c:v>
                </c:pt>
                <c:pt idx="70">
                  <c:v>22191.600186494587</c:v>
                </c:pt>
                <c:pt idx="71">
                  <c:v>22134.389708318584</c:v>
                </c:pt>
                <c:pt idx="72">
                  <c:v>22077.326720196128</c:v>
                </c:pt>
                <c:pt idx="73">
                  <c:v>22020.410841894012</c:v>
                </c:pt>
                <c:pt idx="74">
                  <c:v>21963.641694159294</c:v>
                </c:pt>
                <c:pt idx="75">
                  <c:v>21907.018898716753</c:v>
                </c:pt>
                <c:pt idx="76">
                  <c:v>21850.542078266379</c:v>
                </c:pt>
                <c:pt idx="77">
                  <c:v>21794.210856480855</c:v>
                </c:pt>
                <c:pt idx="78">
                  <c:v>21738.024858003049</c:v>
                </c:pt>
                <c:pt idx="79">
                  <c:v>21681.983708443517</c:v>
                </c:pt>
                <c:pt idx="80">
                  <c:v>21626.087034377997</c:v>
                </c:pt>
                <c:pt idx="81">
                  <c:v>21570.334463344934</c:v>
                </c:pt>
                <c:pt idx="82">
                  <c:v>21514.725623842991</c:v>
                </c:pt>
                <c:pt idx="83">
                  <c:v>21459.260145328572</c:v>
                </c:pt>
                <c:pt idx="84">
                  <c:v>21403.937658213355</c:v>
                </c:pt>
                <c:pt idx="85">
                  <c:v>21348.757793861834</c:v>
                </c:pt>
                <c:pt idx="86">
                  <c:v>21293.720184588856</c:v>
                </c:pt>
                <c:pt idx="87">
                  <c:v>21238.824463657165</c:v>
                </c:pt>
                <c:pt idx="88">
                  <c:v>21184.070265274975</c:v>
                </c:pt>
                <c:pt idx="89">
                  <c:v>21129.45722459352</c:v>
                </c:pt>
                <c:pt idx="90">
                  <c:v>21074.984977704622</c:v>
                </c:pt>
                <c:pt idx="91">
                  <c:v>21020.653161638274</c:v>
                </c:pt>
                <c:pt idx="92">
                  <c:v>20966.461414360216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34240"/>
        <c:axId val="95436160"/>
      </c:scatterChart>
      <c:valAx>
        <c:axId val="95434240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95436160"/>
        <c:crosses val="autoZero"/>
        <c:crossBetween val="midCat"/>
      </c:valAx>
      <c:valAx>
        <c:axId val="95436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954342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Eq_de_Bateman_avec_RK1!$F$2:$F$94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Eq_de_Bateman_avec_RK1!$U$2:$U$94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5008.4647466453116</c:v>
                </c:pt>
                <c:pt idx="2">
                  <c:v>5005.9110146688618</c:v>
                </c:pt>
                <c:pt idx="3">
                  <c:v>5003.3144462600267</c:v>
                </c:pt>
                <c:pt idx="4">
                  <c:v>5000.6749071720806</c:v>
                </c:pt>
                <c:pt idx="5">
                  <c:v>4997.9922827146056</c:v>
                </c:pt>
                <c:pt idx="6">
                  <c:v>4995.2664770455494</c:v>
                </c:pt>
                <c:pt idx="7">
                  <c:v>4992.4974124851014</c:v>
                </c:pt>
                <c:pt idx="8">
                  <c:v>4989.685028850733</c:v>
                </c:pt>
                <c:pt idx="9">
                  <c:v>4986.8292828127896</c:v>
                </c:pt>
                <c:pt idx="10">
                  <c:v>4983.9301472700299</c:v>
                </c:pt>
                <c:pt idx="11">
                  <c:v>4980.9876107445152</c:v>
                </c:pt>
                <c:pt idx="12">
                  <c:v>4978.0016767952866</c:v>
                </c:pt>
                <c:pt idx="13">
                  <c:v>4974.9723634502825</c:v>
                </c:pt>
                <c:pt idx="14">
                  <c:v>4971.8997026559291</c:v>
                </c:pt>
                <c:pt idx="15">
                  <c:v>4968.7837397439298</c:v>
                </c:pt>
                <c:pt idx="16">
                  <c:v>4965.6245329146868</c:v>
                </c:pt>
                <c:pt idx="17">
                  <c:v>4962.4221527369191</c:v>
                </c:pt>
                <c:pt idx="18">
                  <c:v>4959.1766816629543</c:v>
                </c:pt>
                <c:pt idx="19">
                  <c:v>4955.8882135592639</c:v>
                </c:pt>
                <c:pt idx="20">
                  <c:v>4952.5568532517509</c:v>
                </c:pt>
                <c:pt idx="21">
                  <c:v>4949.1827160854</c:v>
                </c:pt>
                <c:pt idx="22">
                  <c:v>4945.7659274978178</c:v>
                </c:pt>
                <c:pt idx="23">
                  <c:v>4942.3066226062892</c:v>
                </c:pt>
                <c:pt idx="24">
                  <c:v>4938.8049458079158</c:v>
                </c:pt>
                <c:pt idx="25">
                  <c:v>4935.2610503924743</c:v>
                </c:pt>
                <c:pt idx="26">
                  <c:v>4931.6750981675896</c:v>
                </c:pt>
                <c:pt idx="27">
                  <c:v>4928.0472590958825</c:v>
                </c:pt>
                <c:pt idx="28">
                  <c:v>4924.3777109437196</c:v>
                </c:pt>
                <c:pt idx="29">
                  <c:v>4920.6666389412139</c:v>
                </c:pt>
                <c:pt idx="30">
                  <c:v>4916.9142354531514</c:v>
                </c:pt>
                <c:pt idx="31">
                  <c:v>4913.1206996605224</c:v>
                </c:pt>
                <c:pt idx="32">
                  <c:v>4909.2862372523123</c:v>
                </c:pt>
                <c:pt idx="33">
                  <c:v>4905.4110601272851</c:v>
                </c:pt>
                <c:pt idx="34">
                  <c:v>4901.4953861054228</c:v>
                </c:pt>
                <c:pt idx="35">
                  <c:v>4897.5394386487442</c:v>
                </c:pt>
                <c:pt idx="36">
                  <c:v>4893.5434465912422</c:v>
                </c:pt>
                <c:pt idx="37">
                  <c:v>4889.5076438776314</c:v>
                </c:pt>
                <c:pt idx="38">
                  <c:v>4885.4322693106578</c:v>
                </c:pt>
                <c:pt idx="39">
                  <c:v>4881.3175663067177</c:v>
                </c:pt>
                <c:pt idx="40">
                  <c:v>4877.1637826595279</c:v>
                </c:pt>
                <c:pt idx="41">
                  <c:v>4872.9711703115991</c:v>
                </c:pt>
                <c:pt idx="42">
                  <c:v>4868.7399851332939</c:v>
                </c:pt>
                <c:pt idx="43">
                  <c:v>4864.4704867092232</c:v>
                </c:pt>
                <c:pt idx="44">
                  <c:v>4860.1629381317643</c:v>
                </c:pt>
                <c:pt idx="45">
                  <c:v>4855.8176058014869</c:v>
                </c:pt>
                <c:pt idx="46">
                  <c:v>4851.4347592342856</c:v>
                </c:pt>
                <c:pt idx="47">
                  <c:v>4847.0146708749871</c:v>
                </c:pt>
                <c:pt idx="48">
                  <c:v>4842.5576159172788</c:v>
                </c:pt>
                <c:pt idx="49">
                  <c:v>4838.0638721297173</c:v>
                </c:pt>
                <c:pt idx="50">
                  <c:v>4833.5337196876808</c:v>
                </c:pt>
                <c:pt idx="51">
                  <c:v>4828.9674410110383</c:v>
                </c:pt>
                <c:pt idx="52">
                  <c:v>4824.3653206073968</c:v>
                </c:pt>
                <c:pt idx="53">
                  <c:v>4819.7276449207393</c:v>
                </c:pt>
                <c:pt idx="54">
                  <c:v>4815.0547021852835</c:v>
                </c:pt>
                <c:pt idx="55">
                  <c:v>4810.3467822844259</c:v>
                </c:pt>
                <c:pt idx="56">
                  <c:v>4805.6041766145736</c:v>
                </c:pt>
                <c:pt idx="57">
                  <c:v>4800.8271779537663</c:v>
                </c:pt>
                <c:pt idx="58">
                  <c:v>4796.0160803348872</c:v>
                </c:pt>
                <c:pt idx="59">
                  <c:v>4791.1711789233696</c:v>
                </c:pt>
                <c:pt idx="60">
                  <c:v>4786.2927698992253</c:v>
                </c:pt>
                <c:pt idx="61">
                  <c:v>4781.381150343278</c:v>
                </c:pt>
                <c:pt idx="62">
                  <c:v>4776.4366181274709</c:v>
                </c:pt>
                <c:pt idx="63">
                  <c:v>4771.4594718091139</c:v>
                </c:pt>
                <c:pt idx="64">
                  <c:v>4766.4500105289644</c:v>
                </c:pt>
                <c:pt idx="65">
                  <c:v>4761.4085339130015</c:v>
                </c:pt>
                <c:pt idx="66">
                  <c:v>4756.3353419777941</c:v>
                </c:pt>
                <c:pt idx="67">
                  <c:v>4751.2307350393485</c:v>
                </c:pt>
                <c:pt idx="68">
                  <c:v>4746.095013625325</c:v>
                </c:pt>
                <c:pt idx="69">
                  <c:v>4740.9284783905159</c:v>
                </c:pt>
                <c:pt idx="70">
                  <c:v>4735.7314300354819</c:v>
                </c:pt>
                <c:pt idx="71">
                  <c:v>4730.5041692282612</c:v>
                </c:pt>
                <c:pt idx="72">
                  <c:v>4725.2469965290366</c:v>
                </c:pt>
                <c:pt idx="73">
                  <c:v>4719.9602123176755</c:v>
                </c:pt>
                <c:pt idx="74">
                  <c:v>4714.6441167240646</c:v>
                </c:pt>
                <c:pt idx="75">
                  <c:v>4709.2990095611203</c:v>
                </c:pt>
                <c:pt idx="76">
                  <c:v>4703.9251902604256</c:v>
                </c:pt>
                <c:pt idx="77">
                  <c:v>4698.5229578103826</c:v>
                </c:pt>
                <c:pt idx="78">
                  <c:v>4693.0926106968236</c:v>
                </c:pt>
                <c:pt idx="79">
                  <c:v>4687.6344468459802</c:v>
                </c:pt>
                <c:pt idx="80">
                  <c:v>4682.1487635697486</c:v>
                </c:pt>
                <c:pt idx="81">
                  <c:v>4676.6358575131835</c:v>
                </c:pt>
                <c:pt idx="82">
                  <c:v>4671.0960246041332</c:v>
                </c:pt>
                <c:pt idx="83">
                  <c:v>4665.5295600049512</c:v>
                </c:pt>
                <c:pt idx="84">
                  <c:v>4659.9367580662411</c:v>
                </c:pt>
                <c:pt idx="85">
                  <c:v>4654.3179122825295</c:v>
                </c:pt>
                <c:pt idx="86">
                  <c:v>4648.67331524983</c:v>
                </c:pt>
                <c:pt idx="87">
                  <c:v>4643.0032586250463</c:v>
                </c:pt>
                <c:pt idx="88">
                  <c:v>4637.3080330871253</c:v>
                </c:pt>
                <c:pt idx="89">
                  <c:v>4631.587928299924</c:v>
                </c:pt>
                <c:pt idx="90">
                  <c:v>4625.843232876734</c:v>
                </c:pt>
                <c:pt idx="91">
                  <c:v>4620.074234346399</c:v>
                </c:pt>
                <c:pt idx="92">
                  <c:v>4614.2812191209905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07968"/>
        <c:axId val="95509888"/>
      </c:scatterChart>
      <c:valAx>
        <c:axId val="95507968"/>
        <c:scaling>
          <c:orientation val="minMax"/>
        </c:scaling>
        <c:delete val="0"/>
        <c:axPos val="b"/>
        <c:title>
          <c:tx>
            <c:strRef>
              <c:f>Eq_de_Bateman_avec_RK1!$F$1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95509888"/>
        <c:crosses val="autoZero"/>
        <c:crossBetween val="midCat"/>
      </c:valAx>
      <c:valAx>
        <c:axId val="95509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955079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0"/>
          <c:order val="0"/>
          <c:tx>
            <c:strRef>
              <c:f>Eq_de_Bateman_avec_RK1!$I$1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Eq_de_Bateman_avec_RK1!$I$2:$I$132</c:f>
              <c:numCache>
                <c:formatCode>0.00</c:formatCode>
                <c:ptCount val="131"/>
                <c:pt idx="0">
                  <c:v>19.041708027546772</c:v>
                </c:pt>
                <c:pt idx="1">
                  <c:v>18.754295882376709</c:v>
                </c:pt>
                <c:pt idx="2">
                  <c:v>18.471221884870278</c:v>
                </c:pt>
                <c:pt idx="3">
                  <c:v>18.192420555800286</c:v>
                </c:pt>
                <c:pt idx="4">
                  <c:v>17.917827404271318</c:v>
                </c:pt>
                <c:pt idx="5">
                  <c:v>17.647378912802036</c:v>
                </c:pt>
                <c:pt idx="6">
                  <c:v>17.381012522632634</c:v>
                </c:pt>
                <c:pt idx="7">
                  <c:v>17.118666619254071</c:v>
                </c:pt>
                <c:pt idx="8">
                  <c:v>16.860280518155722</c:v>
                </c:pt>
                <c:pt idx="9">
                  <c:v>16.605794450788139</c:v>
                </c:pt>
                <c:pt idx="10">
                  <c:v>16.355149550737696</c:v>
                </c:pt>
                <c:pt idx="11">
                  <c:v>16.108287840109927</c:v>
                </c:pt>
                <c:pt idx="12">
                  <c:v>15.865152216118359</c:v>
                </c:pt>
                <c:pt idx="13">
                  <c:v>15.625686437875796</c:v>
                </c:pt>
                <c:pt idx="14">
                  <c:v>15.389835113384963</c:v>
                </c:pt>
                <c:pt idx="15">
                  <c:v>15.157543686725514</c:v>
                </c:pt>
                <c:pt idx="16">
                  <c:v>14.928758425434436</c:v>
                </c:pt>
                <c:pt idx="17">
                  <c:v>14.703426408076929</c:v>
                </c:pt>
                <c:pt idx="18">
                  <c:v>14.481495512004892</c:v>
                </c:pt>
                <c:pt idx="19">
                  <c:v>14.262914401300183</c:v>
                </c:pt>
                <c:pt idx="20">
                  <c:v>14.047632514899849</c:v>
                </c:pt>
                <c:pt idx="21">
                  <c:v>13.835600054900606</c:v>
                </c:pt>
                <c:pt idx="22">
                  <c:v>13.626767975039842</c:v>
                </c:pt>
                <c:pt idx="23">
                  <c:v>13.421087969350484</c:v>
                </c:pt>
                <c:pt idx="24">
                  <c:v>13.218512460987116</c:v>
                </c:pt>
                <c:pt idx="25">
                  <c:v>13.018994591220736</c:v>
                </c:pt>
                <c:pt idx="26">
                  <c:v>12.822488208599646</c:v>
                </c:pt>
                <c:pt idx="27">
                  <c:v>12.628947858273927</c:v>
                </c:pt>
                <c:pt idx="28">
                  <c:v>12.438328771481059</c:v>
                </c:pt>
                <c:pt idx="29">
                  <c:v>12.250586855190241</c:v>
                </c:pt>
                <c:pt idx="30">
                  <c:v>12.065678681903014</c:v>
                </c:pt>
                <c:pt idx="31">
                  <c:v>11.883561479607836</c:v>
                </c:pt>
                <c:pt idx="32">
                  <c:v>11.704193121886282</c:v>
                </c:pt>
                <c:pt idx="33">
                  <c:v>11.527532118168571</c:v>
                </c:pt>
                <c:pt idx="34">
                  <c:v>11.353537604136182</c:v>
                </c:pt>
                <c:pt idx="35">
                  <c:v>11.182169332269336</c:v>
                </c:pt>
                <c:pt idx="36">
                  <c:v>11.013387662537134</c:v>
                </c:pt>
                <c:pt idx="37">
                  <c:v>10.847153553228239</c:v>
                </c:pt>
                <c:pt idx="38">
                  <c:v>10.683428551919937</c:v>
                </c:pt>
                <c:pt idx="39">
                  <c:v>10.52217478658353</c:v>
                </c:pt>
                <c:pt idx="40">
                  <c:v>10.363354956823965</c:v>
                </c:pt>
                <c:pt idx="41">
                  <c:v>10.206932325251701</c:v>
                </c:pt>
                <c:pt idx="42">
                  <c:v>10.052870708984802</c:v>
                </c:pt>
                <c:pt idx="43">
                  <c:v>9.901134471279299</c:v>
                </c:pt>
                <c:pt idx="44">
                  <c:v>9.7516885132858828</c:v>
                </c:pt>
                <c:pt idx="45">
                  <c:v>9.6044982659310172</c:v>
                </c:pt>
                <c:pt idx="46">
                  <c:v>9.4595296819205927</c:v>
                </c:pt>
                <c:pt idx="47">
                  <c:v>9.3167492278642907</c:v>
                </c:pt>
                <c:pt idx="48">
                  <c:v>9.1761238765188011</c:v>
                </c:pt>
                <c:pt idx="49">
                  <c:v>9.0376210991481365</c:v>
                </c:pt>
                <c:pt idx="50">
                  <c:v>8.9012088579992508</c:v>
                </c:pt>
                <c:pt idx="51">
                  <c:v>8.7668555988912278</c:v>
                </c:pt>
                <c:pt idx="52">
                  <c:v>8.6345302439163287</c:v>
                </c:pt>
                <c:pt idx="53">
                  <c:v>8.5042021842512163</c:v>
                </c:pt>
                <c:pt idx="54">
                  <c:v>8.37584127307667</c:v>
                </c:pt>
                <c:pt idx="55">
                  <c:v>8.2494178186041847</c:v>
                </c:pt>
                <c:pt idx="56">
                  <c:v>8.1249025772078163</c:v>
                </c:pt>
                <c:pt idx="57">
                  <c:v>8.0022667466596928</c:v>
                </c:pt>
                <c:pt idx="58">
                  <c:v>7.881481959467636</c:v>
                </c:pt>
                <c:pt idx="59">
                  <c:v>7.7625202763133343</c:v>
                </c:pt>
                <c:pt idx="60">
                  <c:v>7.6453541795895648</c:v>
                </c:pt>
                <c:pt idx="61">
                  <c:v>7.5299565670349606</c:v>
                </c:pt>
                <c:pt idx="62">
                  <c:v>7.416300745464854</c:v>
                </c:pt>
                <c:pt idx="63">
                  <c:v>7.3043604245967471</c:v>
                </c:pt>
                <c:pt idx="64">
                  <c:v>7.1941097109689771</c:v>
                </c:pt>
                <c:pt idx="65">
                  <c:v>7.0855231019511749</c:v>
                </c:pt>
                <c:pt idx="66">
                  <c:v>6.9785754798451247</c:v>
                </c:pt>
                <c:pt idx="67">
                  <c:v>6.8732421060746685</c:v>
                </c:pt>
                <c:pt idx="68">
                  <c:v>6.7694986154633057</c:v>
                </c:pt>
                <c:pt idx="69">
                  <c:v>6.6673210105981635</c:v>
                </c:pt>
                <c:pt idx="70">
                  <c:v>6.5666856562790414</c:v>
                </c:pt>
                <c:pt idx="71">
                  <c:v>6.4675692740512334</c:v>
                </c:pt>
                <c:pt idx="72">
                  <c:v>6.3699489368208795</c:v>
                </c:pt>
                <c:pt idx="73">
                  <c:v>6.2738020635515852</c:v>
                </c:pt>
                <c:pt idx="74">
                  <c:v>6.1791064140410912</c:v>
                </c:pt>
                <c:pt idx="75">
                  <c:v>6.0858400837767865</c:v>
                </c:pt>
                <c:pt idx="76">
                  <c:v>5.993981498868866</c:v>
                </c:pt>
                <c:pt idx="77">
                  <c:v>5.9035094110599706</c:v>
                </c:pt>
                <c:pt idx="78">
                  <c:v>5.8144028928101479</c:v>
                </c:pt>
                <c:pt idx="79">
                  <c:v>5.7266413324560013</c:v>
                </c:pt>
                <c:pt idx="80">
                  <c:v>5.6402044294429068</c:v>
                </c:pt>
                <c:pt idx="81">
                  <c:v>5.5550721896291906</c:v>
                </c:pt>
                <c:pt idx="82">
                  <c:v>5.4712249206611885</c:v>
                </c:pt>
                <c:pt idx="83">
                  <c:v>5.3886432274181102</c:v>
                </c:pt>
                <c:pt idx="84">
                  <c:v>5.3073080075256591</c:v>
                </c:pt>
                <c:pt idx="85">
                  <c:v>5.2272004469373705</c:v>
                </c:pt>
                <c:pt idx="86">
                  <c:v>5.148302015582642</c:v>
                </c:pt>
                <c:pt idx="87">
                  <c:v>5.070594463080452</c:v>
                </c:pt>
                <c:pt idx="88">
                  <c:v>4.994059814517775</c:v>
                </c:pt>
                <c:pt idx="89">
                  <c:v>4.918680366291718</c:v>
                </c:pt>
                <c:pt idx="90">
                  <c:v>4.8444386820144123</c:v>
                </c:pt>
                <c:pt idx="91">
                  <c:v>4.7713175884797181</c:v>
                </c:pt>
                <c:pt idx="92">
                  <c:v>4.6993001716908065</c:v>
                </c:pt>
                <c:pt idx="93">
                  <c:v>4.6283697729477007</c:v>
                </c:pt>
                <c:pt idx="94">
                  <c:v>4.5585099849938704</c:v>
                </c:pt>
                <c:pt idx="95">
                  <c:v>4.4897046482209886</c:v>
                </c:pt>
                <c:pt idx="96">
                  <c:v>4.4219378469309767</c:v>
                </c:pt>
                <c:pt idx="97">
                  <c:v>4.3551939056544624</c:v>
                </c:pt>
                <c:pt idx="98">
                  <c:v>4.2894573855248135</c:v>
                </c:pt>
                <c:pt idx="99">
                  <c:v>4.2247130807068967</c:v>
                </c:pt>
                <c:pt idx="100">
                  <c:v>4.1609460148797446</c:v>
                </c:pt>
                <c:pt idx="101">
                  <c:v>4.0981414377723056</c:v>
                </c:pt>
                <c:pt idx="102">
                  <c:v>4.0362848217514893</c:v>
                </c:pt>
                <c:pt idx="103">
                  <c:v>3.9753618584617083</c:v>
                </c:pt>
                <c:pt idx="104">
                  <c:v>3.9153584555151437</c:v>
                </c:pt>
                <c:pt idx="105">
                  <c:v>3.8562607332319643</c:v>
                </c:pt>
                <c:pt idx="106">
                  <c:v>3.798055021429751</c:v>
                </c:pt>
                <c:pt idx="107">
                  <c:v>3.740727856261381</c:v>
                </c:pt>
                <c:pt idx="108">
                  <c:v>3.6842659771006381</c:v>
                </c:pt>
                <c:pt idx="109">
                  <c:v>3.6286563234748339</c:v>
                </c:pt>
                <c:pt idx="110">
                  <c:v>3.5738860320437253</c:v>
                </c:pt>
                <c:pt idx="111">
                  <c:v>3.5199424336240335</c:v>
                </c:pt>
                <c:pt idx="112">
                  <c:v>3.4668130502588714</c:v>
                </c:pt>
                <c:pt idx="113">
                  <c:v>3.4144855923314092</c:v>
                </c:pt>
                <c:pt idx="114">
                  <c:v>3.3629479557221016</c:v>
                </c:pt>
                <c:pt idx="115">
                  <c:v>3.3121882190088248</c:v>
                </c:pt>
                <c:pt idx="116">
                  <c:v>3.2621946407092746</c:v>
                </c:pt>
                <c:pt idx="117">
                  <c:v>3.2129556565649868</c:v>
                </c:pt>
                <c:pt idx="118">
                  <c:v>3.1644598768663523</c:v>
                </c:pt>
                <c:pt idx="119">
                  <c:v>3.1166960838180073</c:v>
                </c:pt>
                <c:pt idx="120">
                  <c:v>3.0696532289439915</c:v>
                </c:pt>
                <c:pt idx="121">
                  <c:v>3.0233204305320696</c:v>
                </c:pt>
                <c:pt idx="122">
                  <c:v>2.9776869711166305</c:v>
                </c:pt>
                <c:pt idx="123">
                  <c:v>2.9327422949995774</c:v>
                </c:pt>
                <c:pt idx="124">
                  <c:v>2.8884760058086387</c:v>
                </c:pt>
                <c:pt idx="125">
                  <c:v>2.8448778640925316</c:v>
                </c:pt>
                <c:pt idx="126">
                  <c:v>2.801937784952425</c:v>
                </c:pt>
                <c:pt idx="127">
                  <c:v>2.759645835709152</c:v>
                </c:pt>
                <c:pt idx="128">
                  <c:v>2.7179922336056341</c:v>
                </c:pt>
                <c:pt idx="129">
                  <c:v>2.6769673435439829</c:v>
                </c:pt>
                <c:pt idx="130">
                  <c:v>2.6365616758567598</c:v>
                </c:pt>
              </c:numCache>
            </c:numRef>
          </c:val>
        </c:ser>
        <c:ser>
          <c:idx val="1"/>
          <c:order val="1"/>
          <c:tx>
            <c:strRef>
              <c:f>Eq_de_Bateman_avec_RK1!$K$1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3456.2842968609007</c:v>
                </c:pt>
                <c:pt idx="2">
                  <c:v>3450.9331037282609</c:v>
                </c:pt>
                <c:pt idx="3">
                  <c:v>3445.529875750376</c:v>
                </c:pt>
                <c:pt idx="4">
                  <c:v>3440.0759613863374</c:v>
                </c:pt>
                <c:pt idx="5">
                  <c:v>3434.5726832683313</c:v>
                </c:pt>
                <c:pt idx="6">
                  <c:v>3429.0213386788773</c:v>
                </c:pt>
                <c:pt idx="7">
                  <c:v>3423.4232000193015</c:v>
                </c:pt>
                <c:pt idx="8">
                  <c:v>3417.7795152696062</c:v>
                </c:pt>
                <c:pt idx="9">
                  <c:v>3412.0915084398935</c:v>
                </c:pt>
                <c:pt idx="10">
                  <c:v>3406.3603800134961</c:v>
                </c:pt>
                <c:pt idx="11">
                  <c:v>3400.5873073819703</c:v>
                </c:pt>
                <c:pt idx="12">
                  <c:v>3394.7734452720988</c:v>
                </c:pt>
                <c:pt idx="13">
                  <c:v>3388.9199261650483</c:v>
                </c:pt>
                <c:pt idx="14">
                  <c:v>3383.0278607078285</c:v>
                </c:pt>
                <c:pt idx="15">
                  <c:v>3377.0983381171918</c:v>
                </c:pt>
                <c:pt idx="16">
                  <c:v>3371.1324265761145</c:v>
                </c:pt>
                <c:pt idx="17">
                  <c:v>3365.1311736229904</c:v>
                </c:pt>
                <c:pt idx="18">
                  <c:v>3359.0956065336777</c:v>
                </c:pt>
                <c:pt idx="19">
                  <c:v>3353.0267326965236</c:v>
                </c:pt>
                <c:pt idx="20">
                  <c:v>3346.9255399804997</c:v>
                </c:pt>
                <c:pt idx="21">
                  <c:v>3340.7929970965729</c:v>
                </c:pt>
                <c:pt idx="22">
                  <c:v>3334.630053952435</c:v>
                </c:pt>
                <c:pt idx="23">
                  <c:v>3328.4376420007143</c:v>
                </c:pt>
                <c:pt idx="24">
                  <c:v>3322.2166745807895</c:v>
                </c:pt>
                <c:pt idx="25">
                  <c:v>3315.9680472543191</c:v>
                </c:pt>
                <c:pt idx="26">
                  <c:v>3309.6926381346061</c:v>
                </c:pt>
                <c:pt idx="27">
                  <c:v>3303.3913082099093</c:v>
                </c:pt>
                <c:pt idx="28">
                  <c:v>3297.0649016608118</c:v>
                </c:pt>
                <c:pt idx="29">
                  <c:v>3290.7142461717553</c:v>
                </c:pt>
                <c:pt idx="30">
                  <c:v>3284.3401532368498</c:v>
                </c:pt>
                <c:pt idx="31">
                  <c:v>3277.9434184600595</c:v>
                </c:pt>
                <c:pt idx="32">
                  <c:v>3271.5248218498728</c:v>
                </c:pt>
                <c:pt idx="33">
                  <c:v>3265.0851281085529</c:v>
                </c:pt>
                <c:pt idx="34">
                  <c:v>3258.6250869160726</c:v>
                </c:pt>
                <c:pt idx="35">
                  <c:v>3252.1454332088274</c:v>
                </c:pt>
                <c:pt idx="36">
                  <c:v>3245.6468874532247</c:v>
                </c:pt>
                <c:pt idx="37">
                  <c:v>3239.130155914243</c:v>
                </c:pt>
                <c:pt idx="38">
                  <c:v>3232.5959309190516</c:v>
                </c:pt>
                <c:pt idx="39">
                  <c:v>3226.0448911157841</c:v>
                </c:pt>
                <c:pt idx="40">
                  <c:v>3219.4777017275519</c:v>
                </c:pt>
                <c:pt idx="41">
                  <c:v>3212.8950148017871</c:v>
                </c:pt>
                <c:pt idx="42">
                  <c:v>3206.2974694550003</c:v>
                </c:pt>
                <c:pt idx="43">
                  <c:v>3199.6856921130352</c:v>
                </c:pt>
                <c:pt idx="44">
                  <c:v>3193.0602967469049</c:v>
                </c:pt>
                <c:pt idx="45">
                  <c:v>3186.4218851042901</c:v>
                </c:pt>
                <c:pt idx="46">
                  <c:v>3179.7710469367812</c:v>
                </c:pt>
                <c:pt idx="47">
                  <c:v>3173.1083602229351</c:v>
                </c:pt>
                <c:pt idx="48">
                  <c:v>3166.434391387234</c:v>
                </c:pt>
                <c:pt idx="49">
                  <c:v>3159.7496955150123</c:v>
                </c:pt>
                <c:pt idx="50">
                  <c:v>3153.0548165634309</c:v>
                </c:pt>
                <c:pt idx="51">
                  <c:v>3146.3502875685695</c:v>
                </c:pt>
                <c:pt idx="52">
                  <c:v>3139.6366308487068</c:v>
                </c:pt>
                <c:pt idx="53">
                  <c:v>3132.9143582038628</c:v>
                </c:pt>
                <c:pt idx="54">
                  <c:v>3126.1839711116663</c:v>
                </c:pt>
                <c:pt idx="55">
                  <c:v>3119.445960919621</c:v>
                </c:pt>
                <c:pt idx="56">
                  <c:v>3112.70080903383</c:v>
                </c:pt>
                <c:pt idx="57">
                  <c:v>3105.9489871042479</c:v>
                </c:pt>
                <c:pt idx="58">
                  <c:v>3099.1909572065242</c:v>
                </c:pt>
                <c:pt idx="59">
                  <c:v>3092.4271720204979</c:v>
                </c:pt>
                <c:pt idx="60">
                  <c:v>3085.6580750054081</c:v>
                </c:pt>
                <c:pt idx="61">
                  <c:v>3078.8841005718778</c:v>
                </c:pt>
                <c:pt idx="62">
                  <c:v>3072.1056742507303</c:v>
                </c:pt>
                <c:pt idx="63">
                  <c:v>3065.3232128587015</c:v>
                </c:pt>
                <c:pt idx="64">
                  <c:v>3058.5371246610962</c:v>
                </c:pt>
                <c:pt idx="65">
                  <c:v>3051.7478095314536</c:v>
                </c:pt>
                <c:pt idx="66">
                  <c:v>3044.9556591082696</c:v>
                </c:pt>
                <c:pt idx="67">
                  <c:v>3038.1610569488339</c:v>
                </c:pt>
                <c:pt idx="68">
                  <c:v>3031.3643786802354</c:v>
                </c:pt>
                <c:pt idx="69">
                  <c:v>3024.5659921475835</c:v>
                </c:pt>
                <c:pt idx="70">
                  <c:v>3017.7662575595036</c:v>
                </c:pt>
                <c:pt idx="71">
                  <c:v>3010.9655276309468</c:v>
                </c:pt>
                <c:pt idx="72">
                  <c:v>3004.1641477233743</c:v>
                </c:pt>
                <c:pt idx="73">
                  <c:v>2997.362455982357</c:v>
                </c:pt>
                <c:pt idx="74">
                  <c:v>2990.5607834726393</c:v>
                </c:pt>
                <c:pt idx="75">
                  <c:v>2983.7594543107148</c:v>
                </c:pt>
                <c:pt idx="76">
                  <c:v>2976.9587857949614</c:v>
                </c:pt>
                <c:pt idx="77">
                  <c:v>2970.1590885333749</c:v>
                </c:pt>
                <c:pt idx="78">
                  <c:v>2963.3606665689517</c:v>
                </c:pt>
                <c:pt idx="79">
                  <c:v>2956.563817502758</c:v>
                </c:pt>
                <c:pt idx="80">
                  <c:v>2949.7688326147336</c:v>
                </c:pt>
                <c:pt idx="81">
                  <c:v>2942.9759969822662</c:v>
                </c:pt>
                <c:pt idx="82">
                  <c:v>2936.1855895965837</c:v>
                </c:pt>
                <c:pt idx="83">
                  <c:v>2929.397883476996</c:v>
                </c:pt>
                <c:pt idx="84">
                  <c:v>2922.6131457830343</c:v>
                </c:pt>
                <c:pt idx="85">
                  <c:v>2915.831637924523</c:v>
                </c:pt>
                <c:pt idx="86">
                  <c:v>2909.0536156696185</c:v>
                </c:pt>
                <c:pt idx="87">
                  <c:v>2902.2793292508604</c:v>
                </c:pt>
                <c:pt idx="88">
                  <c:v>2895.5090234692634</c:v>
                </c:pt>
                <c:pt idx="89">
                  <c:v>2888.7429377964909</c:v>
                </c:pt>
                <c:pt idx="90">
                  <c:v>2881.9813064751443</c:v>
                </c:pt>
                <c:pt idx="91">
                  <c:v>2875.2243586172021</c:v>
                </c:pt>
                <c:pt idx="92">
                  <c:v>2868.4723183006427</c:v>
                </c:pt>
                <c:pt idx="93">
                  <c:v>2861.7254046642861</c:v>
                </c:pt>
                <c:pt idx="94">
                  <c:v>2854.9838320008835</c:v>
                </c:pt>
                <c:pt idx="95">
                  <c:v>2848.2478098484917</c:v>
                </c:pt>
                <c:pt idx="96">
                  <c:v>2841.5175430801601</c:v>
                </c:pt>
                <c:pt idx="97">
                  <c:v>2834.7932319919619</c:v>
                </c:pt>
                <c:pt idx="98">
                  <c:v>2828.0750723894025</c:v>
                </c:pt>
                <c:pt idx="99">
                  <c:v>2821.3632556722323</c:v>
                </c:pt>
                <c:pt idx="100">
                  <c:v>2814.657968917692</c:v>
                </c:pt>
                <c:pt idx="101">
                  <c:v>2807.9593949622249</c:v>
                </c:pt>
                <c:pt idx="102">
                  <c:v>2801.2677124816778</c:v>
                </c:pt>
                <c:pt idx="103">
                  <c:v>2794.5830960700214</c:v>
                </c:pt>
                <c:pt idx="104">
                  <c:v>2787.9057163166181</c:v>
                </c:pt>
                <c:pt idx="105">
                  <c:v>2781.2357398820623</c:v>
                </c:pt>
                <c:pt idx="106">
                  <c:v>2774.5733295726209</c:v>
                </c:pt>
                <c:pt idx="107">
                  <c:v>2767.918644413297</c:v>
                </c:pt>
                <c:pt idx="108">
                  <c:v>2761.2718397195454</c:v>
                </c:pt>
                <c:pt idx="109">
                  <c:v>2754.6330671676637</c:v>
                </c:pt>
                <c:pt idx="110">
                  <c:v>2748.0024748638812</c:v>
                </c:pt>
                <c:pt idx="111">
                  <c:v>2741.3802074121727</c:v>
                </c:pt>
                <c:pt idx="112">
                  <c:v>2734.7664059808185</c:v>
                </c:pt>
                <c:pt idx="113">
                  <c:v>2728.1612083677346</c:v>
                </c:pt>
                <c:pt idx="114">
                  <c:v>2721.5647490645952</c:v>
                </c:pt>
                <c:pt idx="115">
                  <c:v>2714.9771593197697</c:v>
                </c:pt>
                <c:pt idx="116">
                  <c:v>2708.3985672000977</c:v>
                </c:pt>
                <c:pt idx="117">
                  <c:v>2701.8290976515186</c:v>
                </c:pt>
                <c:pt idx="118">
                  <c:v>2695.2688725585849</c:v>
                </c:pt>
                <c:pt idx="119">
                  <c:v>2688.7180108028701</c:v>
                </c:pt>
                <c:pt idx="120">
                  <c:v>2682.1766283203001</c:v>
                </c:pt>
                <c:pt idx="121">
                  <c:v>2675.6448381574219</c:v>
                </c:pt>
                <c:pt idx="122">
                  <c:v>2669.1227505266329</c:v>
                </c:pt>
                <c:pt idx="123">
                  <c:v>2662.6104728603868</c:v>
                </c:pt>
                <c:pt idx="124">
                  <c:v>2656.108109864399</c:v>
                </c:pt>
                <c:pt idx="125">
                  <c:v>2649.6157635698646</c:v>
                </c:pt>
                <c:pt idx="126">
                  <c:v>2643.1335333847128</c:v>
                </c:pt>
                <c:pt idx="127">
                  <c:v>2636.6615161439108</c:v>
                </c:pt>
                <c:pt idx="128">
                  <c:v>2630.1998061588361</c:v>
                </c:pt>
                <c:pt idx="129">
                  <c:v>2623.7484952657369</c:v>
                </c:pt>
                <c:pt idx="130">
                  <c:v>2617.307672873294</c:v>
                </c:pt>
              </c:numCache>
            </c:numRef>
          </c:val>
        </c:ser>
        <c:ser>
          <c:idx val="2"/>
          <c:order val="2"/>
          <c:tx>
            <c:strRef>
              <c:f>Eq_de_Bateman_avec_RK1!$M$1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1168.8582312347976</c:v>
                </c:pt>
                <c:pt idx="4">
                  <c:v>1173.5261091910857</c:v>
                </c:pt>
                <c:pt idx="5">
                  <c:v>1178.1400143535529</c:v>
                </c:pt>
                <c:pt idx="6">
                  <c:v>1182.7001459020278</c:v>
                </c:pt>
                <c:pt idx="7">
                  <c:v>1187.2067064956063</c:v>
                </c:pt>
                <c:pt idx="8">
                  <c:v>1191.6599021537545</c:v>
                </c:pt>
                <c:pt idx="9">
                  <c:v>1196.0599421399954</c:v>
                </c:pt>
                <c:pt idx="10">
                  <c:v>1200.4070388481364</c:v>
                </c:pt>
                <c:pt idx="11">
                  <c:v>1204.7014076909829</c:v>
                </c:pt>
                <c:pt idx="12">
                  <c:v>1208.9432669914916</c:v>
                </c:pt>
                <c:pt idx="13">
                  <c:v>1213.1328378763151</c:v>
                </c:pt>
                <c:pt idx="14">
                  <c:v>1217.2703441716919</c:v>
                </c:pt>
                <c:pt idx="15">
                  <c:v>1221.3560123016357</c:v>
                </c:pt>
                <c:pt idx="16">
                  <c:v>1225.390071188378</c:v>
                </c:pt>
                <c:pt idx="17">
                  <c:v>1229.3727521550213</c:v>
                </c:pt>
                <c:pt idx="18">
                  <c:v>1233.3042888303587</c:v>
                </c:pt>
                <c:pt idx="19">
                  <c:v>1237.1849170558176</c:v>
                </c:pt>
                <c:pt idx="20">
                  <c:v>1241.0148747944852</c:v>
                </c:pt>
                <c:pt idx="21">
                  <c:v>1244.7944020421771</c:v>
                </c:pt>
                <c:pt idx="22">
                  <c:v>1248.5237407405052</c:v>
                </c:pt>
                <c:pt idx="23">
                  <c:v>1252.2031346919091</c:v>
                </c:pt>
                <c:pt idx="24">
                  <c:v>1255.8328294766097</c:v>
                </c:pt>
                <c:pt idx="25">
                  <c:v>1259.4130723714488</c:v>
                </c:pt>
                <c:pt idx="26">
                  <c:v>1262.9441122705766</c:v>
                </c:pt>
                <c:pt idx="27">
                  <c:v>1266.4261996079504</c:v>
                </c:pt>
                <c:pt idx="28">
                  <c:v>1269.8595862816096</c:v>
                </c:pt>
                <c:pt idx="29">
                  <c:v>1273.2445255796918</c:v>
                </c:pt>
                <c:pt idx="30">
                  <c:v>1276.5812721081531</c:v>
                </c:pt>
                <c:pt idx="31">
                  <c:v>1279.8700817201634</c:v>
                </c:pt>
                <c:pt idx="32">
                  <c:v>1283.1112114471382</c:v>
                </c:pt>
                <c:pt idx="33">
                  <c:v>1286.3049194313792</c:v>
                </c:pt>
                <c:pt idx="34">
                  <c:v>1289.4514648602876</c:v>
                </c:pt>
                <c:pt idx="35">
                  <c:v>1292.5511079021221</c:v>
                </c:pt>
                <c:pt idx="36">
                  <c:v>1295.6041096432682</c:v>
                </c:pt>
                <c:pt idx="37">
                  <c:v>1298.6107320269905</c:v>
                </c:pt>
                <c:pt idx="38">
                  <c:v>1301.5712377936377</c:v>
                </c:pt>
                <c:pt idx="39">
                  <c:v>1304.4858904222708</c:v>
                </c:pt>
                <c:pt idx="40">
                  <c:v>1307.3549540736869</c:v>
                </c:pt>
                <c:pt idx="41">
                  <c:v>1310.1786935348102</c:v>
                </c:pt>
                <c:pt idx="42">
                  <c:v>1312.9573741644222</c:v>
                </c:pt>
                <c:pt idx="43">
                  <c:v>1315.691261840205</c:v>
                </c:pt>
                <c:pt idx="44">
                  <c:v>1318.3806229070719</c:v>
                </c:pt>
                <c:pt idx="45">
                  <c:v>1321.0257241267575</c:v>
                </c:pt>
                <c:pt idx="46">
                  <c:v>1323.6268326286429</c:v>
                </c:pt>
                <c:pt idx="47">
                  <c:v>1326.1842158617926</c:v>
                </c:pt>
                <c:pt idx="48">
                  <c:v>1328.6981415481753</c:v>
                </c:pt>
                <c:pt idx="49">
                  <c:v>1331.1688776370479</c:v>
                </c:pt>
                <c:pt idx="50">
                  <c:v>1333.5966922604771</c:v>
                </c:pt>
                <c:pt idx="51">
                  <c:v>1335.9818536899766</c:v>
                </c:pt>
                <c:pt idx="52">
                  <c:v>1338.3246302942366</c:v>
                </c:pt>
                <c:pt idx="53">
                  <c:v>1340.6252904979237</c:v>
                </c:pt>
                <c:pt idx="54">
                  <c:v>1342.8841027415297</c:v>
                </c:pt>
                <c:pt idx="55">
                  <c:v>1345.1013354422469</c:v>
                </c:pt>
                <c:pt idx="56">
                  <c:v>1347.2772569558501</c:v>
                </c:pt>
                <c:pt idx="57">
                  <c:v>1349.4121355395648</c:v>
                </c:pt>
                <c:pt idx="58">
                  <c:v>1351.5062393158996</c:v>
                </c:pt>
                <c:pt idx="59">
                  <c:v>1353.5598362374255</c:v>
                </c:pt>
                <c:pt idx="60">
                  <c:v>1355.5731940524813</c:v>
                </c:pt>
                <c:pt idx="61">
                  <c:v>1357.5465802717852</c:v>
                </c:pt>
                <c:pt idx="62">
                  <c:v>1359.4802621359365</c:v>
                </c:pt>
                <c:pt idx="63">
                  <c:v>1361.374506583787</c:v>
                </c:pt>
                <c:pt idx="64">
                  <c:v>1363.229580221664</c:v>
                </c:pt>
                <c:pt idx="65">
                  <c:v>1365.0457492934293</c:v>
                </c:pt>
                <c:pt idx="66">
                  <c:v>1366.8232796513539</c:v>
                </c:pt>
                <c:pt idx="67">
                  <c:v>1368.5624367277953</c:v>
                </c:pt>
                <c:pt idx="68">
                  <c:v>1370.2634855076569</c:v>
                </c:pt>
                <c:pt idx="69">
                  <c:v>1371.9266905016157</c:v>
                </c:pt>
                <c:pt idx="70">
                  <c:v>1373.5523157201005</c:v>
                </c:pt>
                <c:pt idx="71">
                  <c:v>1375.1406246480083</c:v>
                </c:pt>
                <c:pt idx="72">
                  <c:v>1376.691880220138</c:v>
                </c:pt>
                <c:pt idx="73">
                  <c:v>1378.2063447973321</c:v>
                </c:pt>
                <c:pt idx="74">
                  <c:v>1379.684280143307</c:v>
                </c:pt>
                <c:pt idx="75">
                  <c:v>1381.1259474021613</c:v>
                </c:pt>
                <c:pt idx="76">
                  <c:v>1382.5316070765437</c:v>
                </c:pt>
                <c:pt idx="77">
                  <c:v>1383.9015190064704</c:v>
                </c:pt>
                <c:pt idx="78">
                  <c:v>1385.235942348776</c:v>
                </c:pt>
                <c:pt idx="79">
                  <c:v>1386.5351355571854</c:v>
                </c:pt>
                <c:pt idx="80">
                  <c:v>1387.7993563629925</c:v>
                </c:pt>
                <c:pt idx="81">
                  <c:v>1389.0288617563344</c:v>
                </c:pt>
                <c:pt idx="82">
                  <c:v>1390.2239079680473</c:v>
                </c:pt>
                <c:pt idx="83">
                  <c:v>1391.3847504520918</c:v>
                </c:pt>
                <c:pt idx="84">
                  <c:v>1392.5116438685357</c:v>
                </c:pt>
                <c:pt idx="85">
                  <c:v>1393.6048420670816</c:v>
                </c:pt>
                <c:pt idx="86">
                  <c:v>1394.6645980711296</c:v>
                </c:pt>
                <c:pt idx="87">
                  <c:v>1395.6911640623612</c:v>
                </c:pt>
                <c:pt idx="88">
                  <c:v>1396.6847913658339</c:v>
                </c:pt>
                <c:pt idx="89">
                  <c:v>1397.6457304355765</c:v>
                </c:pt>
                <c:pt idx="90">
                  <c:v>1398.5742308406734</c:v>
                </c:pt>
                <c:pt idx="91">
                  <c:v>1399.4705412518265</c:v>
                </c:pt>
                <c:pt idx="92">
                  <c:v>1400.3349094283867</c:v>
                </c:pt>
                <c:pt idx="93">
                  <c:v>1401.1675822058417</c:v>
                </c:pt>
                <c:pt idx="94">
                  <c:v>1401.9688054837522</c:v>
                </c:pt>
                <c:pt idx="95">
                  <c:v>1402.7388242141271</c:v>
                </c:pt>
                <c:pt idx="96">
                  <c:v>1403.4778823902257</c:v>
                </c:pt>
                <c:pt idx="97">
                  <c:v>1404.186223035779</c:v>
                </c:pt>
                <c:pt idx="98">
                  <c:v>1404.8640881946221</c:v>
                </c:pt>
                <c:pt idx="99">
                  <c:v>1405.511718920726</c:v>
                </c:pt>
                <c:pt idx="100">
                  <c:v>1406.1293552686211</c:v>
                </c:pt>
                <c:pt idx="101">
                  <c:v>1406.7172362842048</c:v>
                </c:pt>
                <c:pt idx="102">
                  <c:v>1407.2755999959224</c:v>
                </c:pt>
                <c:pt idx="103">
                  <c:v>1407.8046834063152</c:v>
                </c:pt>
                <c:pt idx="104">
                  <c:v>1408.3047224839254</c:v>
                </c:pt>
                <c:pt idx="105">
                  <c:v>1408.7759521555522</c:v>
                </c:pt>
                <c:pt idx="106">
                  <c:v>1409.2186062988485</c:v>
                </c:pt>
                <c:pt idx="107">
                  <c:v>1409.6329177352532</c:v>
                </c:pt>
                <c:pt idx="108">
                  <c:v>1410.0191182232486</c:v>
                </c:pt>
                <c:pt idx="109">
                  <c:v>1410.3774384519386</c:v>
                </c:pt>
                <c:pt idx="110">
                  <c:v>1410.7081080349374</c:v>
                </c:pt>
                <c:pt idx="111">
                  <c:v>1411.0113555045641</c:v>
                </c:pt>
                <c:pt idx="112">
                  <c:v>1411.287408306335</c:v>
                </c:pt>
                <c:pt idx="113">
                  <c:v>1411.5364927937453</c:v>
                </c:pt>
                <c:pt idx="114">
                  <c:v>1411.7588342233373</c:v>
                </c:pt>
                <c:pt idx="115">
                  <c:v>1411.9546567500445</c:v>
                </c:pt>
                <c:pt idx="116">
                  <c:v>1412.1241834228074</c:v>
                </c:pt>
                <c:pt idx="117">
                  <c:v>1412.2676361804538</c:v>
                </c:pt>
                <c:pt idx="118">
                  <c:v>1412.3852358478387</c:v>
                </c:pt>
                <c:pt idx="119">
                  <c:v>1412.4772021322353</c:v>
                </c:pt>
                <c:pt idx="120">
                  <c:v>1412.5437536199731</c:v>
                </c:pt>
                <c:pt idx="121">
                  <c:v>1412.5851077733175</c:v>
                </c:pt>
                <c:pt idx="122">
                  <c:v>1412.6014809275825</c:v>
                </c:pt>
                <c:pt idx="123">
                  <c:v>1412.5930882884752</c:v>
                </c:pt>
                <c:pt idx="124">
                  <c:v>1412.5601439296618</c:v>
                </c:pt>
                <c:pt idx="125">
                  <c:v>1412.5028607905535</c:v>
                </c:pt>
                <c:pt idx="126">
                  <c:v>1412.4214506743053</c:v>
                </c:pt>
                <c:pt idx="127">
                  <c:v>1412.3161242460226</c:v>
                </c:pt>
                <c:pt idx="128">
                  <c:v>1412.1870910311702</c:v>
                </c:pt>
                <c:pt idx="129">
                  <c:v>1412.0345594141811</c:v>
                </c:pt>
                <c:pt idx="130">
                  <c:v>1411.858736637256</c:v>
                </c:pt>
              </c:numCache>
            </c:numRef>
          </c:val>
        </c:ser>
        <c:ser>
          <c:idx val="3"/>
          <c:order val="3"/>
          <c:tx>
            <c:strRef>
              <c:f>Eq_de_Bateman_avec_RK1!$O$1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232.52995403087959</c:v>
                </c:pt>
                <c:pt idx="5">
                  <c:v>230.47772625028944</c:v>
                </c:pt>
                <c:pt idx="6">
                  <c:v>228.49975748898811</c:v>
                </c:pt>
                <c:pt idx="7">
                  <c:v>226.59378517559514</c:v>
                </c:pt>
                <c:pt idx="8">
                  <c:v>224.75761029162518</c:v>
                </c:pt>
                <c:pt idx="9">
                  <c:v>222.9890956203154</c:v>
                </c:pt>
                <c:pt idx="10">
                  <c:v>221.28616404361662</c:v>
                </c:pt>
                <c:pt idx="11">
                  <c:v>219.64679688602118</c:v>
                </c:pt>
                <c:pt idx="12">
                  <c:v>218.06903230393704</c:v>
                </c:pt>
                <c:pt idx="13">
                  <c:v>216.55096371935306</c:v>
                </c:pt>
                <c:pt idx="14">
                  <c:v>215.09073829657535</c:v>
                </c:pt>
                <c:pt idx="15">
                  <c:v>213.68655546084815</c:v>
                </c:pt>
                <c:pt idx="16">
                  <c:v>212.33666545770541</c:v>
                </c:pt>
                <c:pt idx="17">
                  <c:v>211.03936795193098</c:v>
                </c:pt>
                <c:pt idx="18">
                  <c:v>209.7930106650368</c:v>
                </c:pt>
                <c:pt idx="19">
                  <c:v>208.59598805019786</c:v>
                </c:pt>
                <c:pt idx="20">
                  <c:v>207.44674000361266</c:v>
                </c:pt>
                <c:pt idx="21">
                  <c:v>206.34375061128574</c:v>
                </c:pt>
                <c:pt idx="22">
                  <c:v>205.28554693025728</c:v>
                </c:pt>
                <c:pt idx="23">
                  <c:v>204.2706978033309</c:v>
                </c:pt>
                <c:pt idx="24">
                  <c:v>203.29781270637761</c:v>
                </c:pt>
                <c:pt idx="25">
                  <c:v>202.36554062731875</c:v>
                </c:pt>
                <c:pt idx="26">
                  <c:v>201.47256897591626</c:v>
                </c:pt>
                <c:pt idx="27">
                  <c:v>200.6176225235217</c:v>
                </c:pt>
                <c:pt idx="28">
                  <c:v>199.79946237195981</c:v>
                </c:pt>
                <c:pt idx="29">
                  <c:v>199.0168849507443</c:v>
                </c:pt>
                <c:pt idx="30">
                  <c:v>198.26872104184662</c:v>
                </c:pt>
                <c:pt idx="31">
                  <c:v>197.55383483125877</c:v>
                </c:pt>
                <c:pt idx="32">
                  <c:v>196.87112298661347</c:v>
                </c:pt>
                <c:pt idx="33">
                  <c:v>196.2195137601442</c:v>
                </c:pt>
                <c:pt idx="34">
                  <c:v>195.59796611628801</c:v>
                </c:pt>
                <c:pt idx="35">
                  <c:v>195.00546888325334</c:v>
                </c:pt>
                <c:pt idx="36">
                  <c:v>194.44103992789317</c:v>
                </c:pt>
                <c:pt idx="37">
                  <c:v>193.90372535324249</c:v>
                </c:pt>
                <c:pt idx="38">
                  <c:v>193.39259871809696</c:v>
                </c:pt>
                <c:pt idx="39">
                  <c:v>192.90676027802596</c:v>
                </c:pt>
                <c:pt idx="40">
                  <c:v>192.44533624723098</c:v>
                </c:pt>
                <c:pt idx="41">
                  <c:v>192.00747808067587</c:v>
                </c:pt>
                <c:pt idx="42">
                  <c:v>191.59236177593132</c:v>
                </c:pt>
                <c:pt idx="43">
                  <c:v>191.19918719419184</c:v>
                </c:pt>
                <c:pt idx="44">
                  <c:v>190.82717739993768</c:v>
                </c:pt>
                <c:pt idx="45">
                  <c:v>190.47557801872946</c:v>
                </c:pt>
                <c:pt idx="46">
                  <c:v>190.14365661263651</c:v>
                </c:pt>
                <c:pt idx="47">
                  <c:v>189.83070207281463</c:v>
                </c:pt>
                <c:pt idx="48">
                  <c:v>189.53602402876177</c:v>
                </c:pt>
                <c:pt idx="49">
                  <c:v>189.25895227379283</c:v>
                </c:pt>
                <c:pt idx="50">
                  <c:v>188.99883620628833</c:v>
                </c:pt>
                <c:pt idx="51">
                  <c:v>188.75504428628321</c:v>
                </c:pt>
                <c:pt idx="52">
                  <c:v>188.52696350697414</c:v>
                </c:pt>
                <c:pt idx="53">
                  <c:v>188.31399888073551</c:v>
                </c:pt>
                <c:pt idx="54">
                  <c:v>188.11557293924551</c:v>
                </c:pt>
                <c:pt idx="55">
                  <c:v>187.93112524733448</c:v>
                </c:pt>
                <c:pt idx="56">
                  <c:v>187.76011193017862</c:v>
                </c:pt>
                <c:pt idx="57">
                  <c:v>187.60200521347264</c:v>
                </c:pt>
                <c:pt idx="58">
                  <c:v>187.4562929762244</c:v>
                </c:pt>
                <c:pt idx="59">
                  <c:v>187.32247831582544</c:v>
                </c:pt>
                <c:pt idx="60">
                  <c:v>187.20007912505972</c:v>
                </c:pt>
                <c:pt idx="61">
                  <c:v>187.08862768072316</c:v>
                </c:pt>
                <c:pt idx="62">
                  <c:v>186.98767024353478</c:v>
                </c:pt>
                <c:pt idx="63">
                  <c:v>186.89676666902969</c:v>
                </c:pt>
                <c:pt idx="64">
                  <c:v>186.81549002913221</c:v>
                </c:pt>
                <c:pt idx="65">
                  <c:v>186.74342624411614</c:v>
                </c:pt>
                <c:pt idx="66">
                  <c:v>186.68017372466667</c:v>
                </c:pt>
                <c:pt idx="67">
                  <c:v>186.62534302376713</c:v>
                </c:pt>
                <c:pt idx="68">
                  <c:v>186.57855649814047</c:v>
                </c:pt>
                <c:pt idx="69">
                  <c:v>186.5394479789835</c:v>
                </c:pt>
                <c:pt idx="70">
                  <c:v>186.50766245173881</c:v>
                </c:pt>
                <c:pt idx="71">
                  <c:v>186.48285574465623</c:v>
                </c:pt>
                <c:pt idx="72">
                  <c:v>186.464694225903</c:v>
                </c:pt>
                <c:pt idx="73">
                  <c:v>186.45285450898766</c:v>
                </c:pt>
                <c:pt idx="74">
                  <c:v>186.4470231662699</c:v>
                </c:pt>
                <c:pt idx="75">
                  <c:v>186.44689645033441</c:v>
                </c:pt>
                <c:pt idx="76">
                  <c:v>186.45218002301303</c:v>
                </c:pt>
                <c:pt idx="77">
                  <c:v>186.4625886918455</c:v>
                </c:pt>
                <c:pt idx="78">
                  <c:v>186.47784615377475</c:v>
                </c:pt>
                <c:pt idx="79">
                  <c:v>186.49768474587816</c:v>
                </c:pt>
                <c:pt idx="80">
                  <c:v>186.52184520294216</c:v>
                </c:pt>
                <c:pt idx="81">
                  <c:v>186.55007642169238</c:v>
                </c:pt>
                <c:pt idx="82">
                  <c:v>186.58213523149669</c:v>
                </c:pt>
                <c:pt idx="83">
                  <c:v>186.61778617136406</c:v>
                </c:pt>
                <c:pt idx="84">
                  <c:v>186.65680127306626</c:v>
                </c:pt>
                <c:pt idx="85">
                  <c:v>186.69895985021486</c:v>
                </c:pt>
                <c:pt idx="86">
                  <c:v>186.74404829313002</c:v>
                </c:pt>
                <c:pt idx="87">
                  <c:v>186.79185986934266</c:v>
                </c:pt>
                <c:pt idx="88">
                  <c:v>186.84219452957532</c:v>
                </c:pt>
                <c:pt idx="89">
                  <c:v>186.89485871905185</c:v>
                </c:pt>
                <c:pt idx="90">
                  <c:v>186.94966519398957</c:v>
                </c:pt>
                <c:pt idx="91">
                  <c:v>187.00643284313227</c:v>
                </c:pt>
                <c:pt idx="92">
                  <c:v>187.06498651418579</c:v>
                </c:pt>
                <c:pt idx="93">
                  <c:v>187.12515684502173</c:v>
                </c:pt>
                <c:pt idx="94">
                  <c:v>187.18678009951898</c:v>
                </c:pt>
                <c:pt idx="95">
                  <c:v>187.24969800791581</c:v>
                </c:pt>
                <c:pt idx="96">
                  <c:v>187.31375761154897</c:v>
                </c:pt>
                <c:pt idx="97">
                  <c:v>187.37881111185985</c:v>
                </c:pt>
                <c:pt idx="98">
                  <c:v>187.44471572355073</c:v>
                </c:pt>
                <c:pt idx="99">
                  <c:v>187.51133353177738</c:v>
                </c:pt>
                <c:pt idx="100">
                  <c:v>187.57853135326764</c:v>
                </c:pt>
                <c:pt idx="101">
                  <c:v>187.64618060125849</c:v>
                </c:pt>
                <c:pt idx="102">
                  <c:v>187.71415715414699</c:v>
                </c:pt>
                <c:pt idx="103">
                  <c:v>187.78234122775339</c:v>
                </c:pt>
                <c:pt idx="104">
                  <c:v>187.85061725109779</c:v>
                </c:pt>
                <c:pt idx="105">
                  <c:v>187.91887374559374</c:v>
                </c:pt>
                <c:pt idx="106">
                  <c:v>187.98700320756581</c:v>
                </c:pt>
                <c:pt idx="107">
                  <c:v>188.05490199399964</c:v>
                </c:pt>
                <c:pt idx="108">
                  <c:v>188.12247021143631</c:v>
                </c:pt>
                <c:pt idx="109">
                  <c:v>188.18961160792497</c:v>
                </c:pt>
                <c:pt idx="110">
                  <c:v>188.25623346795007</c:v>
                </c:pt>
                <c:pt idx="111">
                  <c:v>188.32224651025149</c:v>
                </c:pt>
                <c:pt idx="112">
                  <c:v>188.38756478845895</c:v>
                </c:pt>
                <c:pt idx="113">
                  <c:v>188.45210559446335</c:v>
                </c:pt>
                <c:pt idx="114">
                  <c:v>188.51578936445023</c:v>
                </c:pt>
                <c:pt idx="115">
                  <c:v>188.57853958752256</c:v>
                </c:pt>
                <c:pt idx="116">
                  <c:v>188.64028271684217</c:v>
                </c:pt>
                <c:pt idx="117">
                  <c:v>188.70094808322065</c:v>
                </c:pt>
                <c:pt idx="118">
                  <c:v>188.76046781109306</c:v>
                </c:pt>
                <c:pt idx="119">
                  <c:v>188.81877673680901</c:v>
                </c:pt>
                <c:pt idx="120">
                  <c:v>188.87581232917793</c:v>
                </c:pt>
                <c:pt idx="121">
                  <c:v>188.93151461220683</c:v>
                </c:pt>
                <c:pt idx="122">
                  <c:v>188.98582608997052</c:v>
                </c:pt>
                <c:pt idx="123">
                  <c:v>189.03869167355623</c:v>
                </c:pt>
                <c:pt idx="124">
                  <c:v>189.09005861002564</c:v>
                </c:pt>
                <c:pt idx="125">
                  <c:v>189.13987641333924</c:v>
                </c:pt>
                <c:pt idx="126">
                  <c:v>189.18809679718964</c:v>
                </c:pt>
                <c:pt idx="127">
                  <c:v>189.23467360969124</c:v>
                </c:pt>
                <c:pt idx="128">
                  <c:v>189.27956276987584</c:v>
                </c:pt>
                <c:pt idx="129">
                  <c:v>189.32272220594464</c:v>
                </c:pt>
                <c:pt idx="130">
                  <c:v>189.36411179522878</c:v>
                </c:pt>
              </c:numCache>
            </c:numRef>
          </c:val>
        </c:ser>
        <c:ser>
          <c:idx val="4"/>
          <c:order val="4"/>
          <c:tx>
            <c:strRef>
              <c:f>Eq_de_Bateman_avec_RK1!$Q$1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84.582404784003813</c:v>
                </c:pt>
                <c:pt idx="6">
                  <c:v>85.030836244935543</c:v>
                </c:pt>
                <c:pt idx="7">
                  <c:v>85.469344938541241</c:v>
                </c:pt>
                <c:pt idx="8">
                  <c:v>85.898237671909513</c:v>
                </c:pt>
                <c:pt idx="9">
                  <c:v>86.317812223969312</c:v>
                </c:pt>
                <c:pt idx="10">
                  <c:v>86.728357593289616</c:v>
                </c:pt>
                <c:pt idx="11">
                  <c:v>87.130154239215528</c:v>
                </c:pt>
                <c:pt idx="12">
                  <c:v>87.523474316520407</c:v>
                </c:pt>
                <c:pt idx="13">
                  <c:v>87.908581903748754</c:v>
                </c:pt>
                <c:pt idx="14">
                  <c:v>88.285733225420017</c:v>
                </c:pt>
                <c:pt idx="15">
                  <c:v>88.655176868258522</c:v>
                </c:pt>
                <c:pt idx="16">
                  <c:v>89.017153991610556</c:v>
                </c:pt>
                <c:pt idx="17">
                  <c:v>89.371898532205179</c:v>
                </c:pt>
                <c:pt idx="18">
                  <c:v>89.719637403410914</c:v>
                </c:pt>
                <c:pt idx="19">
                  <c:v>90.060590689136575</c:v>
                </c:pt>
                <c:pt idx="20">
                  <c:v>90.394971832520326</c:v>
                </c:pt>
                <c:pt idx="21">
                  <c:v>90.7229878195472</c:v>
                </c:pt>
                <c:pt idx="22">
                  <c:v>91.044839357731462</c:v>
                </c:pt>
                <c:pt idx="23">
                  <c:v>91.360721049996613</c:v>
                </c:pt>
                <c:pt idx="24">
                  <c:v>91.670821563882029</c:v>
                </c:pt>
                <c:pt idx="25">
                  <c:v>91.975323796201963</c:v>
                </c:pt>
                <c:pt idx="26">
                  <c:v>92.274405033279066</c:v>
                </c:pt>
                <c:pt idx="27">
                  <c:v>92.568237106871322</c:v>
                </c:pt>
                <c:pt idx="28">
                  <c:v>92.856986545908143</c:v>
                </c:pt>
                <c:pt idx="29">
                  <c:v>93.140814724148058</c:v>
                </c:pt>
                <c:pt idx="30">
                  <c:v>93.419878003867538</c:v>
                </c:pt>
                <c:pt idx="31">
                  <c:v>93.694327875687605</c:v>
                </c:pt>
                <c:pt idx="32">
                  <c:v>93.964311094641673</c:v>
                </c:pt>
                <c:pt idx="33">
                  <c:v>94.229969812585566</c:v>
                </c:pt>
                <c:pt idx="34">
                  <c:v>94.491441707047912</c:v>
                </c:pt>
                <c:pt idx="35">
                  <c:v>94.748860106616206</c:v>
                </c:pt>
                <c:pt idx="36">
                  <c:v>95.002354112951537</c:v>
                </c:pt>
                <c:pt idx="37">
                  <c:v>95.252048719522321</c:v>
                </c:pt>
                <c:pt idx="38">
                  <c:v>95.498064927144981</c:v>
                </c:pt>
                <c:pt idx="39">
                  <c:v>95.740519856417052</c:v>
                </c:pt>
                <c:pt idx="40">
                  <c:v>95.979526857126075</c:v>
                </c:pt>
                <c:pt idx="41">
                  <c:v>96.215195614715157</c:v>
                </c:pt>
                <c:pt idx="42">
                  <c:v>96.447632253884066</c:v>
                </c:pt>
                <c:pt idx="43">
                  <c:v>96.676939439402517</c:v>
                </c:pt>
                <c:pt idx="44">
                  <c:v>96.903216474210268</c:v>
                </c:pt>
                <c:pt idx="45">
                  <c:v>97.126559394876637</c:v>
                </c:pt>
                <c:pt idx="46">
                  <c:v>97.347061064490006</c:v>
                </c:pt>
                <c:pt idx="47">
                  <c:v>97.56481126304611</c:v>
                </c:pt>
                <c:pt idx="48">
                  <c:v>97.779896775401994</c:v>
                </c:pt>
                <c:pt idx="49">
                  <c:v>97.992401476860721</c:v>
                </c:pt>
                <c:pt idx="50">
                  <c:v>98.202406416450032</c:v>
                </c:pt>
                <c:pt idx="51">
                  <c:v>98.409989897956791</c:v>
                </c:pt>
                <c:pt idx="52">
                  <c:v>98.615227558776937</c:v>
                </c:pt>
                <c:pt idx="53">
                  <c:v>98.818192446639529</c:v>
                </c:pt>
                <c:pt idx="54">
                  <c:v>99.018955094261401</c:v>
                </c:pt>
                <c:pt idx="55">
                  <c:v>99.217583591987932</c:v>
                </c:pt>
                <c:pt idx="56">
                  <c:v>99.414143658473478</c:v>
                </c:pt>
                <c:pt idx="57">
                  <c:v>99.60869870945389</c:v>
                </c:pt>
                <c:pt idx="58">
                  <c:v>99.801309924661979</c:v>
                </c:pt>
                <c:pt idx="59">
                  <c:v>99.992036312935568</c:v>
                </c:pt>
                <c:pt idx="60">
                  <c:v>100.18093477556614</c:v>
                </c:pt>
                <c:pt idx="61">
                  <c:v>100.36806016793524</c:v>
                </c:pt>
                <c:pt idx="62">
                  <c:v>100.55346535948404</c:v>
                </c:pt>
                <c:pt idx="63">
                  <c:v>100.73720129206069</c:v>
                </c:pt>
                <c:pt idx="64">
                  <c:v>100.91931703668861</c:v>
                </c:pt>
                <c:pt idx="65">
                  <c:v>101.09985984879776</c:v>
                </c:pt>
                <c:pt idx="66">
                  <c:v>101.27887522195991</c:v>
                </c:pt>
                <c:pt idx="67">
                  <c:v>101.45640694016767</c:v>
                </c:pt>
                <c:pt idx="68">
                  <c:v>101.6324971286962</c:v>
                </c:pt>
                <c:pt idx="69">
                  <c:v>101.80718630358518</c:v>
                </c:pt>
                <c:pt idx="70">
                  <c:v>101.98051341977786</c:v>
                </c:pt>
                <c:pt idx="71">
                  <c:v>102.15251591795294</c:v>
                </c:pt>
                <c:pt idx="72">
                  <c:v>102.32322977008398</c:v>
                </c:pt>
                <c:pt idx="73">
                  <c:v>102.49268952376036</c:v>
                </c:pt>
                <c:pt idx="74">
                  <c:v>102.66092834530257</c:v>
                </c:pt>
                <c:pt idx="75">
                  <c:v>102.82797806170394</c:v>
                </c:pt>
                <c:pt idx="76">
                  <c:v>102.99386920143023</c:v>
                </c:pt>
                <c:pt idx="77">
                  <c:v>103.158631034107</c:v>
                </c:pt>
                <c:pt idx="78">
                  <c:v>103.32229160912489</c:v>
                </c:pt>
                <c:pt idx="79">
                  <c:v>103.48487779319107</c:v>
                </c:pt>
                <c:pt idx="80">
                  <c:v>103.64641530685529</c:v>
                </c:pt>
                <c:pt idx="81">
                  <c:v>103.80692876003742</c:v>
                </c:pt>
                <c:pt idx="82">
                  <c:v>103.96644168658334</c:v>
                </c:pt>
                <c:pt idx="83">
                  <c:v>104.1249765778747</c:v>
                </c:pt>
                <c:pt idx="84">
                  <c:v>104.28255491551802</c:v>
                </c:pt>
                <c:pt idx="85">
                  <c:v>104.43919720313717</c:v>
                </c:pt>
                <c:pt idx="86">
                  <c:v>104.59492299729349</c:v>
                </c:pt>
                <c:pt idx="87">
                  <c:v>104.74975093755643</c:v>
                </c:pt>
                <c:pt idx="88">
                  <c:v>104.90369877574729</c:v>
                </c:pt>
                <c:pt idx="89">
                  <c:v>105.05678340437819</c:v>
                </c:pt>
                <c:pt idx="90">
                  <c:v>105.20902088430749</c:v>
                </c:pt>
                <c:pt idx="91">
                  <c:v>105.36042647163248</c:v>
                </c:pt>
                <c:pt idx="92">
                  <c:v>105.51101464383964</c:v>
                </c:pt>
                <c:pt idx="93">
                  <c:v>105.6607991252322</c:v>
                </c:pt>
                <c:pt idx="94">
                  <c:v>105.80979291165406</c:v>
                </c:pt>
                <c:pt idx="95">
                  <c:v>105.95800829452891</c:v>
                </c:pt>
                <c:pt idx="96">
                  <c:v>106.10545688423267</c:v>
                </c:pt>
                <c:pt idx="97">
                  <c:v>106.25214963281682</c:v>
                </c:pt>
                <c:pt idx="98">
                  <c:v>106.39809685610014</c:v>
                </c:pt>
                <c:pt idx="99">
                  <c:v>106.54330825514523</c:v>
                </c:pt>
                <c:pt idx="100">
                  <c:v>106.68779293713662</c:v>
                </c:pt>
                <c:pt idx="101">
                  <c:v>106.83155943567583</c:v>
                </c:pt>
                <c:pt idx="102">
                  <c:v>106.97461573050933</c:v>
                </c:pt>
                <c:pt idx="103">
                  <c:v>107.11696926670416</c:v>
                </c:pt>
                <c:pt idx="104">
                  <c:v>107.25862697328594</c:v>
                </c:pt>
                <c:pt idx="105">
                  <c:v>107.39959528135364</c:v>
                </c:pt>
                <c:pt idx="106">
                  <c:v>107.53988014168483</c:v>
                </c:pt>
                <c:pt idx="107">
                  <c:v>107.67948704184512</c:v>
                </c:pt>
                <c:pt idx="108">
                  <c:v>107.81842102281483</c:v>
                </c:pt>
                <c:pt idx="109">
                  <c:v>107.95668669514575</c:v>
                </c:pt>
                <c:pt idx="110">
                  <c:v>108.09428825466048</c:v>
                </c:pt>
                <c:pt idx="111">
                  <c:v>108.23122949770651</c:v>
                </c:pt>
                <c:pt idx="112">
                  <c:v>108.36751383597678</c:v>
                </c:pt>
                <c:pt idx="113">
                  <c:v>108.5031443109084</c:v>
                </c:pt>
                <c:pt idx="114">
                  <c:v>108.63812360767055</c:v>
                </c:pt>
                <c:pt idx="115">
                  <c:v>108.77245406875272</c:v>
                </c:pt>
                <c:pt idx="116">
                  <c:v>108.90613770716357</c:v>
                </c:pt>
                <c:pt idx="117">
                  <c:v>109.03917621925109</c:v>
                </c:pt>
                <c:pt idx="118">
                  <c:v>109.17157099715402</c:v>
                </c:pt>
                <c:pt idx="119">
                  <c:v>109.30332314089422</c:v>
                </c:pt>
                <c:pt idx="120">
                  <c:v>109.4344334701197</c:v>
                </c:pt>
                <c:pt idx="121">
                  <c:v>109.56490253550753</c:v>
                </c:pt>
                <c:pt idx="122">
                  <c:v>109.6947306298357</c:v>
                </c:pt>
                <c:pt idx="123">
                  <c:v>109.82391779873274</c:v>
                </c:pt>
                <c:pt idx="124">
                  <c:v>109.95246385111363</c:v>
                </c:pt>
                <c:pt idx="125">
                  <c:v>110.08036836931055</c:v>
                </c:pt>
                <c:pt idx="126">
                  <c:v>110.20763071890626</c:v>
                </c:pt>
                <c:pt idx="127">
                  <c:v>110.33425005827841</c:v>
                </c:pt>
                <c:pt idx="128">
                  <c:v>110.46022534786223</c:v>
                </c:pt>
                <c:pt idx="129">
                  <c:v>110.58555535913916</c:v>
                </c:pt>
                <c:pt idx="130">
                  <c:v>110.71023868335888</c:v>
                </c:pt>
              </c:numCache>
            </c:numRef>
          </c:val>
        </c:ser>
        <c:ser>
          <c:idx val="5"/>
          <c:order val="5"/>
          <c:tx>
            <c:strRef>
              <c:f>Eq_de_Bateman_avec_RK1!$S$1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Eq_de_Bateman_avec_RK1!$F$2:$F$132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Eq_de_Bateman_avec_RK1!$S$2:$S$132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52.572075145625369</c:v>
                </c:pt>
                <c:pt idx="6">
                  <c:v>52.633386208087515</c:v>
                </c:pt>
                <c:pt idx="7">
                  <c:v>52.685709236802523</c:v>
                </c:pt>
                <c:pt idx="8">
                  <c:v>52.729482945681148</c:v>
                </c:pt>
                <c:pt idx="9">
                  <c:v>52.765129937827837</c:v>
                </c:pt>
                <c:pt idx="10">
                  <c:v>52.793057220753518</c:v>
                </c:pt>
                <c:pt idx="11">
                  <c:v>52.813656706214545</c:v>
                </c:pt>
                <c:pt idx="12">
                  <c:v>52.827305695120479</c:v>
                </c:pt>
                <c:pt idx="13">
                  <c:v>52.834367347940905</c:v>
                </c:pt>
                <c:pt idx="14">
                  <c:v>52.835191141029277</c:v>
                </c:pt>
                <c:pt idx="15">
                  <c:v>52.830113309270047</c:v>
                </c:pt>
                <c:pt idx="16">
                  <c:v>52.819457275443717</c:v>
                </c:pt>
                <c:pt idx="17">
                  <c:v>52.803534066693466</c:v>
                </c:pt>
                <c:pt idx="18">
                  <c:v>52.782642718465901</c:v>
                </c:pt>
                <c:pt idx="19">
                  <c:v>52.757070666288186</c:v>
                </c:pt>
                <c:pt idx="20">
                  <c:v>52.727094125733338</c:v>
                </c:pt>
                <c:pt idx="21">
                  <c:v>52.692978460915654</c:v>
                </c:pt>
                <c:pt idx="22">
                  <c:v>52.654978541848436</c:v>
                </c:pt>
                <c:pt idx="23">
                  <c:v>52.613339090986869</c:v>
                </c:pt>
                <c:pt idx="24">
                  <c:v>52.568295019269627</c:v>
                </c:pt>
                <c:pt idx="25">
                  <c:v>52.520071751964011</c:v>
                </c:pt>
                <c:pt idx="26">
                  <c:v>52.4688855446107</c:v>
                </c:pt>
                <c:pt idx="27">
                  <c:v>52.41494378935576</c:v>
                </c:pt>
                <c:pt idx="28">
                  <c:v>52.358445311949524</c:v>
                </c:pt>
                <c:pt idx="29">
                  <c:v>52.299580659683819</c:v>
                </c:pt>
                <c:pt idx="30">
                  <c:v>52.238532380531517</c:v>
                </c:pt>
                <c:pt idx="31">
                  <c:v>52.17547529374464</c:v>
                </c:pt>
                <c:pt idx="32">
                  <c:v>52.110576752160227</c:v>
                </c:pt>
                <c:pt idx="33">
                  <c:v>52.043996896455859</c:v>
                </c:pt>
                <c:pt idx="34">
                  <c:v>51.975888901589954</c:v>
                </c:pt>
                <c:pt idx="35">
                  <c:v>51.906399215655298</c:v>
                </c:pt>
                <c:pt idx="36">
                  <c:v>51.835667791367605</c:v>
                </c:pt>
                <c:pt idx="37">
                  <c:v>51.763828310404797</c:v>
                </c:pt>
                <c:pt idx="38">
                  <c:v>51.691008400806389</c:v>
                </c:pt>
                <c:pt idx="39">
                  <c:v>51.617329847636391</c:v>
                </c:pt>
                <c:pt idx="40">
                  <c:v>51.542908797107501</c:v>
                </c:pt>
                <c:pt idx="41">
                  <c:v>51.467855954358484</c:v>
                </c:pt>
                <c:pt idx="42">
                  <c:v>51.392276775071387</c:v>
                </c:pt>
                <c:pt idx="43">
                  <c:v>51.316271651109673</c:v>
                </c:pt>
                <c:pt idx="44">
                  <c:v>51.239936090353432</c:v>
                </c:pt>
                <c:pt idx="45">
                  <c:v>51.163360890902553</c:v>
                </c:pt>
                <c:pt idx="46">
                  <c:v>51.086632309814064</c:v>
                </c:pt>
                <c:pt idx="47">
                  <c:v>51.009832226534897</c:v>
                </c:pt>
                <c:pt idx="48">
                  <c:v>50.933038301186912</c:v>
                </c:pt>
                <c:pt idx="49">
                  <c:v>50.85632412785634</c:v>
                </c:pt>
                <c:pt idx="50">
                  <c:v>50.779759383035568</c:v>
                </c:pt>
                <c:pt idx="51">
                  <c:v>50.703409969360933</c:v>
                </c:pt>
                <c:pt idx="52">
                  <c:v>50.62733815478601</c:v>
                </c:pt>
                <c:pt idx="53">
                  <c:v>50.551602707325941</c:v>
                </c:pt>
                <c:pt idx="54">
                  <c:v>50.476259025504405</c:v>
                </c:pt>
                <c:pt idx="55">
                  <c:v>50.401359264631125</c:v>
                </c:pt>
                <c:pt idx="56">
                  <c:v>50.326952459034082</c:v>
                </c:pt>
                <c:pt idx="57">
                  <c:v>50.253084640366971</c:v>
                </c:pt>
                <c:pt idx="58">
                  <c:v>50.179798952109131</c:v>
                </c:pt>
                <c:pt idx="59">
                  <c:v>50.107135760371669</c:v>
                </c:pt>
                <c:pt idx="60">
                  <c:v>50.035132761120252</c:v>
                </c:pt>
                <c:pt idx="61">
                  <c:v>49.963825083921904</c:v>
                </c:pt>
                <c:pt idx="62">
                  <c:v>49.893245392319983</c:v>
                </c:pt>
                <c:pt idx="63">
                  <c:v>49.823423980938593</c:v>
                </c:pt>
                <c:pt idx="64">
                  <c:v>49.754388869414669</c:v>
                </c:pt>
                <c:pt idx="65">
                  <c:v>49.686165893253168</c:v>
                </c:pt>
                <c:pt idx="66">
                  <c:v>49.618778791698141</c:v>
                </c:pt>
                <c:pt idx="67">
                  <c:v>49.552249292709568</c:v>
                </c:pt>
                <c:pt idx="68">
                  <c:v>49.486597195133463</c:v>
                </c:pt>
                <c:pt idx="69">
                  <c:v>49.421840448150043</c:v>
                </c:pt>
                <c:pt idx="70">
                  <c:v>49.357995228082466</c:v>
                </c:pt>
                <c:pt idx="71">
                  <c:v>49.295076012646035</c:v>
                </c:pt>
                <c:pt idx="72">
                  <c:v>49.23309565271569</c:v>
                </c:pt>
                <c:pt idx="73">
                  <c:v>49.172065441687181</c:v>
                </c:pt>
                <c:pt idx="74">
                  <c:v>49.111995182505154</c:v>
                </c:pt>
                <c:pt idx="75">
                  <c:v>49.052893252429342</c:v>
                </c:pt>
                <c:pt idx="76">
                  <c:v>48.994766665607855</c:v>
                </c:pt>
                <c:pt idx="77">
                  <c:v>48.937621133524658</c:v>
                </c:pt>
                <c:pt idx="78">
                  <c:v>48.881461123386295</c:v>
                </c:pt>
                <c:pt idx="79">
                  <c:v>48.826289914511122</c:v>
                </c:pt>
                <c:pt idx="80">
                  <c:v>48.772109652782305</c:v>
                </c:pt>
                <c:pt idx="81">
                  <c:v>48.718921403224229</c:v>
                </c:pt>
                <c:pt idx="82">
                  <c:v>48.666725200760112</c:v>
                </c:pt>
                <c:pt idx="83">
                  <c:v>48.61552009920694</c:v>
                </c:pt>
                <c:pt idx="84">
                  <c:v>48.56530421856224</c:v>
                </c:pt>
                <c:pt idx="85">
                  <c:v>48.516074790635564</c:v>
                </c:pt>
                <c:pt idx="86">
                  <c:v>48.467828203076031</c:v>
                </c:pt>
                <c:pt idx="87">
                  <c:v>48.420560041845789</c:v>
                </c:pt>
                <c:pt idx="88">
                  <c:v>48.374265132187723</c:v>
                </c:pt>
                <c:pt idx="89">
                  <c:v>48.328937578134422</c:v>
                </c:pt>
                <c:pt idx="90">
                  <c:v>48.28457080060393</c:v>
                </c:pt>
                <c:pt idx="91">
                  <c:v>48.241157574126539</c:v>
                </c:pt>
                <c:pt idx="92">
                  <c:v>48.198690062245532</c:v>
                </c:pt>
                <c:pt idx="93">
                  <c:v>48.15715985163358</c:v>
                </c:pt>
                <c:pt idx="94">
                  <c:v>48.116557984965162</c:v>
                </c:pt>
                <c:pt idx="95">
                  <c:v>48.076874992584322</c:v>
                </c:pt>
                <c:pt idx="96">
                  <c:v>48.038100923005757</c:v>
                </c:pt>
                <c:pt idx="97">
                  <c:v>48.000225372286295</c:v>
                </c:pt>
                <c:pt idx="98">
                  <c:v>47.963237512302513</c:v>
                </c:pt>
                <c:pt idx="99">
                  <c:v>47.927126117969372</c:v>
                </c:pt>
                <c:pt idx="100">
                  <c:v>47.891879593433558</c:v>
                </c:pt>
                <c:pt idx="101">
                  <c:v>47.857485997274381</c:v>
                </c:pt>
                <c:pt idx="102">
                  <c:v>47.823933066743912</c:v>
                </c:pt>
                <c:pt idx="103">
                  <c:v>47.791208241077278</c:v>
                </c:pt>
                <c:pt idx="104">
                  <c:v>47.759298683902983</c:v>
                </c:pt>
                <c:pt idx="105">
                  <c:v>47.728191304782328</c:v>
                </c:pt>
                <c:pt idx="106">
                  <c:v>47.697872779906021</c:v>
                </c:pt>
                <c:pt idx="107">
                  <c:v>47.668329571975391</c:v>
                </c:pt>
                <c:pt idx="108">
                  <c:v>47.639547949294581</c:v>
                </c:pt>
                <c:pt idx="109">
                  <c:v>47.611514004099575</c:v>
                </c:pt>
                <c:pt idx="110">
                  <c:v>47.584213670148827</c:v>
                </c:pt>
                <c:pt idx="111">
                  <c:v>47.557632739599832</c:v>
                </c:pt>
                <c:pt idx="112">
                  <c:v>47.531756879194994</c:v>
                </c:pt>
                <c:pt idx="113">
                  <c:v>47.506571645779566</c:v>
                </c:pt>
                <c:pt idx="114">
                  <c:v>47.48206250117375</c:v>
                </c:pt>
                <c:pt idx="115">
                  <c:v>47.458214826420345</c:v>
                </c:pt>
                <c:pt idx="116">
                  <c:v>47.435013935428671</c:v>
                </c:pt>
                <c:pt idx="117">
                  <c:v>47.412445088034922</c:v>
                </c:pt>
                <c:pt idx="118">
                  <c:v>47.390493502498444</c:v>
                </c:pt>
                <c:pt idx="119">
                  <c:v>47.369144367452876</c:v>
                </c:pt>
                <c:pt idx="120">
                  <c:v>47.348382853330484</c:v>
                </c:pt>
                <c:pt idx="121">
                  <c:v>47.32819412327747</c:v>
                </c:pt>
                <c:pt idx="122">
                  <c:v>47.308563343577532</c:v>
                </c:pt>
                <c:pt idx="123">
                  <c:v>47.289475693600352</c:v>
                </c:pt>
                <c:pt idx="124">
                  <c:v>47.270916375291257</c:v>
                </c:pt>
                <c:pt idx="125">
                  <c:v>47.252870622217742</c:v>
                </c:pt>
                <c:pt idx="126">
                  <c:v>47.235323708188091</c:v>
                </c:pt>
                <c:pt idx="127">
                  <c:v>47.21826095545687</c:v>
                </c:pt>
                <c:pt idx="128">
                  <c:v>47.201667742531555</c:v>
                </c:pt>
                <c:pt idx="129">
                  <c:v>47.18552951159424</c:v>
                </c:pt>
                <c:pt idx="130">
                  <c:v>47.169831775551778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568640"/>
        <c:axId val="95570176"/>
      </c:areaChart>
      <c:catAx>
        <c:axId val="9556864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95570176"/>
        <c:crosses val="autoZero"/>
        <c:auto val="1"/>
        <c:lblAlgn val="ctr"/>
        <c:lblOffset val="100"/>
        <c:noMultiLvlLbl val="0"/>
      </c:catAx>
      <c:valAx>
        <c:axId val="955701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95568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q%20de%20bateman%20avec%20flux-annex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dd"/>
      <sheetName val="micro"/>
      <sheetName val="dens"/>
      <sheetName val="V.Pu_dragon"/>
      <sheetName val="all"/>
      <sheetName val="Dragon_vs_RK1"/>
      <sheetName val="explication des écar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43">
          <cell r="AJ43">
            <v>2.5277908578439704E-2</v>
          </cell>
        </row>
      </sheetData>
      <sheetData sheetId="6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103"/>
  <sheetViews>
    <sheetView tabSelected="1" zoomScale="70" zoomScaleNormal="70" workbookViewId="0">
      <selection activeCell="D34" sqref="D34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04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>
        <f t="shared" ref="H10:H17" ca="1" si="1">INDIRECT("Eq_de_Bateman_avec_RK1!"&amp;O10&amp;P10)</f>
        <v>15.865152216118359</v>
      </c>
      <c r="I10" s="89">
        <f ca="1">H10*1000/E10/C$8*6.02214129E+23</f>
        <v>1.0025090615880305E+19</v>
      </c>
      <c r="J10" s="80">
        <f t="shared" ref="J10:J15" ca="1" si="2">H10/(SUM(H$10:H$15))*100</f>
        <v>0.31870524049987764</v>
      </c>
      <c r="K10" s="95">
        <f ca="1">SUM(D10:D15)-SUM(H10:H15)</f>
        <v>32.9741199275486</v>
      </c>
      <c r="O10" s="6" t="s">
        <v>120</v>
      </c>
      <c r="P10" s="6">
        <f>P$9</f>
        <v>14</v>
      </c>
    </row>
    <row r="11" spans="1:16" ht="15">
      <c r="A11" s="105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99"/>
      <c r="H11" s="80">
        <f t="shared" ca="1" si="1"/>
        <v>3394.7734452720988</v>
      </c>
      <c r="I11" s="89">
        <f t="shared" ref="I11:I17" ca="1" si="4">H11*1000/E11/C$8*6.02214129E+23</f>
        <v>2.1361606764754811E+21</v>
      </c>
      <c r="J11" s="80">
        <f t="shared" ca="1" si="2"/>
        <v>68.195506263018572</v>
      </c>
      <c r="O11" s="6" t="s">
        <v>121</v>
      </c>
      <c r="P11" s="6">
        <f t="shared" ref="P11:P17" si="5">P$9</f>
        <v>14</v>
      </c>
    </row>
    <row r="12" spans="1:16" ht="15">
      <c r="A12" s="105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0"/>
      <c r="H12" s="80">
        <f t="shared" ca="1" si="1"/>
        <v>1208.9432669914916</v>
      </c>
      <c r="I12" s="89">
        <f t="shared" ca="1" si="4"/>
        <v>7.575576703572645E+20</v>
      </c>
      <c r="J12" s="80">
        <f t="shared" ca="1" si="2"/>
        <v>24.285714338484897</v>
      </c>
      <c r="O12" s="6" t="s">
        <v>122</v>
      </c>
      <c r="P12" s="6">
        <f t="shared" si="5"/>
        <v>14</v>
      </c>
    </row>
    <row r="13" spans="1:16" ht="15">
      <c r="A13" s="105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>
        <f t="shared" ca="1" si="1"/>
        <v>218.06903230393704</v>
      </c>
      <c r="I13" s="89">
        <f t="shared" ca="1" si="4"/>
        <v>1.3608115115902766E+20</v>
      </c>
      <c r="J13" s="80">
        <f t="shared" ca="1" si="2"/>
        <v>4.3806540548279695</v>
      </c>
      <c r="O13" s="6" t="s">
        <v>123</v>
      </c>
      <c r="P13" s="6">
        <f t="shared" si="5"/>
        <v>14</v>
      </c>
    </row>
    <row r="14" spans="1:16" ht="15">
      <c r="A14" s="105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>
        <f t="shared" ca="1" si="1"/>
        <v>87.523474316520407</v>
      </c>
      <c r="I14" s="89">
        <f t="shared" ca="1" si="4"/>
        <v>5.4391395777300398E+19</v>
      </c>
      <c r="J14" s="80">
        <f t="shared" ca="1" si="2"/>
        <v>1.7582049986946939</v>
      </c>
      <c r="O14" s="6" t="s">
        <v>124</v>
      </c>
      <c r="P14" s="6">
        <f t="shared" si="5"/>
        <v>14</v>
      </c>
    </row>
    <row r="15" spans="1:16" ht="15">
      <c r="A15" s="105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>
        <f t="shared" ca="1" si="1"/>
        <v>52.827305695120479</v>
      </c>
      <c r="I15" s="89">
        <f t="shared" ca="1" si="4"/>
        <v>3.2965710425138921E+19</v>
      </c>
      <c r="J15" s="80">
        <f t="shared" ca="1" si="2"/>
        <v>1.0612151044739981</v>
      </c>
      <c r="O15" s="6" t="s">
        <v>125</v>
      </c>
      <c r="P15" s="6">
        <f t="shared" si="5"/>
        <v>14</v>
      </c>
    </row>
    <row r="16" spans="1:16" ht="15">
      <c r="A16" s="105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>
        <f t="shared" ca="1" si="1"/>
        <v>110.01888706343503</v>
      </c>
      <c r="I16" s="89">
        <f t="shared" ca="1" si="4"/>
        <v>7.0407740249778143E+19</v>
      </c>
      <c r="O16" s="6" t="s">
        <v>128</v>
      </c>
      <c r="P16" s="6">
        <f t="shared" si="5"/>
        <v>14</v>
      </c>
    </row>
    <row r="17" spans="1:16" ht="15">
      <c r="A17" s="105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>
        <f t="shared" ca="1" si="1"/>
        <v>25775.703342316305</v>
      </c>
      <c r="I17" s="89">
        <f t="shared" ca="1" si="4"/>
        <v>1.628750598637446E+22</v>
      </c>
      <c r="O17" s="6" t="s">
        <v>129</v>
      </c>
      <c r="P17" s="6">
        <f t="shared" si="5"/>
        <v>14</v>
      </c>
    </row>
    <row r="18" spans="1:16" ht="15">
      <c r="A18" s="105"/>
      <c r="B18" s="45" t="s">
        <v>53</v>
      </c>
      <c r="C18" s="91">
        <f>SUM(K44:K51)</f>
        <v>5.5321754341282909E-3</v>
      </c>
      <c r="D18" s="11"/>
      <c r="E18" s="11"/>
      <c r="F18" s="11"/>
      <c r="G18" s="11">
        <f ca="1">H18/C18</f>
        <v>0.97173045097622879</v>
      </c>
      <c r="H18" s="92">
        <f ca="1">SUMPRODUCT(I10:I17,G44:G51)*1E-24</f>
        <v>5.3757833294850984E-3</v>
      </c>
    </row>
    <row r="19" spans="1:16" ht="15">
      <c r="A19" s="105"/>
      <c r="B19" s="45" t="s">
        <v>130</v>
      </c>
      <c r="C19" s="91">
        <f>SUM(L44:L51)</f>
        <v>1.1501445805447414E-2</v>
      </c>
      <c r="D19" s="11"/>
      <c r="E19" s="11"/>
      <c r="F19" s="11"/>
      <c r="G19" s="11">
        <f t="shared" ref="G19:G21" ca="1" si="6">H19/C19</f>
        <v>0.97300327927973296</v>
      </c>
      <c r="H19" s="92">
        <f ca="1">SUMPRODUCT(I10:I17,I44:I51)*1E-24</f>
        <v>1.1190944485158463E-2</v>
      </c>
    </row>
    <row r="20" spans="1:16" ht="15">
      <c r="A20" s="105"/>
      <c r="B20" s="98" t="s">
        <v>142</v>
      </c>
      <c r="C20" s="91">
        <f>C19-C18</f>
        <v>5.9692703713191235E-3</v>
      </c>
      <c r="D20" s="11"/>
      <c r="E20" s="11"/>
      <c r="F20" s="11"/>
      <c r="G20" s="11">
        <f t="shared" ca="1" si="6"/>
        <v>0.97418290577250188</v>
      </c>
      <c r="H20" s="92">
        <f ca="1">H19-H18</f>
        <v>5.8151611556733649E-3</v>
      </c>
    </row>
    <row r="21" spans="1:16" ht="15">
      <c r="A21" s="105"/>
      <c r="B21" s="45" t="s">
        <v>131</v>
      </c>
      <c r="C21" s="91">
        <f>SUM(M44:M51)</f>
        <v>1.6162653839845637E-2</v>
      </c>
      <c r="D21" s="11"/>
      <c r="E21" s="11"/>
      <c r="F21" s="11"/>
      <c r="G21" s="11">
        <f t="shared" ca="1" si="6"/>
        <v>0.97277594265716472</v>
      </c>
      <c r="H21" s="92">
        <f ca="1">SUMPRODUCT(I10:I17,J44:J51)*1E-24</f>
        <v>1.5722640824897282E-2</v>
      </c>
      <c r="J21" s="7"/>
    </row>
    <row r="22" spans="1:16" ht="15">
      <c r="A22" s="106"/>
      <c r="B22" s="45" t="s">
        <v>134</v>
      </c>
      <c r="C22" s="91">
        <f>C21/C19</f>
        <v>1.4052714861457278</v>
      </c>
      <c r="D22" s="11"/>
      <c r="E22" s="11"/>
      <c r="F22" s="11"/>
      <c r="G22" s="11"/>
      <c r="H22" s="93">
        <f ca="1">H21/H19</f>
        <v>1.4049431525416642</v>
      </c>
      <c r="I22" s="90">
        <f ca="1">(H22-C22)/(C22*H22)</f>
        <v>-1.6630156938520535E-4</v>
      </c>
      <c r="J22" s="7"/>
    </row>
    <row r="23" spans="1:16" ht="15" customHeight="1">
      <c r="A23" s="103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03"/>
      <c r="B24" s="45" t="s">
        <v>58</v>
      </c>
      <c r="C24" s="76">
        <v>75</v>
      </c>
      <c r="I24" s="7"/>
    </row>
    <row r="25" spans="1:16" ht="15.75" customHeight="1" thickBot="1">
      <c r="A25" s="103"/>
      <c r="B25" s="45" t="s">
        <v>71</v>
      </c>
      <c r="C25" s="46">
        <f>C24/100*C23</f>
        <v>2250</v>
      </c>
      <c r="E25" s="9" t="s">
        <v>57</v>
      </c>
      <c r="G25" s="101" t="s">
        <v>141</v>
      </c>
      <c r="H25" s="102"/>
      <c r="I25" s="102"/>
      <c r="J25" s="110" t="s">
        <v>144</v>
      </c>
      <c r="K25" s="110"/>
    </row>
    <row r="26" spans="1:16" ht="15.75" thickBot="1">
      <c r="A26" s="103"/>
      <c r="B26" s="45" t="s">
        <v>46</v>
      </c>
      <c r="C26" s="76">
        <f>365*20</f>
        <v>7300</v>
      </c>
      <c r="E26" s="9" t="s">
        <v>49</v>
      </c>
      <c r="H26" s="109" t="s">
        <v>145</v>
      </c>
      <c r="I26" s="109" t="s">
        <v>146</v>
      </c>
      <c r="L26" s="96"/>
    </row>
    <row r="27" spans="1:16" ht="15.75" thickBot="1">
      <c r="A27" s="103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7">
        <v>7.1771044355892211E-6</v>
      </c>
      <c r="K27" s="97">
        <v>8.1878948066105295E-15</v>
      </c>
    </row>
    <row r="28" spans="1:16" ht="15">
      <c r="A28" s="103"/>
      <c r="B28" s="45" t="s">
        <v>56</v>
      </c>
      <c r="C28" s="47">
        <f>C25*1000000/B41</f>
        <v>6.9247514903034528E+19</v>
      </c>
      <c r="G28" s="45" t="s">
        <v>9</v>
      </c>
      <c r="H28" s="94">
        <v>0</v>
      </c>
      <c r="I28" s="94">
        <v>0</v>
      </c>
      <c r="J28" s="97">
        <v>1.8155401136570395E-3</v>
      </c>
      <c r="K28" s="97">
        <v>2.184547681638449E-11</v>
      </c>
    </row>
    <row r="29" spans="1:16" ht="15">
      <c r="A29" s="103"/>
      <c r="B29" s="45" t="s">
        <v>54</v>
      </c>
      <c r="C29" s="47">
        <f>C28/C8</f>
        <v>17293156528120.312</v>
      </c>
      <c r="G29" s="45" t="s">
        <v>10</v>
      </c>
      <c r="H29" s="94">
        <v>0</v>
      </c>
      <c r="I29" s="94">
        <v>0</v>
      </c>
      <c r="J29" s="97">
        <v>1.4150651647143464E-4</v>
      </c>
      <c r="K29" s="97">
        <v>8.6921442266074678E-11</v>
      </c>
    </row>
    <row r="30" spans="1:16" ht="15">
      <c r="A30" s="103"/>
      <c r="B30" s="45" t="s">
        <v>59</v>
      </c>
      <c r="C30" s="47">
        <f>C29/C18</f>
        <v>3125923379334265</v>
      </c>
      <c r="G30" s="45" t="s">
        <v>11</v>
      </c>
      <c r="H30" s="94">
        <v>0</v>
      </c>
      <c r="I30" s="94">
        <v>0</v>
      </c>
      <c r="J30" s="97">
        <v>1.7429731674126897E-4</v>
      </c>
      <c r="K30" s="97">
        <v>1.9440782317303729E-10</v>
      </c>
      <c r="O30" s="12"/>
      <c r="P30" s="11"/>
    </row>
    <row r="31" spans="1:16" ht="15">
      <c r="A31" s="103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7">
        <v>7.2495921405943409E-6</v>
      </c>
      <c r="K31" s="97">
        <v>-9.2952243124777567E-11</v>
      </c>
      <c r="O31" s="12"/>
      <c r="P31" s="11"/>
    </row>
    <row r="32" spans="1:16" ht="15" customHeight="1">
      <c r="A32" s="103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7">
        <v>4.6745820803106852E-6</v>
      </c>
      <c r="K32" s="97">
        <v>0</v>
      </c>
      <c r="O32" s="12"/>
      <c r="P32" s="11"/>
    </row>
    <row r="33" spans="1:16" ht="15">
      <c r="A33" s="103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7">
        <v>7.7513940822150629E-5</v>
      </c>
      <c r="K33" s="97">
        <v>0</v>
      </c>
      <c r="O33" s="12"/>
      <c r="P33" s="11"/>
    </row>
    <row r="34" spans="1:16" ht="15">
      <c r="A34" s="103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7">
        <v>-1.9484219875957887E-5</v>
      </c>
      <c r="K34" s="97">
        <v>-2.2093516320942364E-3</v>
      </c>
      <c r="O34" s="12"/>
      <c r="P34" s="11"/>
    </row>
    <row r="35" spans="1:16" ht="15.75" thickBot="1">
      <c r="P35" s="12"/>
    </row>
    <row r="36" spans="1:16" ht="15.75" thickBot="1">
      <c r="G36" s="107" t="s">
        <v>143</v>
      </c>
      <c r="H36" s="108">
        <f>[1]Dragon_vs_RK1!$AJ$43</f>
        <v>2.5277908578439704E-2</v>
      </c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202.8</v>
      </c>
      <c r="B41" s="58">
        <f>A41*1000000*1.602176565E-19</f>
        <v>3.2492140738200003E-11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1.2575000000000001</v>
      </c>
      <c r="H44" s="81">
        <f t="shared" si="9"/>
        <v>0.49969000000000002</v>
      </c>
      <c r="I44" s="82">
        <f>H44+G44</f>
        <v>1.75719</v>
      </c>
      <c r="J44" s="81">
        <v>3.7700999999999998</v>
      </c>
      <c r="K44" s="72">
        <f t="shared" ref="K44:K51" si="10">G44*1E-24*F10</f>
        <v>1.5130663019492684E-5</v>
      </c>
      <c r="L44" s="72">
        <f t="shared" ref="L44:L51" si="11">I44*1E-24*F10</f>
        <v>2.1143101193814989E-5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1.7582</v>
      </c>
      <c r="H45" s="81">
        <f t="shared" si="9"/>
        <v>0.46005000000000001</v>
      </c>
      <c r="I45" s="84">
        <f t="shared" ref="I45:I51" si="13">H45+G45</f>
        <v>2.2182499999999998</v>
      </c>
      <c r="J45" s="83">
        <v>5.1894</v>
      </c>
      <c r="K45" s="72">
        <f t="shared" si="10"/>
        <v>3.8297112399999999E-3</v>
      </c>
      <c r="L45" s="72">
        <f t="shared" si="11"/>
        <v>4.8317921499999991E-3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0.41238999999999998</v>
      </c>
      <c r="H46" s="81">
        <f t="shared" si="9"/>
        <v>0.45652999999999999</v>
      </c>
      <c r="I46" s="84">
        <f t="shared" si="13"/>
        <v>0.86891999999999991</v>
      </c>
      <c r="J46" s="83">
        <v>1.2642</v>
      </c>
      <c r="K46" s="72">
        <f t="shared" si="10"/>
        <v>2.9834769327898079E-4</v>
      </c>
      <c r="L46" s="72">
        <f t="shared" si="11"/>
        <v>6.2862891351383879E-4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2.4380000000000002</v>
      </c>
      <c r="H47" s="81">
        <f t="shared" si="9"/>
        <v>0.44950000000000001</v>
      </c>
      <c r="I47" s="84">
        <f t="shared" si="13"/>
        <v>2.8875000000000002</v>
      </c>
      <c r="J47" s="83">
        <v>7.2667000000000002</v>
      </c>
      <c r="K47" s="72">
        <f t="shared" si="10"/>
        <v>3.674574210770122E-4</v>
      </c>
      <c r="L47" s="72">
        <f t="shared" si="11"/>
        <v>4.3520644108280255E-4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0.29929</v>
      </c>
      <c r="H48" s="81">
        <f t="shared" si="9"/>
        <v>0.44868000000000002</v>
      </c>
      <c r="I48" s="84">
        <f t="shared" si="13"/>
        <v>0.74797000000000002</v>
      </c>
      <c r="J48" s="83">
        <v>0.93701999999999996</v>
      </c>
      <c r="K48" s="72">
        <f t="shared" si="10"/>
        <v>1.5284949707183427E-5</v>
      </c>
      <c r="L48" s="72">
        <f t="shared" si="11"/>
        <v>3.8199351239540211E-5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0.30307000000000001</v>
      </c>
      <c r="H49" s="81">
        <f t="shared" si="9"/>
        <v>1.6906000000000001</v>
      </c>
      <c r="I49" s="84">
        <f t="shared" si="13"/>
        <v>1.9936700000000001</v>
      </c>
      <c r="J49" s="83">
        <v>1.0602</v>
      </c>
      <c r="K49" s="72">
        <f t="shared" si="10"/>
        <v>9.8560425889905738E-6</v>
      </c>
      <c r="L49" s="72">
        <f t="shared" si="11"/>
        <v>6.4835504762572463E-5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1.8373999999999999</v>
      </c>
      <c r="H50" s="81">
        <f t="shared" si="9"/>
        <v>0.51766999999999996</v>
      </c>
      <c r="I50" s="84">
        <f t="shared" si="13"/>
        <v>2.35507</v>
      </c>
      <c r="J50" s="83">
        <v>4.5256999999999996</v>
      </c>
      <c r="K50" s="72">
        <f t="shared" si="10"/>
        <v>1.6341343941698178E-4</v>
      </c>
      <c r="L50" s="72">
        <f t="shared" si="11"/>
        <v>2.0945362401640977E-4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4.9582000000000001E-2</v>
      </c>
      <c r="H51" s="81">
        <f t="shared" si="9"/>
        <v>0.26423999999999997</v>
      </c>
      <c r="I51" s="84">
        <f t="shared" si="13"/>
        <v>0.31382199999999999</v>
      </c>
      <c r="J51" s="83">
        <v>0.13804</v>
      </c>
      <c r="K51" s="72">
        <f t="shared" si="10"/>
        <v>8.3297398503964976E-4</v>
      </c>
      <c r="L51" s="72">
        <f t="shared" si="11"/>
        <v>5.2721867196384364E-3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-1.113320079522917E-3</v>
      </c>
      <c r="H76" s="94">
        <f>D76/D86-1</f>
        <v>-4.7829654385719289E-3</v>
      </c>
      <c r="I76" s="94">
        <f>E76/E86-1</f>
        <v>-1.0608953957139677E-3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-1.1375270162666817E-3</v>
      </c>
      <c r="H77" s="94">
        <f t="shared" si="14"/>
        <v>-3.956091729159894E-3</v>
      </c>
      <c r="I77" s="94">
        <f t="shared" si="14"/>
        <v>-1.0790812394019245E-3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4.3648003103857747E-4</v>
      </c>
      <c r="H78" s="94">
        <f t="shared" si="14"/>
        <v>-2.6504282303463356E-3</v>
      </c>
      <c r="I78" s="94">
        <f t="shared" si="14"/>
        <v>4.7453337551406349E-4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-2.0098441345365314E-3</v>
      </c>
      <c r="H79" s="94">
        <f t="shared" si="14"/>
        <v>-3.3815350389322374E-3</v>
      </c>
      <c r="I79" s="94">
        <f t="shared" si="14"/>
        <v>-1.9540388055594438E-3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5.0118614053262789E-4</v>
      </c>
      <c r="H80" s="94">
        <f t="shared" si="14"/>
        <v>-3.4991530712311647E-3</v>
      </c>
      <c r="I80" s="94">
        <f t="shared" si="14"/>
        <v>5.015045135405849E-4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3.6295245322870429E-4</v>
      </c>
      <c r="H81" s="94">
        <f t="shared" si="14"/>
        <v>-3.0758310658938193E-3</v>
      </c>
      <c r="I81" s="94">
        <f t="shared" si="14"/>
        <v>4.7152018106366711E-4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-2.1225644933057231E-3</v>
      </c>
      <c r="H82" s="94">
        <f t="shared" si="14"/>
        <v>-3.8248304904668906E-3</v>
      </c>
      <c r="I82" s="94">
        <f t="shared" si="14"/>
        <v>-2.0769349742593146E-3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4.8404662982526325E-4</v>
      </c>
      <c r="H83" s="94">
        <f t="shared" si="14"/>
        <v>4.6170148349984341E-3</v>
      </c>
      <c r="I83" s="94">
        <f t="shared" si="14"/>
        <v>5.069892083726657E-4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1.2575000000000001</v>
      </c>
      <c r="D86" s="10">
        <v>0.49969000000000002</v>
      </c>
      <c r="E86" s="10">
        <v>3.7704</v>
      </c>
    </row>
    <row r="87" spans="1:9">
      <c r="B87" s="6" t="s">
        <v>9</v>
      </c>
      <c r="C87" s="10">
        <v>1.7582</v>
      </c>
      <c r="D87" s="10">
        <v>0.46005000000000001</v>
      </c>
      <c r="E87" s="10">
        <v>5.1896000000000004</v>
      </c>
    </row>
    <row r="88" spans="1:9">
      <c r="B88" s="6" t="s">
        <v>10</v>
      </c>
      <c r="C88" s="10">
        <v>0.41238999999999998</v>
      </c>
      <c r="D88" s="10">
        <v>0.45652999999999999</v>
      </c>
      <c r="E88" s="10">
        <v>1.2644</v>
      </c>
    </row>
    <row r="89" spans="1:9">
      <c r="B89" s="6" t="s">
        <v>11</v>
      </c>
      <c r="C89" s="10">
        <v>2.4380000000000002</v>
      </c>
      <c r="D89" s="10">
        <v>0.44950000000000001</v>
      </c>
      <c r="E89" s="10">
        <v>7.2670000000000003</v>
      </c>
    </row>
    <row r="90" spans="1:9">
      <c r="B90" s="6" t="s">
        <v>13</v>
      </c>
      <c r="C90" s="10">
        <v>0.29929</v>
      </c>
      <c r="D90" s="10">
        <v>0.44868000000000002</v>
      </c>
      <c r="E90" s="10">
        <v>0.93718000000000001</v>
      </c>
    </row>
    <row r="91" spans="1:9">
      <c r="B91" s="6" t="s">
        <v>14</v>
      </c>
      <c r="C91" s="10">
        <v>0.30307000000000001</v>
      </c>
      <c r="D91" s="10">
        <v>1.6906000000000001</v>
      </c>
      <c r="E91" s="10">
        <v>1.0604</v>
      </c>
    </row>
    <row r="92" spans="1:9">
      <c r="B92" s="6" t="s">
        <v>15</v>
      </c>
      <c r="C92" s="10">
        <v>1.8373999999999999</v>
      </c>
      <c r="D92" s="10">
        <v>0.51766999999999996</v>
      </c>
      <c r="E92" s="10">
        <v>4.5259</v>
      </c>
    </row>
    <row r="93" spans="1:9">
      <c r="B93" s="6" t="s">
        <v>16</v>
      </c>
      <c r="C93" s="10">
        <v>4.9582000000000001E-2</v>
      </c>
      <c r="D93" s="10">
        <v>0.26423999999999997</v>
      </c>
      <c r="E93" s="10">
        <v>0.13807</v>
      </c>
    </row>
    <row r="96" spans="1:9">
      <c r="C96" s="10"/>
      <c r="D96" s="10"/>
      <c r="E96" s="10"/>
    </row>
    <row r="97" spans="3:5">
      <c r="C97" s="10"/>
      <c r="D97" s="10"/>
      <c r="E97" s="10"/>
    </row>
    <row r="98" spans="3:5">
      <c r="C98" s="10"/>
      <c r="D98" s="10"/>
      <c r="E98" s="10"/>
    </row>
    <row r="99" spans="3:5">
      <c r="C99" s="10"/>
      <c r="D99" s="10"/>
      <c r="E99" s="10"/>
    </row>
    <row r="100" spans="3:5">
      <c r="C100" s="10"/>
      <c r="D100" s="10"/>
      <c r="E100" s="10"/>
    </row>
    <row r="101" spans="3:5">
      <c r="C101" s="10"/>
      <c r="D101" s="10"/>
      <c r="E101" s="10"/>
    </row>
    <row r="102" spans="3:5">
      <c r="C102" s="10"/>
      <c r="D102" s="10"/>
      <c r="E102" s="10"/>
    </row>
    <row r="103" spans="3:5">
      <c r="C103" s="10"/>
      <c r="D103" s="10"/>
      <c r="E103" s="10"/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topLeftCell="K1" zoomScale="70" zoomScaleNormal="70" workbookViewId="0">
      <selection activeCell="R2" sqref="R2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3125923379334265</v>
      </c>
      <c r="I2" s="39">
        <f>B2</f>
        <v>19.041708027546772</v>
      </c>
      <c r="J2" s="21">
        <f>-(Données!I$44*1E-24*H2+Données!F$44)*I2</f>
        <v>-1.0936535204340274E-7</v>
      </c>
      <c r="K2" s="41">
        <f>B3</f>
        <v>3461.5820803761339</v>
      </c>
      <c r="L2" s="23">
        <f>-(Données!I$45*1E-24*H2+Données!F$45)*K2+(I2*Données!H$44*1E-24*H2)+(Données!H$51*1E-24*H2)*Y2</f>
        <v>-2.015899358916743E-6</v>
      </c>
      <c r="M2" s="39">
        <f>B4</f>
        <v>1154.5288235649409</v>
      </c>
      <c r="N2" s="21">
        <f>-(Données!I$46*1E-24*H2+Données!F$46)*M2+Données!H$45*1E-24*H2*K2</f>
        <v>1.8382628556946444E-6</v>
      </c>
      <c r="O2" s="41">
        <f>B5</f>
        <v>241.52903340204062</v>
      </c>
      <c r="P2" s="23">
        <f>-(Données!I$47*1E-24*H2+Données!F$47)*O2+(Données!H$46*1E-24*H2)*M2</f>
        <v>-9.0305355164630673E-7</v>
      </c>
      <c r="Q2" s="39">
        <f>B6</f>
        <v>82.180003066254471</v>
      </c>
      <c r="R2" s="43">
        <f>-(Données!I$48*1E-24*H2+Données!F$48)*Q2+Données!H$47*1E-24*H2*O2+(Données!I$49*1E-24*H2*S2)*0.85*0.16</f>
        <v>1.9139330840210632E-7</v>
      </c>
      <c r="S2" s="41">
        <f>B7</f>
        <v>52.114148285917473</v>
      </c>
      <c r="T2" s="22">
        <f>-(Données!I$49*1E-24*H2+Données!F$49)*S2+Données!F$47*O2</f>
        <v>4.3163591081061186E-8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-1.0199324380558183E-6</v>
      </c>
      <c r="Y2" s="41">
        <f>B9</f>
        <v>26586.632553782751</v>
      </c>
      <c r="Z2" s="23">
        <f>-(Données!I$51*1E-24*H2+Données!F$51)*Y2+Données!F$48*Q2</f>
        <v>-2.6081043881043615E-5</v>
      </c>
      <c r="AA2" s="14">
        <f>W2+Y2</f>
        <v>26725.60570344064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3125923379334265</v>
      </c>
      <c r="I3" s="40">
        <f>I2+J2*D$5</f>
        <v>18.754295882376709</v>
      </c>
      <c r="J3" s="21">
        <f>-(Données!I$44*1E-24*H3+Données!F$44)*I3</f>
        <v>-1.0771461092329939E-7</v>
      </c>
      <c r="K3" s="42">
        <f>K2+L2*D$5</f>
        <v>3456.2842968609007</v>
      </c>
      <c r="L3" s="23">
        <f>-(Données!I$45*1E-24*H3+Données!F$45)*K3+(I3*Données!H$44*1E-24*H3)+(Données!H$51*1E-24*H3)*Y3</f>
        <v>-2.03622265321151E-6</v>
      </c>
      <c r="M3" s="40">
        <f>M2+N2*D$5</f>
        <v>1159.3597783497064</v>
      </c>
      <c r="N3" s="21">
        <f>-(Données!I$46*1E-24*H3+Données!F$46)*M3+Données!H$45*1E-24*H3*K3</f>
        <v>1.8175062998326076E-6</v>
      </c>
      <c r="O3" s="42">
        <f>O2+P2*D$5</f>
        <v>239.15580866831414</v>
      </c>
      <c r="P3" s="23">
        <f>-(Données!I$47*1E-24*H3+Données!F$47)*O3+(Données!H$46*1E-24*H3)*M3</f>
        <v>-8.7109707505685337E-7</v>
      </c>
      <c r="Q3" s="40">
        <f>Q2+R2*D$5</f>
        <v>82.682984680735203</v>
      </c>
      <c r="R3" s="43">
        <f>-(Données!I$48*1E-24*H3+Données!F$48)*Q3+Données!H$47*1E-24*H3*O3+(Données!I$49*1E-24*H3*S3)*0.85*0.16</f>
        <v>1.8697877708014505E-7</v>
      </c>
      <c r="S3" s="42">
        <f>S2+T2*D$5</f>
        <v>52.227582203278502</v>
      </c>
      <c r="T3" s="22">
        <f>-(Données!I$49*1E-24*H3+Données!F$49)*S3+Données!F$47*O3</f>
        <v>3.8809545212256615E-8</v>
      </c>
      <c r="U3" s="28">
        <f t="shared" si="2"/>
        <v>5008.4647466453116</v>
      </c>
      <c r="V3" s="19"/>
      <c r="W3" s="40">
        <f t="shared" ref="W3:W18" si="3">W2+X2*D$5</f>
        <v>136.29276721068064</v>
      </c>
      <c r="X3" s="21">
        <f>-(Données!I$50*1E-24*H3+Données!F$50)*W3+Données!F$45*K3</f>
        <v>-1.0002049128969372E-6</v>
      </c>
      <c r="Y3" s="42">
        <f t="shared" ref="Y3:Y18" si="4">Y2+Z2*D$5</f>
        <v>26518.091570463366</v>
      </c>
      <c r="Z3" s="23">
        <f>-(Données!I$51*1E-24*H3+Données!F$51)*Y3+Données!F$48*Q3</f>
        <v>-2.6013806275682087E-5</v>
      </c>
      <c r="AA3" s="15">
        <f t="shared" ref="AA3:AA18" si="5">W3+Y3</f>
        <v>26654.384337674048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3125923379334265</v>
      </c>
      <c r="I4" s="40">
        <f t="shared" ref="I4:I18" si="6">I3+J3*D$5</f>
        <v>18.471221884870278</v>
      </c>
      <c r="J4" s="21">
        <f>-(Données!I$44*1E-24*H4+Données!F$44)*I4</f>
        <v>-1.0608878579527843E-7</v>
      </c>
      <c r="K4" s="42">
        <f t="shared" ref="K4:K18" si="7">K3+L3*D$5</f>
        <v>3450.9331037282609</v>
      </c>
      <c r="L4" s="23">
        <f>-(Données!I$45*1E-24*H4+Données!F$45)*K4+(I4*Données!H$44*1E-24*H4)+(Données!H$51*1E-24*H4)*Y4</f>
        <v>-2.0560228226349548E-6</v>
      </c>
      <c r="M4" s="40">
        <f t="shared" ref="M4:M18" si="8">M3+N3*D$5</f>
        <v>1164.1361849056666</v>
      </c>
      <c r="N4" s="21">
        <f>-(Données!I$46*1E-24*H4+Données!F$46)*M4+Données!H$45*1E-24*H4*K4</f>
        <v>1.7968212820132787E-6</v>
      </c>
      <c r="O4" s="42">
        <f t="shared" ref="O4:O18" si="9">O3+P3*D$5</f>
        <v>236.86656555506474</v>
      </c>
      <c r="P4" s="23">
        <f>-(Données!I$47*1E-24*H4+Données!F$47)*O4+(Données!H$46*1E-24*H4)*M4</f>
        <v>-8.4010532698978051E-7</v>
      </c>
      <c r="Q4" s="40">
        <f t="shared" ref="Q4:Q18" si="10">Q3+R3*D$5</f>
        <v>83.174364906901829</v>
      </c>
      <c r="R4" s="43">
        <f>-(Données!I$48*1E-24*H4+Données!F$48)*Q4+Données!H$47*1E-24*H4*O4+(Données!I$49*1E-24*H4*S4)*0.85*0.16</f>
        <v>1.8269967624874393E-7</v>
      </c>
      <c r="S4" s="42">
        <f t="shared" ref="S4:S18" si="11">S3+T3*D$5</f>
        <v>52.32957368809631</v>
      </c>
      <c r="T4" s="22">
        <f>-(Données!I$49*1E-24*H4+Données!F$49)*S4+Données!F$47*O4</f>
        <v>3.4656247769018684E-8</v>
      </c>
      <c r="U4" s="28">
        <f t="shared" si="2"/>
        <v>5005.9110146688618</v>
      </c>
      <c r="V4" s="19"/>
      <c r="W4" s="40">
        <f t="shared" si="3"/>
        <v>133.66422869958748</v>
      </c>
      <c r="X4" s="21">
        <f>-(Données!I$50*1E-24*H4+Données!F$50)*W4+Données!F$45*K4</f>
        <v>-9.8085909947906486E-7</v>
      </c>
      <c r="Y4" s="42">
        <f t="shared" si="4"/>
        <v>26449.727287570873</v>
      </c>
      <c r="Z4" s="23">
        <f>-(Données!I$51*1E-24*H4+Données!F$51)*Y4+Données!F$48*Q4</f>
        <v>-2.5946742011209358E-5</v>
      </c>
      <c r="AA4" s="15">
        <f t="shared" si="5"/>
        <v>26583.391516270462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3125923379334265</v>
      </c>
      <c r="I5" s="40">
        <f t="shared" si="6"/>
        <v>18.192420555800286</v>
      </c>
      <c r="J5" s="21">
        <f>-(Données!I$44*1E-24*H5+Données!F$44)*I5</f>
        <v>-1.0448750058179873E-7</v>
      </c>
      <c r="K5" s="42">
        <f t="shared" si="7"/>
        <v>3445.529875750376</v>
      </c>
      <c r="L5" s="23">
        <f>-(Données!I$45*1E-24*H5+Données!F$45)*K5+(I5*Données!H$44*1E-24*H5)+(Données!H$51*1E-24*H5)*Y5</f>
        <v>-2.0753098797711212E-6</v>
      </c>
      <c r="M5" s="40">
        <f t="shared" si="8"/>
        <v>1168.8582312347976</v>
      </c>
      <c r="N5" s="21">
        <f>-(Données!I$46*1E-24*H5+Données!F$46)*M5+Données!H$45*1E-24*H5*K5</f>
        <v>1.7762092679939308E-6</v>
      </c>
      <c r="O5" s="42">
        <f t="shared" si="9"/>
        <v>234.65876875573559</v>
      </c>
      <c r="P5" s="23">
        <f>-(Données!I$47*1E-24*H5+Données!F$47)*O5+(Données!H$46*1E-24*H5)*M5</f>
        <v>-8.1005126516590539E-7</v>
      </c>
      <c r="Q5" s="40">
        <f t="shared" si="10"/>
        <v>83.65449965608353</v>
      </c>
      <c r="R5" s="43">
        <f>-(Données!I$48*1E-24*H5+Données!F$48)*Q5+Données!H$47*1E-24*H5*O5+(Données!I$49*1E-24*H5*S5)*0.85*0.16</f>
        <v>1.7855205851076242E-7</v>
      </c>
      <c r="S5" s="42">
        <f t="shared" si="11"/>
        <v>52.420650307233295</v>
      </c>
      <c r="T5" s="22">
        <f>-(Données!I$49*1E-24*H5+Données!F$49)*S5+Données!F$47*O5</f>
        <v>3.0696494072855545E-8</v>
      </c>
      <c r="U5" s="28">
        <f t="shared" si="2"/>
        <v>5003.3144462600267</v>
      </c>
      <c r="V5" s="19"/>
      <c r="W5" s="40">
        <f t="shared" si="3"/>
        <v>131.0865309861565</v>
      </c>
      <c r="X5" s="21">
        <f>-(Données!I$50*1E-24*H5+Données!F$50)*W5+Données!F$45*K5</f>
        <v>-9.6188761167592309E-7</v>
      </c>
      <c r="Y5" s="42">
        <f t="shared" si="4"/>
        <v>26381.539249565416</v>
      </c>
      <c r="Z5" s="23">
        <f>-(Données!I$51*1E-24*H5+Données!F$51)*Y5+Données!F$48*Q5</f>
        <v>-2.5879850640727471E-5</v>
      </c>
      <c r="AA5" s="15">
        <f t="shared" si="5"/>
        <v>26512.625780551571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3125923379334265</v>
      </c>
      <c r="I6" s="40">
        <f t="shared" si="6"/>
        <v>17.917827404271318</v>
      </c>
      <c r="J6" s="21">
        <f>-(Données!I$44*1E-24*H6+Données!F$44)*I6</f>
        <v>-1.0291038488176654E-7</v>
      </c>
      <c r="K6" s="42">
        <f t="shared" si="7"/>
        <v>3440.0759613863374</v>
      </c>
      <c r="L6" s="23">
        <f>-(Données!I$45*1E-24*H6+Données!F$45)*K6+(I6*Données!H$44*1E-24*H6)+(Données!H$51*1E-24*H6)*Y6</f>
        <v>-2.0940936522093199E-6</v>
      </c>
      <c r="M6" s="40">
        <f t="shared" si="8"/>
        <v>1173.5261091910857</v>
      </c>
      <c r="N6" s="21">
        <f>-(Données!I$46*1E-24*H6+Données!F$46)*M6+Données!H$45*1E-24*H6*K6</f>
        <v>1.7556716752158636E-6</v>
      </c>
      <c r="O6" s="42">
        <f t="shared" si="9"/>
        <v>232.52995403087959</v>
      </c>
      <c r="P6" s="23">
        <f>-(Données!I$47*1E-24*H6+Données!F$47)*O6+(Données!H$46*1E-24*H6)*M6</f>
        <v>-7.8090859230979875E-7</v>
      </c>
      <c r="Q6" s="40">
        <f t="shared" si="10"/>
        <v>84.123734465849807</v>
      </c>
      <c r="R6" s="43">
        <f>-(Données!I$48*1E-24*H6+Données!F$48)*Q6+Données!H$47*1E-24*H6*O6+(Données!I$49*1E-24*H6*S6)*0.85*0.16</f>
        <v>1.7453208453348706E-7</v>
      </c>
      <c r="S6" s="42">
        <f t="shared" si="11"/>
        <v>52.501320693656758</v>
      </c>
      <c r="T6" s="22">
        <f>-(Données!I$49*1E-24*H6+Données!F$49)*S6+Données!F$47*O6</f>
        <v>2.6923307446199021E-8</v>
      </c>
      <c r="U6" s="28">
        <f t="shared" si="2"/>
        <v>5000.6749071720806</v>
      </c>
      <c r="V6" s="19"/>
      <c r="W6" s="40">
        <f t="shared" si="3"/>
        <v>128.55869034267218</v>
      </c>
      <c r="X6" s="21">
        <f>-(Données!I$50*1E-24*H6+Données!F$50)*W6+Données!F$45*K6</f>
        <v>-9.4328320628259338E-7</v>
      </c>
      <c r="Y6" s="42">
        <f t="shared" si="4"/>
        <v>26313.527002081584</v>
      </c>
      <c r="Z6" s="23">
        <f>-(Données!I$51*1E-24*H6+Données!F$51)*Y6+Données!F$48*Q6</f>
        <v>-2.5813131718491198E-5</v>
      </c>
      <c r="AA6" s="15">
        <f t="shared" si="5"/>
        <v>26442.085692424258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3125923379334265</v>
      </c>
      <c r="I7" s="40">
        <f t="shared" si="6"/>
        <v>17.647378912802036</v>
      </c>
      <c r="J7" s="21">
        <f>-(Données!I$44*1E-24*H7+Données!F$44)*I7</f>
        <v>-1.0135707388485616E-7</v>
      </c>
      <c r="K7" s="42">
        <f t="shared" si="7"/>
        <v>3434.5726832683313</v>
      </c>
      <c r="L7" s="23">
        <f>-(Données!I$45*1E-24*H7+Données!F$45)*K7+(I7*Données!H$44*1E-24*H7)+(Données!H$51*1E-24*H7)*Y7</f>
        <v>-2.1123837859414384E-6</v>
      </c>
      <c r="M7" s="40">
        <f t="shared" si="8"/>
        <v>1178.1400143535529</v>
      </c>
      <c r="N7" s="21">
        <f>-(Données!I$46*1E-24*H7+Données!F$46)*M7+Données!H$45*1E-24*H7*K7</f>
        <v>1.7352098738488571E-6</v>
      </c>
      <c r="O7" s="42">
        <f t="shared" si="9"/>
        <v>230.47772625028944</v>
      </c>
      <c r="P7" s="23">
        <f>-(Données!I$47*1E-24*H7+Données!F$47)*O7+(Données!H$46*1E-24*H7)*M7</f>
        <v>-7.5265173565499337E-7</v>
      </c>
      <c r="Q7" s="40">
        <f t="shared" si="10"/>
        <v>84.582404784003813</v>
      </c>
      <c r="R7" s="43">
        <f>-(Données!I$48*1E-24*H7+Données!F$48)*Q7+Données!H$47*1E-24*H7*O7+(Données!I$49*1E-24*H7*S7)*0.85*0.16</f>
        <v>1.7063602014144912E-7</v>
      </c>
      <c r="S7" s="42">
        <f t="shared" si="11"/>
        <v>52.572075145625369</v>
      </c>
      <c r="T7" s="22">
        <f>-(Données!I$49*1E-24*H7+Données!F$49)*S7+Données!F$47*O7</f>
        <v>2.3329932443739494E-8</v>
      </c>
      <c r="U7" s="28">
        <f t="shared" si="2"/>
        <v>4997.9922827146056</v>
      </c>
      <c r="V7" s="19"/>
      <c r="W7" s="40">
        <f t="shared" si="3"/>
        <v>126.07974207656153</v>
      </c>
      <c r="X7" s="21">
        <f>-(Données!I$50*1E-24*H7+Données!F$50)*W7+Données!F$45*K7</f>
        <v>-9.2503878025001225E-7</v>
      </c>
      <c r="Y7" s="42">
        <f t="shared" si="4"/>
        <v>26245.690091925389</v>
      </c>
      <c r="Z7" s="23">
        <f>-(Données!I$51*1E-24*H7+Données!F$51)*Y7+Données!F$48*Q7</f>
        <v>-2.5746584799905028E-5</v>
      </c>
      <c r="AA7" s="15">
        <f t="shared" si="5"/>
        <v>26371.769834001952</v>
      </c>
      <c r="AC7" s="19"/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3125923379334265</v>
      </c>
      <c r="I8" s="40">
        <f t="shared" si="6"/>
        <v>17.381012522632634</v>
      </c>
      <c r="J8" s="21">
        <f>-(Données!I$44*1E-24*H8+Données!F$44)*I8</f>
        <v>-9.9827208287123838E-8</v>
      </c>
      <c r="K8" s="42">
        <f t="shared" si="7"/>
        <v>3429.0213386788773</v>
      </c>
      <c r="L8" s="23">
        <f>-(Données!I$45*1E-24*H8+Données!F$45)*K8+(I8*Données!H$44*1E-24*H8)+(Données!H$51*1E-24*H8)*Y8</f>
        <v>-2.1301897486970421E-6</v>
      </c>
      <c r="M8" s="40">
        <f t="shared" si="8"/>
        <v>1182.7001459020278</v>
      </c>
      <c r="N8" s="21">
        <f>-(Données!I$46*1E-24*H8+Données!F$46)*M8+Données!H$45*1E-24*H8*K8</f>
        <v>1.7148251878153243E-6</v>
      </c>
      <c r="O8" s="42">
        <f t="shared" si="9"/>
        <v>228.49975748898811</v>
      </c>
      <c r="P8" s="23">
        <f>-(Données!I$47*1E-24*H8+Données!F$47)*O8+(Données!H$46*1E-24*H8)*M8</f>
        <v>-7.2525582701406861E-7</v>
      </c>
      <c r="Q8" s="40">
        <f t="shared" si="10"/>
        <v>85.030836244935543</v>
      </c>
      <c r="R8" s="43">
        <f>-(Données!I$48*1E-24*H8+Données!F$48)*Q8+Données!H$47*1E-24*H8*O8+(Données!I$49*1E-24*H8*S8)*0.85*0.16</f>
        <v>1.668602334877096E-7</v>
      </c>
      <c r="S8" s="42">
        <f t="shared" si="11"/>
        <v>52.633386208087515</v>
      </c>
      <c r="T8" s="22">
        <f>-(Données!I$49*1E-24*H8+Données!F$49)*S8+Données!F$47*O8</f>
        <v>1.9909828278160944E-8</v>
      </c>
      <c r="U8" s="28">
        <f t="shared" si="2"/>
        <v>4995.2664770455494</v>
      </c>
      <c r="V8" s="19"/>
      <c r="W8" s="40">
        <f t="shared" si="3"/>
        <v>123.6487401620645</v>
      </c>
      <c r="X8" s="21">
        <f>-(Données!I$50*1E-24*H8+Données!F$50)*W8+Données!F$45*K8</f>
        <v>-9.0714736797298023E-7</v>
      </c>
      <c r="Y8" s="42">
        <f t="shared" si="4"/>
        <v>26178.028067071238</v>
      </c>
      <c r="Z8" s="23">
        <f>-(Données!I$51*1E-24*H8+Données!F$51)*Y8+Données!F$48*Q8</f>
        <v>-2.5680209441520216E-5</v>
      </c>
      <c r="AA8" s="15">
        <f t="shared" si="5"/>
        <v>26301.676807233303</v>
      </c>
      <c r="AC8" s="19"/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3125923379334265</v>
      </c>
      <c r="I9" s="40">
        <f t="shared" si="6"/>
        <v>17.118666619254071</v>
      </c>
      <c r="J9" s="21">
        <f>-(Données!I$44*1E-24*H9+Données!F$44)*I9</f>
        <v>-9.8320434207895537E-8</v>
      </c>
      <c r="K9" s="42">
        <f t="shared" si="7"/>
        <v>3423.4232000193015</v>
      </c>
      <c r="L9" s="23">
        <f>-(Données!I$45*1E-24*H9+Données!F$45)*K9+(I9*Données!H$44*1E-24*H9)+(Données!H$51*1E-24*H9)*Y9</f>
        <v>-2.1475208332173256E-6</v>
      </c>
      <c r="M9" s="40">
        <f t="shared" si="8"/>
        <v>1187.2067064956063</v>
      </c>
      <c r="N9" s="21">
        <f>-(Données!I$46*1E-24*H9+Données!F$46)*M9+Données!H$45*1E-24*H9*K9</f>
        <v>1.6945188957945415E-6</v>
      </c>
      <c r="O9" s="42">
        <f t="shared" si="9"/>
        <v>226.59378517559514</v>
      </c>
      <c r="P9" s="23">
        <f>-(Données!I$47*1E-24*H9+Données!F$47)*O9+(Données!H$46*1E-24*H9)*M9</f>
        <v>-6.9869668339800248E-7</v>
      </c>
      <c r="Q9" s="40">
        <f t="shared" si="10"/>
        <v>85.469344938541241</v>
      </c>
      <c r="R9" s="43">
        <f>-(Données!I$48*1E-24*H9+Données!F$48)*Q9+Données!H$47*1E-24*H9*O9+(Données!I$49*1E-24*H9*S9)*0.85*0.16</f>
        <v>1.6320119230147476E-7</v>
      </c>
      <c r="S9" s="42">
        <f t="shared" si="11"/>
        <v>52.685709236802523</v>
      </c>
      <c r="T9" s="22">
        <f>-(Données!I$49*1E-24*H9+Données!F$49)*S9+Données!F$47*O9</f>
        <v>1.6656662434789536E-8</v>
      </c>
      <c r="U9" s="28">
        <f t="shared" si="2"/>
        <v>4992.4974124851014</v>
      </c>
      <c r="V9" s="19"/>
      <c r="W9" s="40">
        <f t="shared" si="3"/>
        <v>121.26475687903151</v>
      </c>
      <c r="X9" s="21">
        <f>-(Données!I$50*1E-24*H9+Données!F$50)*W9+Données!F$45*K9</f>
        <v>-8.8960213863064456E-7</v>
      </c>
      <c r="Y9" s="42">
        <f t="shared" si="4"/>
        <v>26110.540476658924</v>
      </c>
      <c r="Z9" s="23">
        <f>-(Données!I$51*1E-24*H9+Données!F$51)*Y9+Données!F$48*Q9</f>
        <v>-2.5614005201031794E-5</v>
      </c>
      <c r="AA9" s="15">
        <f t="shared" si="5"/>
        <v>26231.805233537954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3125923379334265</v>
      </c>
      <c r="I10" s="40">
        <f t="shared" si="6"/>
        <v>16.860280518155722</v>
      </c>
      <c r="J10" s="21">
        <f>-(Données!I$44*1E-24*H10+Données!F$44)*I10</f>
        <v>-9.6836403107908967E-8</v>
      </c>
      <c r="K10" s="42">
        <f t="shared" si="7"/>
        <v>3417.7795152696062</v>
      </c>
      <c r="L10" s="23">
        <f>-(Données!I$45*1E-24*H10+Données!F$45)*K10+(I10*Données!H$44*1E-24*H10)+(Données!H$51*1E-24*H10)*Y10</f>
        <v>-2.1643861604690646E-6</v>
      </c>
      <c r="M10" s="40">
        <f t="shared" si="8"/>
        <v>1191.6599021537545</v>
      </c>
      <c r="N10" s="21">
        <f>-(Données!I$46*1E-24*H10+Données!F$46)*M10+Données!H$45*1E-24*H10*K10</f>
        <v>1.6742922322073244E-6</v>
      </c>
      <c r="O10" s="42">
        <f t="shared" si="9"/>
        <v>224.75761029162518</v>
      </c>
      <c r="P10" s="23">
        <f>-(Données!I$47*1E-24*H10+Données!F$47)*O10+(Données!H$46*1E-24*H10)*M10</f>
        <v>-6.7295078816962528E-7</v>
      </c>
      <c r="Q10" s="40">
        <f t="shared" si="10"/>
        <v>85.898237671909513</v>
      </c>
      <c r="R10" s="43">
        <f>-(Données!I$48*1E-24*H10+Données!F$48)*Q10+Données!H$47*1E-24*H10*O10+(Données!I$49*1E-24*H10*S10)*0.85*0.16</f>
        <v>1.5965546120996741E-7</v>
      </c>
      <c r="S10" s="42">
        <f t="shared" si="11"/>
        <v>52.729482945681148</v>
      </c>
      <c r="T10" s="22">
        <f>-(Données!I$49*1E-24*H10+Données!F$49)*S10+Données!F$47*O10</f>
        <v>1.3564304469820502E-8</v>
      </c>
      <c r="U10" s="28">
        <f t="shared" si="2"/>
        <v>4989.685028850733</v>
      </c>
      <c r="V10" s="19"/>
      <c r="W10" s="40">
        <f t="shared" si="3"/>
        <v>118.92688245871018</v>
      </c>
      <c r="X10" s="21">
        <f>-(Données!I$50*1E-24*H10+Données!F$50)*W10+Données!F$45*K10</f>
        <v>-8.723963935784452E-7</v>
      </c>
      <c r="Y10" s="42">
        <f t="shared" si="4"/>
        <v>26043.226870990613</v>
      </c>
      <c r="Z10" s="23">
        <f>-(Données!I$51*1E-24*H10+Données!F$51)*Y10+Données!F$48*Q10</f>
        <v>-2.5547971637275613E-5</v>
      </c>
      <c r="AA10" s="15">
        <f t="shared" si="5"/>
        <v>26162.153753449322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3125923379334265</v>
      </c>
      <c r="I11" s="40">
        <f t="shared" si="6"/>
        <v>16.605794450788139</v>
      </c>
      <c r="J11" s="21">
        <f>-(Données!I$44*1E-24*H11+Données!F$44)*I11</f>
        <v>-9.5374771708691339E-8</v>
      </c>
      <c r="K11" s="42">
        <f t="shared" si="7"/>
        <v>3412.0915084398935</v>
      </c>
      <c r="L11" s="23">
        <f>-(Données!I$45*1E-24*H11+Données!F$45)*K11+(I11*Données!H$44*1E-24*H11)+(Données!H$51*1E-24*H11)*Y11</f>
        <v>-2.180794682799613E-6</v>
      </c>
      <c r="M11" s="40">
        <f t="shared" si="8"/>
        <v>1196.0599421399954</v>
      </c>
      <c r="N11" s="21">
        <f>-(Données!I$46*1E-24*H11+Données!F$46)*M11+Données!H$45*1E-24*H11*K11</f>
        <v>1.6541463881815273E-6</v>
      </c>
      <c r="O11" s="42">
        <f t="shared" si="9"/>
        <v>222.9890956203154</v>
      </c>
      <c r="P11" s="23">
        <f>-(Données!I$47*1E-24*H11+Données!F$47)*O11+(Données!H$46*1E-24*H11)*M11</f>
        <v>-6.4799527271643188E-7</v>
      </c>
      <c r="Q11" s="40">
        <f t="shared" si="10"/>
        <v>86.317812223969312</v>
      </c>
      <c r="R11" s="43">
        <f>-(Données!I$48*1E-24*H11+Données!F$48)*Q11+Données!H$47*1E-24*H11*O11+(Données!I$49*1E-24*H11*S11)*0.85*0.16</f>
        <v>1.5621969913253329E-7</v>
      </c>
      <c r="S11" s="42">
        <f t="shared" si="11"/>
        <v>52.765129937827837</v>
      </c>
      <c r="T11" s="22">
        <f>-(Données!I$49*1E-24*H11+Données!F$49)*S11+Données!F$47*O11</f>
        <v>1.0626819986939799E-8</v>
      </c>
      <c r="U11" s="28">
        <f t="shared" si="2"/>
        <v>4986.8292828127896</v>
      </c>
      <c r="V11" s="19"/>
      <c r="W11" s="40">
        <f t="shared" si="3"/>
        <v>116.63422473638603</v>
      </c>
      <c r="X11" s="21">
        <f>-(Données!I$50*1E-24*H11+Données!F$50)*W11+Données!F$45*K11</f>
        <v>-8.5552356379052339E-7</v>
      </c>
      <c r="Y11" s="42">
        <f t="shared" si="4"/>
        <v>25976.086801527854</v>
      </c>
      <c r="Z11" s="23">
        <f>-(Données!I$51*1E-24*H11+Données!F$51)*Y11+Données!F$48*Q11</f>
        <v>-2.548210831022539E-5</v>
      </c>
      <c r="AA11" s="15">
        <f t="shared" si="5"/>
        <v>26092.72102626424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3125923379334265</v>
      </c>
      <c r="I12" s="40">
        <f t="shared" si="6"/>
        <v>16.355149550737696</v>
      </c>
      <c r="J12" s="21">
        <f>-(Données!I$44*1E-24*H12+Données!F$44)*I12</f>
        <v>-9.3935201913153836E-8</v>
      </c>
      <c r="K12" s="42">
        <f t="shared" si="7"/>
        <v>3406.3603800134961</v>
      </c>
      <c r="L12" s="23">
        <f>-(Données!I$45*1E-24*H12+Données!F$45)*K12+(I12*Données!H$44*1E-24*H12)+(Données!H$51*1E-24*H12)*Y12</f>
        <v>-2.1967551870340931E-6</v>
      </c>
      <c r="M12" s="40">
        <f t="shared" si="8"/>
        <v>1200.4070388481364</v>
      </c>
      <c r="N12" s="21">
        <f>-(Données!I$46*1E-24*H12+Données!F$46)*M12+Données!H$45*1E-24*H12*K12</f>
        <v>1.6340825124987095E-6</v>
      </c>
      <c r="O12" s="42">
        <f t="shared" si="9"/>
        <v>221.28616404361662</v>
      </c>
      <c r="P12" s="23">
        <f>-(Données!I$47*1E-24*H12+Données!F$47)*O12+(Données!H$46*1E-24*H12)*M12</f>
        <v>-6.2380789862839905E-7</v>
      </c>
      <c r="Q12" s="40">
        <f t="shared" si="10"/>
        <v>86.728357593289616</v>
      </c>
      <c r="R12" s="43">
        <f>-(Données!I$48*1E-24*H12+Données!F$48)*Q12+Données!H$47*1E-24*H12*O12+(Données!I$49*1E-24*H12*S12)*0.85*0.16</f>
        <v>1.5289065674501869E-7</v>
      </c>
      <c r="S12" s="42">
        <f t="shared" si="11"/>
        <v>52.793057220753518</v>
      </c>
      <c r="T12" s="22">
        <f>-(Données!I$49*1E-24*H12+Données!F$49)*S12+Données!F$47*O12</f>
        <v>7.838464787299902E-9</v>
      </c>
      <c r="U12" s="28">
        <f t="shared" si="2"/>
        <v>4983.9301472700299</v>
      </c>
      <c r="V12" s="19"/>
      <c r="W12" s="40">
        <f t="shared" si="3"/>
        <v>114.38590881074454</v>
      </c>
      <c r="X12" s="21">
        <f>-(Données!I$50*1E-24*H12+Données!F$50)*W12+Données!F$45*K12</f>
        <v>-8.3897720735162079E-7</v>
      </c>
      <c r="Y12" s="42">
        <f t="shared" si="4"/>
        <v>25909.11982088858</v>
      </c>
      <c r="Z12" s="23">
        <f>-(Données!I$51*1E-24*H12+Données!F$51)*Y12+Données!F$48*Q12</f>
        <v>-2.5416414780989739E-5</v>
      </c>
      <c r="AA12" s="15">
        <f t="shared" si="5"/>
        <v>26023.505729699325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3125923379334265</v>
      </c>
      <c r="I13" s="40">
        <f t="shared" si="6"/>
        <v>16.108287840109927</v>
      </c>
      <c r="J13" s="21">
        <f>-(Données!I$44*1E-24*H13+Données!F$44)*I13</f>
        <v>-9.2517360727384914E-8</v>
      </c>
      <c r="K13" s="42">
        <f t="shared" si="7"/>
        <v>3400.5873073819703</v>
      </c>
      <c r="L13" s="23">
        <f>-(Données!I$45*1E-24*H13+Données!F$45)*K13+(I13*Données!H$44*1E-24*H13)+(Données!H$51*1E-24*H13)*Y13</f>
        <v>-2.2122762975157794E-6</v>
      </c>
      <c r="M13" s="40">
        <f t="shared" si="8"/>
        <v>1204.7014076909829</v>
      </c>
      <c r="N13" s="21">
        <f>-(Données!I$46*1E-24*H13+Données!F$46)*M13+Données!H$45*1E-24*H13*K13</f>
        <v>1.6141017125223371E-6</v>
      </c>
      <c r="O13" s="42">
        <f t="shared" si="9"/>
        <v>219.64679688602118</v>
      </c>
      <c r="P13" s="23">
        <f>-(Données!I$47*1E-24*H13+Données!F$47)*O13+(Données!H$46*1E-24*H13)*M13</f>
        <v>-6.0036704036687102E-7</v>
      </c>
      <c r="Q13" s="40">
        <f t="shared" si="10"/>
        <v>87.130154239215528</v>
      </c>
      <c r="R13" s="43">
        <f>-(Données!I$48*1E-24*H13+Données!F$48)*Q13+Données!H$47*1E-24*H13*O13+(Données!I$49*1E-24*H13*S13)*0.85*0.16</f>
        <v>1.4966517401250838E-7</v>
      </c>
      <c r="S13" s="42">
        <f t="shared" si="11"/>
        <v>52.813656706214545</v>
      </c>
      <c r="T13" s="22">
        <f>-(Données!I$49*1E-24*H13+Données!F$49)*S13+Données!F$47*O13</f>
        <v>5.1936791879511188E-9</v>
      </c>
      <c r="U13" s="28">
        <f t="shared" si="2"/>
        <v>4980.9876107445152</v>
      </c>
      <c r="V13" s="19"/>
      <c r="W13" s="40">
        <f t="shared" si="3"/>
        <v>112.18107670982448</v>
      </c>
      <c r="X13" s="21">
        <f>-(Données!I$50*1E-24*H13+Données!F$50)*W13+Données!F$45*K13</f>
        <v>-8.227510069975088E-7</v>
      </c>
      <c r="Y13" s="42">
        <f t="shared" si="4"/>
        <v>25842.325482844139</v>
      </c>
      <c r="Z13" s="23">
        <f>-(Données!I$51*1E-24*H13+Données!F$51)*Y13+Données!F$48*Q13</f>
        <v>-2.5350890611809263E-5</v>
      </c>
      <c r="AA13" s="15">
        <f t="shared" si="5"/>
        <v>25954.506559553964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3125923379334265</v>
      </c>
      <c r="I14" s="40">
        <f t="shared" si="6"/>
        <v>15.865152216118359</v>
      </c>
      <c r="J14" s="21">
        <f>-(Données!I$44*1E-24*H14+Données!F$44)*I14</f>
        <v>-9.1120920183623667E-8</v>
      </c>
      <c r="K14" s="42">
        <f t="shared" si="7"/>
        <v>3394.7734452720988</v>
      </c>
      <c r="L14" s="23">
        <f>-(Données!I$45*1E-24*H14+Données!F$45)*K14+(I14*Données!H$44*1E-24*H14)+(Données!H$51*1E-24*H14)*Y14</f>
        <v>-2.227366479090802E-6</v>
      </c>
      <c r="M14" s="40">
        <f t="shared" si="8"/>
        <v>1208.9432669914916</v>
      </c>
      <c r="N14" s="21">
        <f>-(Données!I$46*1E-24*H14+Données!F$46)*M14+Données!H$45*1E-24*H14*K14</f>
        <v>1.5942050551078571E-6</v>
      </c>
      <c r="O14" s="42">
        <f t="shared" si="9"/>
        <v>218.06903230393704</v>
      </c>
      <c r="P14" s="23">
        <f>-(Données!I$47*1E-24*H14+Données!F$47)*O14+(Données!H$46*1E-24*H14)*M14</f>
        <v>-5.776516684109535E-7</v>
      </c>
      <c r="Q14" s="40">
        <f t="shared" si="10"/>
        <v>87.523474316520407</v>
      </c>
      <c r="R14" s="43">
        <f>-(Données!I$48*1E-24*H14+Données!F$48)*Q14+Données!H$47*1E-24*H14*O14+(Données!I$49*1E-24*H14*S14)*0.85*0.16</f>
        <v>1.4654017778856676E-7</v>
      </c>
      <c r="S14" s="42">
        <f t="shared" si="11"/>
        <v>52.827305695120479</v>
      </c>
      <c r="T14" s="22">
        <f>-(Données!I$49*1E-24*H14+Données!F$49)*S14+Données!F$47*O14</f>
        <v>2.6870825039679632E-9</v>
      </c>
      <c r="U14" s="28">
        <f t="shared" si="2"/>
        <v>4978.0016767952866</v>
      </c>
      <c r="V14" s="19"/>
      <c r="W14" s="40">
        <f t="shared" si="3"/>
        <v>110.01888706343503</v>
      </c>
      <c r="X14" s="21">
        <f>-(Données!I$50*1E-24*H14+Données!F$50)*W14+Données!F$45*K14</f>
        <v>-8.0683876770300936E-7</v>
      </c>
      <c r="Y14" s="42">
        <f t="shared" si="4"/>
        <v>25775.703342316305</v>
      </c>
      <c r="Z14" s="23">
        <f>-(Données!I$51*1E-24*H14+Données!F$51)*Y14+Données!F$48*Q14</f>
        <v>-2.5285535366053602E-5</v>
      </c>
      <c r="AA14" s="15">
        <f t="shared" si="5"/>
        <v>25885.722229379739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3125923379334265</v>
      </c>
      <c r="I15" s="40">
        <f t="shared" si="6"/>
        <v>15.625686437875796</v>
      </c>
      <c r="J15" s="21">
        <f>-(Données!I$44*1E-24*H15+Données!F$44)*I15</f>
        <v>-8.9745557264396129E-8</v>
      </c>
      <c r="K15" s="42">
        <f t="shared" si="7"/>
        <v>3388.9199261650483</v>
      </c>
      <c r="L15" s="23">
        <f>-(Données!I$45*1E-24*H15+Données!F$45)*K15+(I15*Données!H$44*1E-24*H15)+(Données!H$51*1E-24*H15)*Y15</f>
        <v>-2.2420340400380374E-6</v>
      </c>
      <c r="M15" s="40">
        <f t="shared" si="8"/>
        <v>1213.1328378763151</v>
      </c>
      <c r="N15" s="21">
        <f>-(Données!I$46*1E-24*H15+Données!F$46)*M15+Données!H$45*1E-24*H15*K15</f>
        <v>1.5743935674949906E-6</v>
      </c>
      <c r="O15" s="42">
        <f t="shared" si="9"/>
        <v>216.55096371935306</v>
      </c>
      <c r="P15" s="23">
        <f>-(Données!I$47*1E-24*H15+Données!F$47)*O15+(Données!H$46*1E-24*H15)*M15</f>
        <v>-5.556413328682304E-7</v>
      </c>
      <c r="Q15" s="40">
        <f t="shared" si="10"/>
        <v>87.908581903748754</v>
      </c>
      <c r="R15" s="43">
        <f>-(Données!I$48*1E-24*H15+Données!F$48)*Q15+Données!H$47*1E-24*H15*O15+(Données!I$49*1E-24*H15*S15)*0.85*0.16</f>
        <v>1.4351267947917328E-7</v>
      </c>
      <c r="S15" s="42">
        <f t="shared" si="11"/>
        <v>52.834367347940905</v>
      </c>
      <c r="T15" s="22">
        <f>-(Données!I$49*1E-24*H15+Données!F$49)*S15+Données!F$47*O15</f>
        <v>3.1346768964068391E-10</v>
      </c>
      <c r="U15" s="28">
        <f t="shared" si="2"/>
        <v>4974.9723634502825</v>
      </c>
      <c r="V15" s="19"/>
      <c r="W15" s="40">
        <f t="shared" si="3"/>
        <v>107.89851478191152</v>
      </c>
      <c r="X15" s="21">
        <f>-(Données!I$50*1E-24*H15+Données!F$50)*W15+Données!F$45*K15</f>
        <v>-7.9123441431668735E-7</v>
      </c>
      <c r="Y15" s="42">
        <f t="shared" si="4"/>
        <v>25709.252955374315</v>
      </c>
      <c r="Z15" s="23">
        <f>-(Données!I$51*1E-24*H15+Données!F$51)*Y15+Données!F$48*Q15</f>
        <v>-2.5220348608218511E-5</v>
      </c>
      <c r="AA15" s="15">
        <f t="shared" si="5"/>
        <v>25817.151470156226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3125923379334265</v>
      </c>
      <c r="I16" s="40">
        <f t="shared" si="6"/>
        <v>15.389835113384963</v>
      </c>
      <c r="J16" s="21">
        <f>-(Données!I$44*1E-24*H16+Données!F$44)*I16</f>
        <v>-8.8390953827796434E-8</v>
      </c>
      <c r="K16" s="42">
        <f t="shared" si="7"/>
        <v>3383.0278607078285</v>
      </c>
      <c r="L16" s="23">
        <f>-(Données!I$45*1E-24*H16+Données!F$45)*K16+(I16*Données!H$44*1E-24*H16)+(Données!H$51*1E-24*H16)*Y16</f>
        <v>-2.2562871349453777E-6</v>
      </c>
      <c r="M16" s="40">
        <f t="shared" si="8"/>
        <v>1217.2703441716919</v>
      </c>
      <c r="N16" s="21">
        <f>-(Données!I$46*1E-24*H16+Données!F$46)*M16+Données!H$45*1E-24*H16*K16</f>
        <v>1.5546682381825745E-6</v>
      </c>
      <c r="O16" s="42">
        <f t="shared" si="9"/>
        <v>215.09073829657535</v>
      </c>
      <c r="P16" s="23">
        <f>-(Données!I$47*1E-24*H16+Données!F$47)*O16+(Données!H$46*1E-24*H16)*M16</f>
        <v>-5.3431614753698134E-7</v>
      </c>
      <c r="Q16" s="40">
        <f t="shared" si="10"/>
        <v>88.285733225420017</v>
      </c>
      <c r="R16" s="43">
        <f>-(Données!I$48*1E-24*H16+Données!F$48)*Q16+Données!H$47*1E-24*H16*O16+(Données!I$49*1E-24*H16*S16)*0.85*0.16</f>
        <v>1.4057977276959603E-7</v>
      </c>
      <c r="S16" s="42">
        <f t="shared" si="11"/>
        <v>52.835191141029277</v>
      </c>
      <c r="T16" s="22">
        <f>-(Données!I$49*1E-24*H16+Données!F$49)*S16+Données!F$47*O16</f>
        <v>-1.9322038657657845E-9</v>
      </c>
      <c r="U16" s="28">
        <f t="shared" si="2"/>
        <v>4971.8997026559291</v>
      </c>
      <c r="V16" s="19"/>
      <c r="W16" s="40">
        <f t="shared" si="3"/>
        <v>105.81915074108726</v>
      </c>
      <c r="X16" s="21">
        <f>-(Données!I$50*1E-24*H16+Données!F$50)*W16+Données!F$45*K16</f>
        <v>-7.7593198924131148E-7</v>
      </c>
      <c r="Y16" s="42">
        <f t="shared" si="4"/>
        <v>25642.973879231919</v>
      </c>
      <c r="Z16" s="23">
        <f>-(Données!I$51*1E-24*H16+Données!F$51)*Y16+Données!F$48*Q16</f>
        <v>-2.5155329903922955E-5</v>
      </c>
      <c r="AA16" s="15">
        <f t="shared" si="5"/>
        <v>25748.793029973007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3125923379334265</v>
      </c>
      <c r="I17" s="40">
        <f t="shared" si="6"/>
        <v>15.157543686725514</v>
      </c>
      <c r="J17" s="21">
        <f>-(Données!I$44*1E-24*H17+Données!F$44)*I17</f>
        <v>-8.7056796533895955E-8</v>
      </c>
      <c r="K17" s="42">
        <f t="shared" si="7"/>
        <v>3377.0983381171918</v>
      </c>
      <c r="L17" s="23">
        <f>-(Données!I$45*1E-24*H17+Données!F$45)*K17+(I17*Données!H$44*1E-24*H17)+(Données!H$51*1E-24*H17)*Y17</f>
        <v>-2.2701337675332139E-6</v>
      </c>
      <c r="M17" s="40">
        <f t="shared" si="8"/>
        <v>1221.3560123016357</v>
      </c>
      <c r="N17" s="21">
        <f>-(Données!I$46*1E-24*H17+Données!F$46)*M17+Données!H$45*1E-24*H17*K17</f>
        <v>1.535030017786277E-6</v>
      </c>
      <c r="O17" s="42">
        <f t="shared" si="9"/>
        <v>213.68655546084815</v>
      </c>
      <c r="P17" s="23">
        <f>-(Données!I$47*1E-24*H17+Données!F$47)*O17+(Données!H$46*1E-24*H17)*M17</f>
        <v>-5.1365677440743953E-7</v>
      </c>
      <c r="Q17" s="40">
        <f t="shared" si="10"/>
        <v>88.655176868258522</v>
      </c>
      <c r="R17" s="43">
        <f>-(Données!I$48*1E-24*H17+Données!F$48)*Q17+Données!H$47*1E-24*H17*O17+(Données!I$49*1E-24*H17*S17)*0.85*0.16</f>
        <v>1.3773863141249295E-7</v>
      </c>
      <c r="S17" s="42">
        <f t="shared" si="11"/>
        <v>52.830113309270047</v>
      </c>
      <c r="T17" s="22">
        <f>-(Données!I$49*1E-24*H17+Données!F$49)*S17+Données!F$47*O17</f>
        <v>-4.0548073920576239E-9</v>
      </c>
      <c r="U17" s="28">
        <f t="shared" si="2"/>
        <v>4968.7837397439298</v>
      </c>
      <c r="V17" s="19"/>
      <c r="W17" s="40">
        <f t="shared" si="3"/>
        <v>103.7800014733611</v>
      </c>
      <c r="X17" s="21">
        <f>-(Données!I$50*1E-24*H17+Données!F$50)*W17+Données!F$45*K17</f>
        <v>-7.6092565015919589E-7</v>
      </c>
      <c r="Y17" s="42">
        <f t="shared" si="4"/>
        <v>25576.86567224441</v>
      </c>
      <c r="Z17" s="23">
        <f>-(Données!I$51*1E-24*H17+Données!F$51)*Y17+Données!F$48*Q17</f>
        <v>-2.5090478819906178E-5</v>
      </c>
      <c r="AA17" s="15">
        <f t="shared" si="5"/>
        <v>25680.645673717772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3125923379334265</v>
      </c>
      <c r="I18" s="40">
        <f t="shared" si="6"/>
        <v>14.928758425434436</v>
      </c>
      <c r="J18" s="21">
        <f>-(Données!I$44*1E-24*H18+Données!F$44)*I18</f>
        <v>-8.5742776772263043E-8</v>
      </c>
      <c r="K18" s="42">
        <f t="shared" si="7"/>
        <v>3371.1324265761145</v>
      </c>
      <c r="L18" s="23">
        <f>-(Données!I$45*1E-24*H18+Données!F$45)*K18+(I18*Données!H$44*1E-24*H18)+(Données!H$51*1E-24*H18)*Y18</f>
        <v>-2.2835817934261439E-6</v>
      </c>
      <c r="M18" s="40">
        <f t="shared" si="8"/>
        <v>1225.390071188378</v>
      </c>
      <c r="N18" s="21">
        <f>-(Données!I$46*1E-24*H18+Données!F$46)*M18+Données!H$45*1E-24*H18*K18</f>
        <v>1.5154798198795191E-6</v>
      </c>
      <c r="O18" s="42">
        <f t="shared" si="9"/>
        <v>212.33666545770541</v>
      </c>
      <c r="P18" s="23">
        <f>-(Données!I$47*1E-24*H18+Données!F$47)*O18+(Données!H$46*1E-24*H18)*M18</f>
        <v>-4.9364440858996816E-7</v>
      </c>
      <c r="Q18" s="40">
        <f t="shared" si="10"/>
        <v>89.017153991610556</v>
      </c>
      <c r="R18" s="43">
        <f>-(Données!I$48*1E-24*H18+Données!F$48)*Q18+Données!H$47*1E-24*H18*O18+(Données!I$49*1E-24*H18*S18)*0.85*0.16</f>
        <v>1.3498650707557763E-7</v>
      </c>
      <c r="S18" s="42">
        <f t="shared" si="11"/>
        <v>52.819457275443717</v>
      </c>
      <c r="T18" s="22">
        <f>-(Données!I$49*1E-24*H18+Données!F$49)*S18+Données!F$47*O18</f>
        <v>-6.059059646214105E-9</v>
      </c>
      <c r="U18" s="28">
        <f t="shared" si="2"/>
        <v>4965.6245329146868</v>
      </c>
      <c r="V18" s="19"/>
      <c r="W18" s="40">
        <f t="shared" si="3"/>
        <v>101.78028886474273</v>
      </c>
      <c r="X18" s="21">
        <f>-(Données!I$50*1E-24*H18+Données!F$50)*W18+Données!F$45*K18</f>
        <v>-7.4620966780155773E-7</v>
      </c>
      <c r="Y18" s="42">
        <f t="shared" si="4"/>
        <v>25510.927893905697</v>
      </c>
      <c r="Z18" s="23">
        <f>-(Données!I$51*1E-24*H18+Données!F$51)*Y18+Données!F$48*Q18</f>
        <v>-2.5025794924024821E-5</v>
      </c>
      <c r="AA18" s="15">
        <f t="shared" si="5"/>
        <v>25612.708182770439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3125923379334265</v>
      </c>
      <c r="I19" s="40">
        <f t="shared" ref="I19:I30" si="14">I18+J18*D$5</f>
        <v>14.703426408076929</v>
      </c>
      <c r="J19" s="21">
        <f>-(Données!I$44*1E-24*H19+Données!F$44)*I19</f>
        <v>-8.4448590590576847E-8</v>
      </c>
      <c r="K19" s="42">
        <f t="shared" ref="K19:K30" si="15">K18+L18*D$5</f>
        <v>3365.1311736229904</v>
      </c>
      <c r="L19" s="23">
        <f>-(Données!I$45*1E-24*H19+Données!F$45)*K19+(I19*Données!H$44*1E-24*H19)+(Données!H$51*1E-24*H19)*Y19</f>
        <v>-2.2966389228739073E-6</v>
      </c>
      <c r="M19" s="40">
        <f t="shared" ref="M19:M30" si="16">M18+N18*D$5</f>
        <v>1229.3727521550213</v>
      </c>
      <c r="N19" s="21">
        <f>-(Données!I$46*1E-24*H19+Données!F$46)*M19+Données!H$45*1E-24*H19*K19</f>
        <v>1.4960185218179055E-6</v>
      </c>
      <c r="O19" s="42">
        <f t="shared" ref="O19:O30" si="17">O18+P18*D$5</f>
        <v>211.03936795193098</v>
      </c>
      <c r="P19" s="23">
        <f>-(Données!I$47*1E-24*H19+Données!F$47)*O19+(Données!H$46*1E-24*H19)*M19</f>
        <v>-4.7426076365836729E-7</v>
      </c>
      <c r="Q19" s="40">
        <f t="shared" ref="Q19:Q30" si="18">Q18+R18*D$5</f>
        <v>89.371898532205179</v>
      </c>
      <c r="R19" s="43">
        <f>-(Données!I$48*1E-24*H19+Données!F$48)*Q19+Données!H$47*1E-24*H19*O19+(Données!I$49*1E-24*H19*S19)*0.85*0.16</f>
        <v>1.3232072724723285E-7</v>
      </c>
      <c r="S19" s="42">
        <f t="shared" ref="S19:S30" si="19">S18+T18*D$5</f>
        <v>52.803534066693466</v>
      </c>
      <c r="T19" s="22">
        <f>-(Données!I$49*1E-24*H19+Données!F$49)*S19+Données!F$47*O19</f>
        <v>-7.9495236786765515E-9</v>
      </c>
      <c r="U19" s="28">
        <f t="shared" ref="U19:U30" si="20">I19+K19+M19+O19+Q19+S19</f>
        <v>4962.4221527369191</v>
      </c>
      <c r="V19" s="19"/>
      <c r="W19" s="40">
        <f t="shared" ref="W19:W30" si="21">W18+X18*D$5</f>
        <v>99.819249857760241</v>
      </c>
      <c r="X19" s="21">
        <f>-(Données!I$50*1E-24*H19+Données!F$50)*W19+Données!F$45*K19</f>
        <v>-7.3177842376103528E-7</v>
      </c>
      <c r="Y19" s="42">
        <f t="shared" ref="Y19:Y30" si="22">Y18+Z18*D$5</f>
        <v>25445.160104845359</v>
      </c>
      <c r="Z19" s="23">
        <f>-(Données!I$51*1E-24*H19+Données!F$51)*Y19+Données!F$48*Q19</f>
        <v>-2.4961277785250027E-5</v>
      </c>
      <c r="AA19" s="15">
        <f t="shared" ref="AA19:AA30" si="23">W19+Y19</f>
        <v>25544.979354703119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3125923379334265</v>
      </c>
      <c r="I20" s="40">
        <f t="shared" si="14"/>
        <v>14.481495512004892</v>
      </c>
      <c r="J20" s="21">
        <f>-(Données!I$44*1E-24*H20+Données!F$44)*I20</f>
        <v>-8.3173938624318698E-8</v>
      </c>
      <c r="K20" s="42">
        <f t="shared" si="15"/>
        <v>3359.0956065336777</v>
      </c>
      <c r="L20" s="23">
        <f>-(Données!I$45*1E-24*H20+Données!F$45)*K20+(I20*Données!H$44*1E-24*H20)+(Données!H$51*1E-24*H20)*Y20</f>
        <v>-2.3093127234223947E-6</v>
      </c>
      <c r="M20" s="40">
        <f t="shared" si="16"/>
        <v>1233.3042888303587</v>
      </c>
      <c r="N20" s="21">
        <f>-(Données!I$46*1E-24*H20+Données!F$46)*M20+Données!H$45*1E-24*H20*K20</f>
        <v>1.4766469655474848E-6</v>
      </c>
      <c r="O20" s="42">
        <f t="shared" si="17"/>
        <v>209.7930106650368</v>
      </c>
      <c r="P20" s="23">
        <f>-(Données!I$47*1E-24*H20+Données!F$47)*O20+(Données!H$46*1E-24*H20)*M20</f>
        <v>-4.5548805739685495E-7</v>
      </c>
      <c r="Q20" s="40">
        <f t="shared" si="18"/>
        <v>89.719637403410914</v>
      </c>
      <c r="R20" s="43">
        <f>-(Données!I$48*1E-24*H20+Données!F$48)*Q20+Données!H$47*1E-24*H20*O20+(Données!I$49*1E-24*H20*S20)*0.85*0.16</f>
        <v>1.2973869319849841E-7</v>
      </c>
      <c r="S20" s="42">
        <f t="shared" si="19"/>
        <v>52.782642718465901</v>
      </c>
      <c r="T20" s="22">
        <f>-(Données!I$49*1E-24*H20+Données!F$49)*S20+Données!F$47*O20</f>
        <v>-9.7306134618389129E-9</v>
      </c>
      <c r="U20" s="28">
        <f t="shared" si="20"/>
        <v>4959.1766816629543</v>
      </c>
      <c r="V20" s="19"/>
      <c r="W20" s="40">
        <f t="shared" si="21"/>
        <v>97.896136160116242</v>
      </c>
      <c r="X20" s="21">
        <f>-(Données!I$50*1E-24*H20+Données!F$50)*W20+Données!F$45*K20</f>
        <v>-7.1762640834653483E-7</v>
      </c>
      <c r="Y20" s="42">
        <f t="shared" si="22"/>
        <v>25379.561866825723</v>
      </c>
      <c r="Z20" s="23">
        <f>-(Données!I$51*1E-24*H20+Données!F$51)*Y20+Données!F$48*Q20</f>
        <v>-2.4896926973664556E-5</v>
      </c>
      <c r="AA20" s="15">
        <f t="shared" si="23"/>
        <v>25477.458002985841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3125923379334265</v>
      </c>
      <c r="I21" s="40">
        <f t="shared" si="14"/>
        <v>14.262914401300183</v>
      </c>
      <c r="J21" s="21">
        <f>-(Données!I$44*1E-24*H21+Données!F$44)*I21</f>
        <v>-8.1918526027524556E-8</v>
      </c>
      <c r="K21" s="42">
        <f t="shared" si="15"/>
        <v>3353.0267326965236</v>
      </c>
      <c r="L21" s="23">
        <f>-(Données!I$45*1E-24*H21+Données!F$45)*K21+(I21*Données!H$44*1E-24*H21)+(Données!H$51*1E-24*H21)*Y21</f>
        <v>-2.3216106225356862E-6</v>
      </c>
      <c r="M21" s="40">
        <f t="shared" si="16"/>
        <v>1237.1849170558176</v>
      </c>
      <c r="N21" s="21">
        <f>-(Données!I$46*1E-24*H21+Données!F$46)*M21+Données!H$45*1E-24*H21*K21</f>
        <v>1.4573659583971312E-6</v>
      </c>
      <c r="O21" s="42">
        <f t="shared" si="17"/>
        <v>208.59598805019786</v>
      </c>
      <c r="P21" s="23">
        <f>-(Données!I$47*1E-24*H21+Données!F$47)*O21+(Données!H$46*1E-24*H21)*M21</f>
        <v>-4.3730899793957845E-7</v>
      </c>
      <c r="Q21" s="40">
        <f t="shared" si="18"/>
        <v>90.060590689136575</v>
      </c>
      <c r="R21" s="43">
        <f>-(Données!I$48*1E-24*H21+Données!F$48)*Q21+Données!H$47*1E-24*H21*O21+(Données!I$49*1E-24*H21*S21)*0.85*0.16</f>
        <v>1.2723787799990336E-7</v>
      </c>
      <c r="S21" s="42">
        <f t="shared" si="19"/>
        <v>52.757070666288186</v>
      </c>
      <c r="T21" s="22">
        <f>-(Données!I$49*1E-24*H21+Données!F$49)*S21+Données!F$47*O21</f>
        <v>-1.1406598384644188E-8</v>
      </c>
      <c r="U21" s="28">
        <f t="shared" si="20"/>
        <v>4955.8882135592639</v>
      </c>
      <c r="V21" s="19"/>
      <c r="W21" s="40">
        <f t="shared" si="21"/>
        <v>96.010213958981552</v>
      </c>
      <c r="X21" s="21">
        <f>-(Données!I$50*1E-24*H21+Données!F$50)*W21+Données!F$45*K21</f>
        <v>-7.0374821847958363E-7</v>
      </c>
      <c r="Y21" s="42">
        <f t="shared" si="22"/>
        <v>25314.132742738933</v>
      </c>
      <c r="Z21" s="23">
        <f>-(Données!I$51*1E-24*H21+Données!F$51)*Y21+Données!F$48*Q21</f>
        <v>-2.4832742060459899E-5</v>
      </c>
      <c r="AA21" s="15">
        <f t="shared" si="23"/>
        <v>25410.142956697913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3125923379334265</v>
      </c>
      <c r="I22" s="40">
        <f t="shared" si="14"/>
        <v>14.047632514899849</v>
      </c>
      <c r="J22" s="21">
        <f>-(Données!I$44*1E-24*H22+Données!F$44)*I22</f>
        <v>-8.0682062404582753E-8</v>
      </c>
      <c r="K22" s="42">
        <f t="shared" si="15"/>
        <v>3346.9255399804997</v>
      </c>
      <c r="L22" s="23">
        <f>-(Données!I$45*1E-24*H22+Données!F$45)*K22+(I22*Données!H$44*1E-24*H22)+(Données!H$51*1E-24*H22)*Y22</f>
        <v>-2.333539910170035E-6</v>
      </c>
      <c r="M22" s="40">
        <f t="shared" si="16"/>
        <v>1241.0148747944852</v>
      </c>
      <c r="N22" s="21">
        <f>-(Données!I$46*1E-24*H22+Données!F$46)*M22+Données!H$45*1E-24*H22*K22</f>
        <v>1.4381762738553638E-6</v>
      </c>
      <c r="O22" s="42">
        <f t="shared" si="17"/>
        <v>207.44674000361266</v>
      </c>
      <c r="P22" s="23">
        <f>-(Données!I$47*1E-24*H22+Données!F$47)*O22+(Données!H$46*1E-24*H22)*M22</f>
        <v>-4.1970677029182612E-7</v>
      </c>
      <c r="Q22" s="40">
        <f t="shared" si="18"/>
        <v>90.394971832520326</v>
      </c>
      <c r="R22" s="43">
        <f>-(Données!I$48*1E-24*H22+Données!F$48)*Q22+Données!H$47*1E-24*H22*O22+(Données!I$49*1E-24*H22*S22)*0.85*0.16</f>
        <v>1.2481582459165444E-7</v>
      </c>
      <c r="S22" s="42">
        <f t="shared" si="19"/>
        <v>52.727094125733338</v>
      </c>
      <c r="T22" s="22">
        <f>-(Données!I$49*1E-24*H22+Données!F$49)*S22+Données!F$47*O22</f>
        <v>-1.2981607617079285E-8</v>
      </c>
      <c r="U22" s="28">
        <f t="shared" si="20"/>
        <v>4952.5568532517509</v>
      </c>
      <c r="V22" s="19"/>
      <c r="W22" s="40">
        <f t="shared" si="21"/>
        <v>94.160763640817208</v>
      </c>
      <c r="X22" s="21">
        <f>-(Données!I$50*1E-24*H22+Données!F$50)*W22+Données!F$45*K22</f>
        <v>-6.9013855563139039E-7</v>
      </c>
      <c r="Y22" s="42">
        <f t="shared" si="22"/>
        <v>25248.872296604044</v>
      </c>
      <c r="Z22" s="23">
        <f>-(Données!I$51*1E-24*H22+Données!F$51)*Y22+Données!F$48*Q22</f>
        <v>-2.4768722617933424E-5</v>
      </c>
      <c r="AA22" s="15">
        <f t="shared" si="23"/>
        <v>25343.033060244863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3125923379334265</v>
      </c>
      <c r="I23" s="40">
        <f t="shared" si="14"/>
        <v>13.835600054900606</v>
      </c>
      <c r="J23" s="21">
        <f>-(Données!I$44*1E-24*H23+Données!F$44)*I23</f>
        <v>-7.9464261743061251E-8</v>
      </c>
      <c r="K23" s="42">
        <f t="shared" si="15"/>
        <v>3340.7929970965729</v>
      </c>
      <c r="L23" s="23">
        <f>-(Données!I$45*1E-24*H23+Données!F$45)*K23+(I23*Données!H$44*1E-24*H23)+(Données!H$51*1E-24*H23)*Y23</f>
        <v>-2.3451077413006211E-6</v>
      </c>
      <c r="M23" s="40">
        <f t="shared" si="16"/>
        <v>1244.7944020421771</v>
      </c>
      <c r="N23" s="21">
        <f>-(Données!I$46*1E-24*H23+Données!F$46)*M23+Données!H$45*1E-24*H23*K23</f>
        <v>1.419078652331877E-6</v>
      </c>
      <c r="O23" s="42">
        <f t="shared" si="17"/>
        <v>206.34375061128574</v>
      </c>
      <c r="P23" s="23">
        <f>-(Données!I$47*1E-24*H23+Données!F$47)*O23+(Données!H$46*1E-24*H23)*M23</f>
        <v>-4.026650232223949E-7</v>
      </c>
      <c r="Q23" s="40">
        <f t="shared" si="18"/>
        <v>90.7229878195472</v>
      </c>
      <c r="R23" s="43">
        <f>-(Données!I$48*1E-24*H23+Données!F$48)*Q23+Données!H$47*1E-24*H23*O23+(Données!I$49*1E-24*H23*S23)*0.85*0.16</f>
        <v>1.2247014390573244E-7</v>
      </c>
      <c r="S23" s="42">
        <f t="shared" si="19"/>
        <v>52.692978460915654</v>
      </c>
      <c r="T23" s="22">
        <f>-(Données!I$49*1E-24*H23+Données!F$49)*S23+Données!F$47*O23</f>
        <v>-1.4459634348256148E-8</v>
      </c>
      <c r="U23" s="28">
        <f t="shared" si="20"/>
        <v>4949.1827160854</v>
      </c>
      <c r="V23" s="19"/>
      <c r="W23" s="40">
        <f t="shared" si="21"/>
        <v>92.34707951661791</v>
      </c>
      <c r="X23" s="21">
        <f>-(Données!I$50*1E-24*H23+Données!F$50)*W23+Données!F$45*K23</f>
        <v>-6.7679222379982058E-7</v>
      </c>
      <c r="Y23" s="42">
        <f t="shared" si="22"/>
        <v>25183.780093564113</v>
      </c>
      <c r="Z23" s="23">
        <f>-(Données!I$51*1E-24*H23+Données!F$51)*Y23+Données!F$48*Q23</f>
        <v>-2.4704868219485492E-5</v>
      </c>
      <c r="AA23" s="15">
        <f t="shared" si="23"/>
        <v>25276.127173080731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3125923379334265</v>
      </c>
      <c r="I24" s="40">
        <f t="shared" si="14"/>
        <v>13.626767975039842</v>
      </c>
      <c r="J24" s="21">
        <f>-(Données!I$44*1E-24*H24+Données!F$44)*I24</f>
        <v>-7.8264842347548592E-8</v>
      </c>
      <c r="K24" s="42">
        <f t="shared" si="15"/>
        <v>3334.630053952435</v>
      </c>
      <c r="L24" s="23">
        <f>-(Données!I$45*1E-24*H24+Données!F$45)*K24+(I24*Données!H$44*1E-24*H24)+(Données!H$51*1E-24*H24)*Y24</f>
        <v>-2.3563211384020129E-6</v>
      </c>
      <c r="M24" s="40">
        <f t="shared" si="16"/>
        <v>1248.5237407405052</v>
      </c>
      <c r="N24" s="21">
        <f>-(Données!I$46*1E-24*H24+Données!F$46)*M24+Données!H$45*1E-24*H24*K24</f>
        <v>1.4000738019040866E-6</v>
      </c>
      <c r="O24" s="42">
        <f t="shared" si="17"/>
        <v>205.28554693025728</v>
      </c>
      <c r="P24" s="23">
        <f>-(Données!I$47*1E-24*H24+Données!F$47)*O24+(Données!H$46*1E-24*H24)*M24</f>
        <v>-3.8616785651688161E-7</v>
      </c>
      <c r="Q24" s="40">
        <f t="shared" si="18"/>
        <v>91.044839357731462</v>
      </c>
      <c r="R24" s="43">
        <f>-(Données!I$48*1E-24*H24+Données!F$48)*Q24+Données!H$47*1E-24*H24*O24+(Données!I$49*1E-24*H24*S24)*0.85*0.16</f>
        <v>1.2019851303849006E-7</v>
      </c>
      <c r="S24" s="42">
        <f t="shared" si="19"/>
        <v>52.654978541848436</v>
      </c>
      <c r="T24" s="22">
        <f>-(Données!I$49*1E-24*H24+Données!F$49)*S24+Données!F$47*O24</f>
        <v>-1.5844539901662829E-8</v>
      </c>
      <c r="U24" s="28">
        <f t="shared" si="20"/>
        <v>4945.7659274978178</v>
      </c>
      <c r="V24" s="19"/>
      <c r="W24" s="40">
        <f t="shared" si="21"/>
        <v>90.568469552471981</v>
      </c>
      <c r="X24" s="21">
        <f>-(Données!I$50*1E-24*H24+Données!F$50)*W24+Données!F$45*K24</f>
        <v>-6.6370412752551791E-7</v>
      </c>
      <c r="Y24" s="42">
        <f t="shared" si="22"/>
        <v>25118.855699883305</v>
      </c>
      <c r="Z24" s="23">
        <f>-(Données!I$51*1E-24*H24+Données!F$51)*Y24+Données!F$48*Q24</f>
        <v>-2.4641178439616632E-5</v>
      </c>
      <c r="AA24" s="15">
        <f t="shared" si="23"/>
        <v>25209.424169435777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3125923379334265</v>
      </c>
      <c r="I25" s="40">
        <f t="shared" si="14"/>
        <v>13.421087969350484</v>
      </c>
      <c r="J25" s="21">
        <f>-(Données!I$44*1E-24*H25+Données!F$44)*I25</f>
        <v>-7.7083526774493686E-8</v>
      </c>
      <c r="K25" s="42">
        <f t="shared" si="15"/>
        <v>3328.4376420007143</v>
      </c>
      <c r="L25" s="23">
        <f>-(Données!I$45*1E-24*H25+Données!F$45)*K25+(I25*Données!H$44*1E-24*H25)+(Données!H$51*1E-24*H25)*Y25</f>
        <v>-2.3671869938830781E-6</v>
      </c>
      <c r="M25" s="40">
        <f t="shared" si="16"/>
        <v>1252.2031346919091</v>
      </c>
      <c r="N25" s="21">
        <f>-(Données!I$46*1E-24*H25+Données!F$46)*M25+Données!H$45*1E-24*H25*K25</f>
        <v>1.3811623990489594E-6</v>
      </c>
      <c r="O25" s="42">
        <f t="shared" si="17"/>
        <v>204.2706978033309</v>
      </c>
      <c r="P25" s="23">
        <f>-(Données!I$47*1E-24*H25+Données!F$47)*O25+(Données!H$46*1E-24*H25)*M25</f>
        <v>-3.7019980858192647E-7</v>
      </c>
      <c r="Q25" s="40">
        <f t="shared" si="18"/>
        <v>91.360721049996613</v>
      </c>
      <c r="R25" s="43">
        <f>-(Données!I$48*1E-24*H25+Données!F$48)*Q25+Données!H$47*1E-24*H25*O25+(Données!I$49*1E-24*H25*S25)*0.85*0.16</f>
        <v>1.1799867347238014E-7</v>
      </c>
      <c r="S25" s="42">
        <f t="shared" si="19"/>
        <v>52.613339090986869</v>
      </c>
      <c r="T25" s="22">
        <f>-(Données!I$49*1E-24*H25+Données!F$49)*S25+Données!F$47*O25</f>
        <v>-1.7140057731067627E-8</v>
      </c>
      <c r="U25" s="28">
        <f t="shared" si="20"/>
        <v>4942.3066226062892</v>
      </c>
      <c r="V25" s="19"/>
      <c r="W25" s="40">
        <f t="shared" si="21"/>
        <v>88.824255105334913</v>
      </c>
      <c r="X25" s="21">
        <f>-(Données!I$50*1E-24*H25+Données!F$50)*W25+Données!F$45*K25</f>
        <v>-6.5086926994641363E-7</v>
      </c>
      <c r="Y25" s="42">
        <f t="shared" si="22"/>
        <v>25054.098682943993</v>
      </c>
      <c r="Z25" s="23">
        <f>-(Données!I$51*1E-24*H25+Données!F$51)*Y25+Données!F$48*Q25</f>
        <v>-2.457765285392467E-5</v>
      </c>
      <c r="AA25" s="15">
        <f t="shared" si="23"/>
        <v>25142.922938049327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3125923379334265</v>
      </c>
      <c r="I26" s="40">
        <f t="shared" si="14"/>
        <v>13.218512460987116</v>
      </c>
      <c r="J26" s="21">
        <f>-(Données!I$44*1E-24*H26+Données!F$44)*I26</f>
        <v>-7.5920041768028885E-8</v>
      </c>
      <c r="K26" s="42">
        <f t="shared" si="15"/>
        <v>3322.2166745807895</v>
      </c>
      <c r="L26" s="23">
        <f>-(Données!I$45*1E-24*H26+Données!F$45)*K26+(I26*Données!H$44*1E-24*H26)+(Données!H$51*1E-24*H26)*Y26</f>
        <v>-2.3777120724773351E-6</v>
      </c>
      <c r="M26" s="40">
        <f t="shared" si="16"/>
        <v>1255.8328294766097</v>
      </c>
      <c r="N26" s="21">
        <f>-(Données!I$46*1E-24*H26+Données!F$46)*M26+Données!H$45*1E-24*H26*K26</f>
        <v>1.3623450893604134E-6</v>
      </c>
      <c r="O26" s="42">
        <f t="shared" si="17"/>
        <v>203.29781270637761</v>
      </c>
      <c r="P26" s="23">
        <f>-(Données!I$47*1E-24*H26+Données!F$47)*O26+(Données!H$46*1E-24*H26)*M26</f>
        <v>-3.5474584439073739E-7</v>
      </c>
      <c r="Q26" s="40">
        <f t="shared" si="18"/>
        <v>91.670821563882029</v>
      </c>
      <c r="R26" s="43">
        <f>-(Données!I$48*1E-24*H26+Données!F$48)*Q26+Données!H$47*1E-24*H26*O26+(Données!I$49*1E-24*H26*S26)*0.85*0.16</f>
        <v>1.1586842934548363E-7</v>
      </c>
      <c r="S26" s="42">
        <f t="shared" si="19"/>
        <v>52.568295019269627</v>
      </c>
      <c r="T26" s="22">
        <f>-(Données!I$49*1E-24*H26+Données!F$49)*S26+Données!F$47*O26</f>
        <v>-1.8349797300462552E-8</v>
      </c>
      <c r="U26" s="28">
        <f t="shared" si="20"/>
        <v>4938.8049458079158</v>
      </c>
      <c r="V26" s="19"/>
      <c r="W26" s="40">
        <f t="shared" si="21"/>
        <v>87.113770663915744</v>
      </c>
      <c r="X26" s="21">
        <f>-(Données!I$50*1E-24*H26+Données!F$50)*W26+Données!F$45*K26</f>
        <v>-6.3828275088987999E-7</v>
      </c>
      <c r="Y26" s="42">
        <f t="shared" si="22"/>
        <v>24989.50861124388</v>
      </c>
      <c r="Z26" s="23">
        <f>-(Données!I$51*1E-24*H26+Données!F$51)*Y26+Données!F$48*Q26</f>
        <v>-2.4514291039101896E-5</v>
      </c>
      <c r="AA26" s="15">
        <f t="shared" si="23"/>
        <v>25076.622381907797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3125923379334265</v>
      </c>
      <c r="I27" s="40">
        <f t="shared" si="14"/>
        <v>13.018994591220736</v>
      </c>
      <c r="J27" s="21">
        <f>-(Données!I$44*1E-24*H27+Données!F$44)*I27</f>
        <v>-7.4774118196761885E-8</v>
      </c>
      <c r="K27" s="42">
        <f t="shared" si="15"/>
        <v>3315.9680472543191</v>
      </c>
      <c r="L27" s="23">
        <f>-(Données!I$45*1E-24*H27+Données!F$45)*K27+(I27*Données!H$44*1E-24*H27)+(Données!H$51*1E-24*H27)*Y27</f>
        <v>-2.3879030135894065E-6</v>
      </c>
      <c r="M27" s="40">
        <f t="shared" si="16"/>
        <v>1259.4130723714488</v>
      </c>
      <c r="N27" s="21">
        <f>-(Données!I$46*1E-24*H27+Données!F$46)*M27+Données!H$45*1E-24*H27*K27</f>
        <v>1.3436224882525611E-6</v>
      </c>
      <c r="O27" s="42">
        <f t="shared" si="17"/>
        <v>202.36554062731875</v>
      </c>
      <c r="P27" s="23">
        <f>-(Données!I$47*1E-24*H27+Données!F$47)*O27+(Données!H$46*1E-24*H27)*M27</f>
        <v>-3.3979134376046232E-7</v>
      </c>
      <c r="Q27" s="40">
        <f t="shared" si="18"/>
        <v>91.975323796201963</v>
      </c>
      <c r="R27" s="43">
        <f>-(Données!I$48*1E-24*H27+Données!F$48)*Q27+Données!H$47*1E-24*H27*O27+(Données!I$49*1E-24*H27*S27)*0.85*0.16</f>
        <v>1.1380564576754069E-7</v>
      </c>
      <c r="S27" s="42">
        <f t="shared" si="19"/>
        <v>52.520071751964011</v>
      </c>
      <c r="T27" s="22">
        <f>-(Données!I$49*1E-24*H27+Données!F$49)*S27+Données!F$47*O27</f>
        <v>-1.9477247851337018E-8</v>
      </c>
      <c r="U27" s="28">
        <f t="shared" si="20"/>
        <v>4935.2610503924743</v>
      </c>
      <c r="V27" s="19"/>
      <c r="W27" s="40">
        <f t="shared" si="21"/>
        <v>85.436363594577145</v>
      </c>
      <c r="X27" s="21">
        <f>-(Données!I$50*1E-24*H27+Données!F$50)*W27+Données!F$45*K27</f>
        <v>-6.2593976500179957E-7</v>
      </c>
      <c r="Y27" s="42">
        <f t="shared" si="22"/>
        <v>24925.085054393119</v>
      </c>
      <c r="Z27" s="23">
        <f>-(Données!I$51*1E-24*H27+Données!F$51)*Y27+Données!F$48*Q27</f>
        <v>-2.4451092572932247E-5</v>
      </c>
      <c r="AA27" s="15">
        <f t="shared" si="23"/>
        <v>25010.521417987697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3125923379334265</v>
      </c>
      <c r="I28" s="40">
        <f t="shared" si="14"/>
        <v>12.822488208599646</v>
      </c>
      <c r="J28" s="21">
        <f>-(Données!I$44*1E-24*H28+Données!F$44)*I28</f>
        <v>-7.3645490991521627E-8</v>
      </c>
      <c r="K28" s="42">
        <f t="shared" si="15"/>
        <v>3309.6926381346061</v>
      </c>
      <c r="L28" s="23">
        <f>-(Données!I$45*1E-24*H28+Données!F$45)*K28+(I28*Données!H$44*1E-24*H28)+(Données!H$51*1E-24*H28)*Y28</f>
        <v>-2.3977663335984371E-6</v>
      </c>
      <c r="M28" s="40">
        <f t="shared" si="16"/>
        <v>1262.9441122705766</v>
      </c>
      <c r="N28" s="21">
        <f>-(Données!I$46*1E-24*H28+Données!F$46)*M28+Données!H$45*1E-24*H28*K28</f>
        <v>1.324995181649049E-6</v>
      </c>
      <c r="O28" s="42">
        <f t="shared" si="17"/>
        <v>201.47256897591626</v>
      </c>
      <c r="P28" s="23">
        <f>-(Données!I$47*1E-24*H28+Données!F$47)*O28+(Données!H$46*1E-24*H28)*M28</f>
        <v>-3.2532208995226648E-7</v>
      </c>
      <c r="Q28" s="40">
        <f t="shared" si="18"/>
        <v>92.274405033279066</v>
      </c>
      <c r="R28" s="43">
        <f>-(Données!I$48*1E-24*H28+Données!F$48)*Q28+Données!H$47*1E-24*H28*O28+(Données!I$49*1E-24*H28*S28)*0.85*0.16</f>
        <v>1.1180824718122532E-7</v>
      </c>
      <c r="S28" s="42">
        <f t="shared" si="19"/>
        <v>52.4688855446107</v>
      </c>
      <c r="T28" s="22">
        <f>-(Données!I$49*1E-24*H28+Données!F$49)*S28+Données!F$47*O28</f>
        <v>-2.0525782060479196E-8</v>
      </c>
      <c r="U28" s="28">
        <f t="shared" si="20"/>
        <v>4931.6750981675896</v>
      </c>
      <c r="V28" s="19"/>
      <c r="W28" s="40">
        <f t="shared" si="21"/>
        <v>83.791393892152414</v>
      </c>
      <c r="X28" s="21">
        <f>-(Données!I$50*1E-24*H28+Données!F$50)*W28+Données!F$45*K28</f>
        <v>-6.1383559991183755E-7</v>
      </c>
      <c r="Y28" s="42">
        <f t="shared" si="22"/>
        <v>24860.827583111452</v>
      </c>
      <c r="Z28" s="23">
        <f>-(Données!I$51*1E-24*H28+Données!F$51)*Y28+Données!F$48*Q28</f>
        <v>-2.4388057034288463E-5</v>
      </c>
      <c r="AA28" s="15">
        <f t="shared" si="23"/>
        <v>24944.618977003604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3125923379334265</v>
      </c>
      <c r="I29" s="40">
        <f t="shared" si="14"/>
        <v>12.628947858273927</v>
      </c>
      <c r="J29" s="21">
        <f>-(Données!I$44*1E-24*H29+Données!F$44)*I29</f>
        <v>-7.253389908404385E-8</v>
      </c>
      <c r="K29" s="42">
        <f t="shared" si="15"/>
        <v>3303.3913082099093</v>
      </c>
      <c r="L29" s="23">
        <f>-(Données!I$45*1E-24*H29+Données!F$45)*K29+(I29*Données!H$44*1E-24*H29)+(Données!H$51*1E-24*H29)*Y29</f>
        <v>-2.4073084281193134E-6</v>
      </c>
      <c r="M29" s="40">
        <f t="shared" si="16"/>
        <v>1266.4261996079504</v>
      </c>
      <c r="N29" s="21">
        <f>-(Données!I$46*1E-24*H29+Données!F$46)*M29+Données!H$45*1E-24*H29*K29</f>
        <v>1.306463726658774E-6</v>
      </c>
      <c r="O29" s="42">
        <f t="shared" si="17"/>
        <v>200.6176225235217</v>
      </c>
      <c r="P29" s="23">
        <f>-(Données!I$47*1E-24*H29+Données!F$47)*O29+(Données!H$46*1E-24*H29)*M29</f>
        <v>-3.1132425858520109E-7</v>
      </c>
      <c r="Q29" s="40">
        <f t="shared" si="18"/>
        <v>92.568237106871322</v>
      </c>
      <c r="R29" s="43">
        <f>-(Données!I$48*1E-24*H29+Données!F$48)*Q29+Données!H$47*1E-24*H29*O29+(Données!I$49*1E-24*H29*S29)*0.85*0.16</f>
        <v>1.0987421576743743E-7</v>
      </c>
      <c r="S29" s="42">
        <f t="shared" si="19"/>
        <v>52.41494378935576</v>
      </c>
      <c r="T29" s="22">
        <f>-(Données!I$49*1E-24*H29+Données!F$49)*S29+Données!F$47*O29</f>
        <v>-2.1498659591414689E-8</v>
      </c>
      <c r="U29" s="28">
        <f t="shared" si="20"/>
        <v>4928.0472590958825</v>
      </c>
      <c r="V29" s="19"/>
      <c r="W29" s="40">
        <f t="shared" si="21"/>
        <v>82.178233935584103</v>
      </c>
      <c r="X29" s="21">
        <f>-(Données!I$50*1E-24*H29+Données!F$50)*W29+Données!F$45*K29</f>
        <v>-6.0196563443421522E-7</v>
      </c>
      <c r="Y29" s="42">
        <f t="shared" si="22"/>
        <v>24796.735769225343</v>
      </c>
      <c r="Z29" s="23">
        <f>-(Données!I$51*1E-24*H29+Données!F$51)*Y29+Données!F$48*Q29</f>
        <v>-2.4325184003129284E-5</v>
      </c>
      <c r="AA29" s="15">
        <f t="shared" si="23"/>
        <v>24878.914003160928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3125923379334265</v>
      </c>
      <c r="I30" s="40">
        <f t="shared" si="14"/>
        <v>12.438328771481059</v>
      </c>
      <c r="J30" s="21">
        <f>-(Données!I$44*1E-24*H30+Données!F$44)*I30</f>
        <v>-7.1439085346582098E-8</v>
      </c>
      <c r="K30" s="42">
        <f t="shared" si="15"/>
        <v>3297.0649016608118</v>
      </c>
      <c r="L30" s="23">
        <f>-(Données!I$45*1E-24*H30+Données!F$45)*K30+(I30*Données!H$44*1E-24*H30)+(Données!H$51*1E-24*H30)*Y30</f>
        <v>-2.4165355742223836E-6</v>
      </c>
      <c r="M30" s="40">
        <f t="shared" si="16"/>
        <v>1269.8595862816096</v>
      </c>
      <c r="N30" s="21">
        <f>-(Données!I$46*1E-24*H30+Données!F$46)*M30+Données!H$45*1E-24*H30*K30</f>
        <v>1.2880286522382229E-6</v>
      </c>
      <c r="O30" s="42">
        <f t="shared" si="17"/>
        <v>199.79946237195981</v>
      </c>
      <c r="P30" s="23">
        <f>-(Données!I$47*1E-24*H30+Données!F$47)*O30+(Données!H$46*1E-24*H30)*M30</f>
        <v>-2.9778440685521243E-7</v>
      </c>
      <c r="Q30" s="40">
        <f t="shared" si="18"/>
        <v>92.856986545908143</v>
      </c>
      <c r="R30" s="43">
        <f>-(Données!I$48*1E-24*H30+Données!F$48)*Q30+Données!H$47*1E-24*H30*O30+(Données!I$49*1E-24*H30*S30)*0.85*0.16</f>
        <v>1.0800158989342045E-7</v>
      </c>
      <c r="S30" s="42">
        <f t="shared" si="19"/>
        <v>52.358445311949524</v>
      </c>
      <c r="T30" s="22">
        <f>-(Données!I$49*1E-24*H30+Données!F$49)*S30+Données!F$47*O30</f>
        <v>-2.2399030542504397E-8</v>
      </c>
      <c r="U30" s="28">
        <f t="shared" si="20"/>
        <v>4924.3777109437196</v>
      </c>
      <c r="V30" s="19"/>
      <c r="W30" s="40">
        <f t="shared" si="21"/>
        <v>80.596268248290983</v>
      </c>
      <c r="X30" s="21">
        <f>-(Données!I$50*1E-24*H30+Données!F$50)*W30+Données!F$45*K30</f>
        <v>-5.9032533680329766E-7</v>
      </c>
      <c r="Y30" s="42">
        <f t="shared" si="22"/>
        <v>24732.809185665119</v>
      </c>
      <c r="Z30" s="23">
        <f>-(Données!I$51*1E-24*H30+Données!F$51)*Y30+Données!F$48*Q30</f>
        <v>-2.4262473060496631E-5</v>
      </c>
      <c r="AA30" s="15">
        <f t="shared" si="23"/>
        <v>24813.405453913409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3125923379334265</v>
      </c>
      <c r="I31" s="40">
        <f t="shared" ref="I31:I94" si="26">I30+J30*D$5</f>
        <v>12.250586855190241</v>
      </c>
      <c r="J31" s="21">
        <f>-(Données!I$44*1E-24*H31+Données!F$44)*I31</f>
        <v>-7.0360796532430278E-8</v>
      </c>
      <c r="K31" s="42">
        <f t="shared" ref="K31:K94" si="27">K30+L30*D$5</f>
        <v>3290.7142461717553</v>
      </c>
      <c r="L31" s="23">
        <f>-(Données!I$45*1E-24*H31+Données!F$45)*K31+(I31*Données!H$44*1E-24*H31)+(Données!H$51*1E-24*H31)*Y31</f>
        <v>-2.4254539326124845E-6</v>
      </c>
      <c r="M31" s="40">
        <f t="shared" ref="M31:M94" si="28">M30+N30*D$5</f>
        <v>1273.2445255796918</v>
      </c>
      <c r="N31" s="21">
        <f>-(Données!I$46*1E-24*H31+Données!F$46)*M31+Données!H$45*1E-24*H31*K31</f>
        <v>1.2696904598406841E-6</v>
      </c>
      <c r="O31" s="42">
        <f t="shared" ref="O31:O94" si="29">O30+P30*D$5</f>
        <v>199.0168849507443</v>
      </c>
      <c r="P31" s="23">
        <f>-(Données!I$47*1E-24*H31+Données!F$47)*O31+(Données!H$46*1E-24*H31)*M31</f>
        <v>-2.8468946305087026E-7</v>
      </c>
      <c r="Q31" s="40">
        <f t="shared" ref="Q31:Q94" si="30">Q30+R30*D$5</f>
        <v>93.140814724148058</v>
      </c>
      <c r="R31" s="43">
        <f>-(Données!I$48*1E-24*H31+Données!F$48)*Q31+Données!H$47*1E-24*H31*O31+(Données!I$49*1E-24*H31*S31)*0.85*0.16</f>
        <v>1.0618846260254384E-7</v>
      </c>
      <c r="S31" s="42">
        <f t="shared" ref="S31:S94" si="31">S30+T30*D$5</f>
        <v>52.299580659683819</v>
      </c>
      <c r="T31" s="22">
        <f>-(Données!I$49*1E-24*H31+Données!F$49)*S31+Données!F$47*O31</f>
        <v>-2.3229938794636565E-8</v>
      </c>
      <c r="U31" s="28">
        <f t="shared" ref="U31:U94" si="32">I31+K31+M31+O31+Q31+S31</f>
        <v>4920.6666389412139</v>
      </c>
      <c r="V31" s="19"/>
      <c r="W31" s="40">
        <f t="shared" ref="W31:W94" si="33">W30+X30*D$5</f>
        <v>79.044893263171915</v>
      </c>
      <c r="X31" s="21">
        <f>-(Données!I$50*1E-24*H31+Données!F$50)*W31+Données!F$45*K31</f>
        <v>-5.7891026294332263E-7</v>
      </c>
      <c r="Y31" s="42">
        <f t="shared" ref="Y31:Y94" si="34">Y30+Z30*D$5</f>
        <v>24669.047406462134</v>
      </c>
      <c r="Z31" s="23">
        <f>-(Données!I$51*1E-24*H31+Données!F$51)*Y31+Données!F$48*Q31</f>
        <v>-2.4199923788512825E-5</v>
      </c>
      <c r="AA31" s="15">
        <f t="shared" ref="AA31:AA94" si="35">W31+Y31</f>
        <v>24748.092299725307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3125923379334265</v>
      </c>
      <c r="I32" s="40">
        <f t="shared" si="26"/>
        <v>12.065678681903014</v>
      </c>
      <c r="J32" s="21">
        <f>-(Données!I$44*1E-24*H32+Données!F$44)*I32</f>
        <v>-6.9298783217342948E-8</v>
      </c>
      <c r="K32" s="42">
        <f t="shared" si="27"/>
        <v>3284.3401532368498</v>
      </c>
      <c r="L32" s="23">
        <f>-(Données!I$45*1E-24*H32+Données!F$45)*K32+(I32*Données!H$44*1E-24*H32)+(Données!H$51*1E-24*H32)*Y32</f>
        <v>-2.4340695497679909E-6</v>
      </c>
      <c r="M32" s="40">
        <f t="shared" si="28"/>
        <v>1276.5812721081531</v>
      </c>
      <c r="N32" s="21">
        <f>-(Données!I$46*1E-24*H32+Données!F$46)*M32+Données!H$45*1E-24*H32*K32</f>
        <v>1.251449624052591E-6</v>
      </c>
      <c r="O32" s="42">
        <f t="shared" si="29"/>
        <v>198.26872104184662</v>
      </c>
      <c r="P32" s="23">
        <f>-(Données!I$47*1E-24*H32+Données!F$47)*O32+(Données!H$46*1E-24*H32)*M32</f>
        <v>-2.7202671635762624E-7</v>
      </c>
      <c r="Q32" s="40">
        <f t="shared" si="30"/>
        <v>93.419878003867538</v>
      </c>
      <c r="R32" s="43">
        <f>-(Données!I$48*1E-24*H32+Données!F$48)*Q32+Données!H$47*1E-24*H32*O32+(Données!I$49*1E-24*H32*S32)*0.85*0.16</f>
        <v>1.0443298014462426E-7</v>
      </c>
      <c r="S32" s="42">
        <f t="shared" si="31"/>
        <v>52.238532380531517</v>
      </c>
      <c r="T32" s="22">
        <f>-(Données!I$49*1E-24*H32+Données!F$49)*S32+Données!F$47*O32</f>
        <v>-2.3994325261369497E-8</v>
      </c>
      <c r="U32" s="28">
        <f t="shared" si="32"/>
        <v>4916.9142354531514</v>
      </c>
      <c r="V32" s="19"/>
      <c r="W32" s="40">
        <f t="shared" si="33"/>
        <v>77.523517092156865</v>
      </c>
      <c r="X32" s="21">
        <f>-(Données!I$50*1E-24*H32+Données!F$50)*W32+Données!F$45*K32</f>
        <v>-5.6771605477160984E-7</v>
      </c>
      <c r="Y32" s="42">
        <f t="shared" si="34"/>
        <v>24605.450006745923</v>
      </c>
      <c r="Z32" s="23">
        <f>-(Données!I$51*1E-24*H32+Données!F$51)*Y32+Données!F$48*Q32</f>
        <v>-2.4137535770377773E-5</v>
      </c>
      <c r="AA32" s="15">
        <f t="shared" si="35"/>
        <v>24682.973523838078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3125923379334265</v>
      </c>
      <c r="I33" s="40">
        <f t="shared" si="26"/>
        <v>11.883561479607836</v>
      </c>
      <c r="J33" s="21">
        <f>-(Données!I$44*1E-24*H33+Données!F$44)*I33</f>
        <v>-6.8252799741839682E-8</v>
      </c>
      <c r="K33" s="42">
        <f t="shared" si="27"/>
        <v>3277.9434184600595</v>
      </c>
      <c r="L33" s="23">
        <f>-(Données!I$45*1E-24*H33+Données!F$45)*K33+(I33*Données!H$44*1E-24*H33)+(Données!H$51*1E-24*H33)*Y33</f>
        <v>-2.4423883600406405E-6</v>
      </c>
      <c r="M33" s="40">
        <f t="shared" si="28"/>
        <v>1279.8700817201634</v>
      </c>
      <c r="N33" s="21">
        <f>-(Données!I$46*1E-24*H33+Données!F$46)*M33+Données!H$45*1E-24*H33*K33</f>
        <v>1.233306593217232E-6</v>
      </c>
      <c r="O33" s="42">
        <f t="shared" si="29"/>
        <v>197.55383483125877</v>
      </c>
      <c r="P33" s="23">
        <f>-(Données!I$47*1E-24*H33+Données!F$47)*O33+(Données!H$46*1E-24*H33)*M33</f>
        <v>-2.5978380694265318E-7</v>
      </c>
      <c r="Q33" s="40">
        <f t="shared" si="30"/>
        <v>93.694327875687605</v>
      </c>
      <c r="R33" s="43">
        <f>-(Données!I$48*1E-24*H33+Données!F$48)*Q33+Données!H$47*1E-24*H33*O33+(Données!I$49*1E-24*H33*S33)*0.85*0.16</f>
        <v>1.0273334054568562E-7</v>
      </c>
      <c r="S33" s="42">
        <f t="shared" si="31"/>
        <v>52.17547529374464</v>
      </c>
      <c r="T33" s="22">
        <f>-(Données!I$49*1E-24*H33+Données!F$49)*S33+Données!F$47*O33</f>
        <v>-2.4695031044297418E-8</v>
      </c>
      <c r="U33" s="28">
        <f t="shared" si="32"/>
        <v>4913.1206996605224</v>
      </c>
      <c r="V33" s="19"/>
      <c r="W33" s="40">
        <f t="shared" si="33"/>
        <v>76.031559300217069</v>
      </c>
      <c r="X33" s="21">
        <f>-(Données!I$50*1E-24*H33+Données!F$50)*W33+Données!F$45*K33</f>
        <v>-5.567384385346023E-7</v>
      </c>
      <c r="Y33" s="42">
        <f t="shared" si="34"/>
        <v>24542.01656274137</v>
      </c>
      <c r="Z33" s="23">
        <f>-(Données!I$51*1E-24*H33+Données!F$51)*Y33+Données!F$48*Q33</f>
        <v>-2.4075308590366181E-5</v>
      </c>
      <c r="AA33" s="15">
        <f t="shared" si="35"/>
        <v>24618.048122041586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3125923379334265</v>
      </c>
      <c r="I34" s="40">
        <f t="shared" si="26"/>
        <v>11.704193121886282</v>
      </c>
      <c r="J34" s="21">
        <f>-(Données!I$44*1E-24*H34+Données!F$44)*I34</f>
        <v>-6.7222604154380502E-8</v>
      </c>
      <c r="K34" s="42">
        <f t="shared" si="27"/>
        <v>3271.5248218498728</v>
      </c>
      <c r="L34" s="23">
        <f>-(Données!I$45*1E-24*H34+Données!F$45)*K34+(I34*Données!H$44*1E-24*H34)+(Données!H$51*1E-24*H34)*Y34</f>
        <v>-2.450416187716843E-6</v>
      </c>
      <c r="M34" s="40">
        <f t="shared" si="28"/>
        <v>1283.1112114471382</v>
      </c>
      <c r="N34" s="21">
        <f>-(Données!I$46*1E-24*H34+Données!F$46)*M34+Données!H$45*1E-24*H34*K34</f>
        <v>1.2152617900460605E-6</v>
      </c>
      <c r="O34" s="42">
        <f t="shared" si="29"/>
        <v>196.87112298661347</v>
      </c>
      <c r="P34" s="23">
        <f>-(Données!I$47*1E-24*H34+Données!F$47)*O34+(Données!H$46*1E-24*H34)*M34</f>
        <v>-2.4794871631251418E-7</v>
      </c>
      <c r="Q34" s="40">
        <f t="shared" si="30"/>
        <v>93.964311094641673</v>
      </c>
      <c r="R34" s="43">
        <f>-(Données!I$48*1E-24*H34+Données!F$48)*Q34+Données!H$47*1E-24*H34*O34+(Données!I$49*1E-24*H34*S34)*0.85*0.16</f>
        <v>1.0108779221609311E-7</v>
      </c>
      <c r="S34" s="42">
        <f t="shared" si="31"/>
        <v>52.110576752160227</v>
      </c>
      <c r="T34" s="22">
        <f>-(Données!I$49*1E-24*H34+Données!F$49)*S34+Données!F$47*O34</f>
        <v>-2.5334800496335814E-8</v>
      </c>
      <c r="U34" s="28">
        <f t="shared" si="32"/>
        <v>4909.2862372523123</v>
      </c>
      <c r="V34" s="19"/>
      <c r="W34" s="40">
        <f t="shared" si="33"/>
        <v>74.568450683748139</v>
      </c>
      <c r="X34" s="21">
        <f>-(Données!I$50*1E-24*H34+Données!F$50)*W34+Données!F$45*K34</f>
        <v>-5.4597322317610546E-7</v>
      </c>
      <c r="Y34" s="42">
        <f t="shared" si="34"/>
        <v>24478.746651765887</v>
      </c>
      <c r="Z34" s="23">
        <f>-(Données!I$51*1E-24*H34+Données!F$51)*Y34+Données!F$48*Q34</f>
        <v>-2.4013241833824784E-5</v>
      </c>
      <c r="AA34" s="15">
        <f t="shared" si="35"/>
        <v>24553.315102449636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3125923379334265</v>
      </c>
      <c r="I35" s="40">
        <f t="shared" si="26"/>
        <v>11.527532118168571</v>
      </c>
      <c r="J35" s="21">
        <f>-(Données!I$44*1E-24*H35+Données!F$44)*I35</f>
        <v>-6.6207958155398795E-8</v>
      </c>
      <c r="K35" s="42">
        <f t="shared" si="27"/>
        <v>3265.0851281085529</v>
      </c>
      <c r="L35" s="23">
        <f>-(Données!I$45*1E-24*H35+Données!F$45)*K35+(I35*Données!H$44*1E-24*H35)+(Données!H$51*1E-24*H35)*Y35</f>
        <v>-2.4581587490411978E-6</v>
      </c>
      <c r="M35" s="40">
        <f t="shared" si="28"/>
        <v>1286.3049194313792</v>
      </c>
      <c r="N35" s="21">
        <f>-(Données!I$46*1E-24*H35+Données!F$46)*M35+Données!H$45*1E-24*H35*K35</f>
        <v>1.1973156122178571E-6</v>
      </c>
      <c r="O35" s="42">
        <f t="shared" si="29"/>
        <v>196.2195137601442</v>
      </c>
      <c r="P35" s="23">
        <f>-(Données!I$47*1E-24*H35+Données!F$47)*O35+(Données!H$46*1E-24*H35)*M35</f>
        <v>-2.3650975793614411E-7</v>
      </c>
      <c r="Q35" s="40">
        <f t="shared" si="30"/>
        <v>94.229969812585566</v>
      </c>
      <c r="R35" s="43">
        <f>-(Données!I$48*1E-24*H35+Données!F$48)*Q35+Données!H$47*1E-24*H35*O35+(Données!I$49*1E-24*H35*S35)*0.85*0.16</f>
        <v>9.9494632596021662E-8</v>
      </c>
      <c r="S35" s="42">
        <f t="shared" si="31"/>
        <v>52.043996896455859</v>
      </c>
      <c r="T35" s="22">
        <f>-(Données!I$49*1E-24*H35+Données!F$49)*S35+Données!F$47*O35</f>
        <v>-2.591628419554865E-8</v>
      </c>
      <c r="U35" s="28">
        <f t="shared" si="32"/>
        <v>4905.4110601272851</v>
      </c>
      <c r="V35" s="19"/>
      <c r="W35" s="40">
        <f t="shared" si="33"/>
        <v>73.13363305324134</v>
      </c>
      <c r="X35" s="21">
        <f>-(Données!I$50*1E-24*H35+Données!F$50)*W35+Données!F$45*K35</f>
        <v>-5.3541629873710017E-7</v>
      </c>
      <c r="Y35" s="42">
        <f t="shared" si="34"/>
        <v>24415.639852226595</v>
      </c>
      <c r="Z35" s="23">
        <f>-(Données!I$51*1E-24*H35+Données!F$51)*Y35+Données!F$48*Q35</f>
        <v>-2.3951335087169592E-5</v>
      </c>
      <c r="AA35" s="15">
        <f t="shared" si="35"/>
        <v>24488.773485279838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3125923379334265</v>
      </c>
      <c r="I36" s="40">
        <f t="shared" si="26"/>
        <v>11.353537604136182</v>
      </c>
      <c r="J36" s="21">
        <f>-(Données!I$44*1E-24*H36+Données!F$44)*I36</f>
        <v>-6.5208627042179086E-8</v>
      </c>
      <c r="K36" s="42">
        <f t="shared" si="27"/>
        <v>3258.6250869160726</v>
      </c>
      <c r="L36" s="23">
        <f>-(Données!I$45*1E-24*H36+Données!F$45)*K36+(I36*Données!H$44*1E-24*H36)+(Données!H$51*1E-24*H36)*Y36</f>
        <v>-2.4656216542028844E-6</v>
      </c>
      <c r="M36" s="40">
        <f t="shared" si="28"/>
        <v>1289.4514648602876</v>
      </c>
      <c r="N36" s="21">
        <f>-(Données!I$46*1E-24*H36+Données!F$46)*M36+Données!H$45*1E-24*H36*K36</f>
        <v>1.1794684329659497E-6</v>
      </c>
      <c r="O36" s="42">
        <f t="shared" si="29"/>
        <v>195.59796611628801</v>
      </c>
      <c r="P36" s="23">
        <f>-(Données!I$47*1E-24*H36+Données!F$47)*O36+(Données!H$46*1E-24*H36)*M36</f>
        <v>-2.2545556812582163E-7</v>
      </c>
      <c r="Q36" s="40">
        <f t="shared" si="30"/>
        <v>94.491441707047912</v>
      </c>
      <c r="R36" s="43">
        <f>-(Données!I$48*1E-24*H36+Données!F$48)*Q36+Données!H$47*1E-24*H36*O36+(Données!I$49*1E-24*H36*S36)*0.85*0.16</f>
        <v>9.7952206837249196E-8</v>
      </c>
      <c r="S36" s="42">
        <f t="shared" si="31"/>
        <v>51.975888901589954</v>
      </c>
      <c r="T36" s="22">
        <f>-(Données!I$49*1E-24*H36+Données!F$49)*S36+Données!F$47*O36</f>
        <v>-2.6442041832061543E-8</v>
      </c>
      <c r="U36" s="28">
        <f t="shared" si="32"/>
        <v>4901.4953861054228</v>
      </c>
      <c r="V36" s="19"/>
      <c r="W36" s="40">
        <f t="shared" si="33"/>
        <v>71.726559020160238</v>
      </c>
      <c r="X36" s="21">
        <f>-(Données!I$50*1E-24*H36+Données!F$50)*W36+Données!F$45*K36</f>
        <v>-5.2506363478651855E-7</v>
      </c>
      <c r="Y36" s="42">
        <f t="shared" si="34"/>
        <v>24352.695743617514</v>
      </c>
      <c r="Z36" s="23">
        <f>-(Données!I$51*1E-24*H36+Données!F$51)*Y36+Données!F$48*Q36</f>
        <v>-2.3889587937883089E-5</v>
      </c>
      <c r="AA36" s="15">
        <f t="shared" si="35"/>
        <v>24424.422302637675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3125923379334265</v>
      </c>
      <c r="I37" s="40">
        <f t="shared" si="26"/>
        <v>11.182169332269336</v>
      </c>
      <c r="J37" s="21">
        <f>-(Données!I$44*1E-24*H37+Données!F$44)*I37</f>
        <v>-6.4224379654566883E-8</v>
      </c>
      <c r="K37" s="42">
        <f t="shared" si="27"/>
        <v>3252.1454332088274</v>
      </c>
      <c r="L37" s="23">
        <f>-(Données!I$45*1E-24*H37+Données!F$45)*K37+(I37*Données!H$44*1E-24*H37)+(Données!H$51*1E-24*H37)*Y37</f>
        <v>-2.4728104092856003E-6</v>
      </c>
      <c r="M37" s="40">
        <f t="shared" si="28"/>
        <v>1292.5511079021221</v>
      </c>
      <c r="N37" s="21">
        <f>-(Données!I$46*1E-24*H37+Données!F$46)*M37+Données!H$45*1E-24*H37*K37</f>
        <v>1.1617206016537437E-6</v>
      </c>
      <c r="O37" s="42">
        <f t="shared" si="29"/>
        <v>195.00546888325334</v>
      </c>
      <c r="P37" s="23">
        <f>-(Données!I$47*1E-24*H37+Données!F$47)*O37+(Données!H$46*1E-24*H37)*M37</f>
        <v>-2.1477509716901931E-7</v>
      </c>
      <c r="Q37" s="40">
        <f t="shared" si="30"/>
        <v>94.748860106616206</v>
      </c>
      <c r="R37" s="43">
        <f>-(Données!I$48*1E-24*H37+Données!F$48)*Q37+Données!H$47*1E-24*H37*O37+(Données!I$49*1E-24*H37*S37)*0.85*0.16</f>
        <v>9.645890652029292E-8</v>
      </c>
      <c r="S37" s="42">
        <f t="shared" si="31"/>
        <v>51.906399215655298</v>
      </c>
      <c r="T37" s="22">
        <f>-(Données!I$49*1E-24*H37+Données!F$49)*S37+Données!F$47*O37</f>
        <v>-2.6914545010538298E-8</v>
      </c>
      <c r="U37" s="28">
        <f t="shared" si="32"/>
        <v>4897.5394386487442</v>
      </c>
      <c r="V37" s="19"/>
      <c r="W37" s="40">
        <f t="shared" si="33"/>
        <v>70.346691787941268</v>
      </c>
      <c r="X37" s="21">
        <f>-(Données!I$50*1E-24*H37+Données!F$50)*W37+Données!F$45*K37</f>
        <v>-5.1491127888238448E-7</v>
      </c>
      <c r="Y37" s="42">
        <f t="shared" si="34"/>
        <v>24289.913906516758</v>
      </c>
      <c r="Z37" s="23">
        <f>-(Données!I$51*1E-24*H37+Données!F$51)*Y37+Données!F$48*Q37</f>
        <v>-2.3827999974511491E-5</v>
      </c>
      <c r="AA37" s="15">
        <f t="shared" si="35"/>
        <v>24360.2605983047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3125923379334265</v>
      </c>
      <c r="I38" s="40">
        <f t="shared" si="26"/>
        <v>11.013387662537134</v>
      </c>
      <c r="J38" s="21">
        <f>-(Données!I$44*1E-24*H38+Données!F$44)*I38</f>
        <v>-6.3254988321497816E-8</v>
      </c>
      <c r="K38" s="42">
        <f t="shared" si="27"/>
        <v>3245.6468874532247</v>
      </c>
      <c r="L38" s="23">
        <f>-(Données!I$45*1E-24*H38+Données!F$45)*K38+(I38*Données!H$44*1E-24*H38)+(Données!H$51*1E-24*H38)*Y38</f>
        <v>-2.4797304181817667E-6</v>
      </c>
      <c r="M38" s="40">
        <f t="shared" si="28"/>
        <v>1295.6041096432682</v>
      </c>
      <c r="N38" s="21">
        <f>-(Données!I$46*1E-24*H38+Données!F$46)*M38+Données!H$45*1E-24*H38*K38</f>
        <v>1.1440724443387532E-6</v>
      </c>
      <c r="O38" s="42">
        <f t="shared" si="29"/>
        <v>194.44103992789317</v>
      </c>
      <c r="P38" s="23">
        <f>-(Données!I$47*1E-24*H38+Données!F$47)*O38+(Données!H$46*1E-24*H38)*M38</f>
        <v>-2.0445760070421286E-7</v>
      </c>
      <c r="Q38" s="40">
        <f t="shared" si="30"/>
        <v>95.002354112951537</v>
      </c>
      <c r="R38" s="43">
        <f>-(Données!I$48*1E-24*H38+Données!F$48)*Q38+Données!H$47*1E-24*H38*O38+(Données!I$49*1E-24*H38*S38)*0.85*0.16</f>
        <v>9.5013168405932605E-8</v>
      </c>
      <c r="S38" s="42">
        <f t="shared" si="31"/>
        <v>51.835667791367605</v>
      </c>
      <c r="T38" s="22">
        <f>-(Données!I$49*1E-24*H38+Données!F$49)*S38+Données!F$47*O38</f>
        <v>-2.7336179970625842E-8</v>
      </c>
      <c r="U38" s="28">
        <f t="shared" si="32"/>
        <v>4893.5434465912422</v>
      </c>
      <c r="V38" s="19"/>
      <c r="W38" s="40">
        <f t="shared" si="33"/>
        <v>68.99350494703836</v>
      </c>
      <c r="X38" s="21">
        <f>-(Données!I$50*1E-24*H38+Données!F$50)*W38+Données!F$45*K38</f>
        <v>-5.0495535506273102E-7</v>
      </c>
      <c r="Y38" s="42">
        <f t="shared" si="34"/>
        <v>24227.293922583744</v>
      </c>
      <c r="Z38" s="23">
        <f>-(Données!I$51*1E-24*H38+Données!F$51)*Y38+Données!F$48*Q38</f>
        <v>-2.3766570786662014E-5</v>
      </c>
      <c r="AA38" s="15">
        <f t="shared" si="35"/>
        <v>24296.28742753078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3125923379334265</v>
      </c>
      <c r="I39" s="40">
        <f t="shared" si="26"/>
        <v>10.847153553228239</v>
      </c>
      <c r="J39" s="21">
        <f>-(Données!I$44*1E-24*H39+Données!F$44)*I39</f>
        <v>-6.2300228808333959E-8</v>
      </c>
      <c r="K39" s="42">
        <f t="shared" si="27"/>
        <v>3239.130155914243</v>
      </c>
      <c r="L39" s="23">
        <f>-(Données!I$45*1E-24*H39+Données!F$45)*K39+(I39*Données!H$44*1E-24*H39)+(Données!H$51*1E-24*H39)*Y39</f>
        <v>-2.4863869844716142E-6</v>
      </c>
      <c r="M39" s="40">
        <f t="shared" si="28"/>
        <v>1298.6107320269905</v>
      </c>
      <c r="N39" s="21">
        <f>-(Données!I$46*1E-24*H39+Données!F$46)*M39+Données!H$45*1E-24*H39*K39</f>
        <v>1.1265242643253818E-6</v>
      </c>
      <c r="O39" s="42">
        <f t="shared" si="29"/>
        <v>193.90372535324249</v>
      </c>
      <c r="P39" s="23">
        <f>-(Données!I$47*1E-24*H39+Données!F$47)*O39+(Données!H$46*1E-24*H39)*M39</f>
        <v>-1.9449263133391717E-7</v>
      </c>
      <c r="Q39" s="40">
        <f t="shared" si="30"/>
        <v>95.252048719522321</v>
      </c>
      <c r="R39" s="43">
        <f>-(Données!I$48*1E-24*H39+Données!F$48)*Q39+Données!H$47*1E-24*H39*O39+(Données!I$49*1E-24*H39*S39)*0.85*0.16</f>
        <v>9.3613473220191457E-8</v>
      </c>
      <c r="S39" s="42">
        <f t="shared" si="31"/>
        <v>51.763828310404797</v>
      </c>
      <c r="T39" s="22">
        <f>-(Données!I$49*1E-24*H39+Données!F$49)*S39+Données!F$47*O39</f>
        <v>-2.7709250227705704E-8</v>
      </c>
      <c r="U39" s="28">
        <f t="shared" si="32"/>
        <v>4889.5076438776314</v>
      </c>
      <c r="V39" s="19"/>
      <c r="W39" s="40">
        <f t="shared" si="33"/>
        <v>67.666482273933497</v>
      </c>
      <c r="X39" s="21">
        <f>-(Données!I$50*1E-24*H39+Données!F$50)*W39+Données!F$45*K39</f>
        <v>-4.9519206236571647E-7</v>
      </c>
      <c r="Y39" s="42">
        <f t="shared" si="34"/>
        <v>24164.835374556395</v>
      </c>
      <c r="Z39" s="23">
        <f>-(Données!I$51*1E-24*H39+Données!F$51)*Y39+Données!F$48*Q39</f>
        <v>-2.3705299965000106E-5</v>
      </c>
      <c r="AA39" s="15">
        <f t="shared" si="35"/>
        <v>24232.501856830328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3125923379334265</v>
      </c>
      <c r="I40" s="40">
        <f t="shared" si="26"/>
        <v>10.683428551919937</v>
      </c>
      <c r="J40" s="21">
        <f>-(Données!I$44*1E-24*H40+Données!F$44)*I40</f>
        <v>-6.1359880264995015E-8</v>
      </c>
      <c r="K40" s="42">
        <f t="shared" si="27"/>
        <v>3232.5959309190516</v>
      </c>
      <c r="L40" s="23">
        <f>-(Données!I$45*1E-24*H40+Données!F$45)*K40+(I40*Données!H$44*1E-24*H40)+(Données!H$51*1E-24*H40)*Y40</f>
        <v>-2.4927853132677629E-6</v>
      </c>
      <c r="M40" s="40">
        <f t="shared" si="28"/>
        <v>1301.5712377936377</v>
      </c>
      <c r="N40" s="21">
        <f>-(Données!I$46*1E-24*H40+Données!F$46)*M40+Données!H$45*1E-24*H40*K40</f>
        <v>1.1090763427066436E-6</v>
      </c>
      <c r="O40" s="42">
        <f t="shared" si="29"/>
        <v>193.39259871809696</v>
      </c>
      <c r="P40" s="23">
        <f>-(Données!I$47*1E-24*H40+Données!F$47)*O40+(Données!H$46*1E-24*H40)*M40</f>
        <v>-1.8487003046841731E-7</v>
      </c>
      <c r="Q40" s="40">
        <f t="shared" si="30"/>
        <v>95.498064927144981</v>
      </c>
      <c r="R40" s="43">
        <f>-(Données!I$48*1E-24*H40+Données!F$48)*Q40+Données!H$47*1E-24*H40*O40+(Données!I$49*1E-24*H40*S40)*0.85*0.16</f>
        <v>9.2258344471871158E-8</v>
      </c>
      <c r="S40" s="42">
        <f t="shared" si="31"/>
        <v>51.691008400806389</v>
      </c>
      <c r="T40" s="22">
        <f>-(Données!I$49*1E-24*H40+Données!F$49)*S40+Données!F$47*O40</f>
        <v>-2.8035979136224713E-8</v>
      </c>
      <c r="U40" s="28">
        <f t="shared" si="32"/>
        <v>4885.4322693106578</v>
      </c>
      <c r="V40" s="19"/>
      <c r="W40" s="40">
        <f t="shared" si="33"/>
        <v>66.365117534036401</v>
      </c>
      <c r="X40" s="21">
        <f>-(Données!I$50*1E-24*H40+Données!F$50)*W40+Données!F$45*K40</f>
        <v>-4.8561767337837873E-7</v>
      </c>
      <c r="Y40" s="42">
        <f t="shared" si="34"/>
        <v>24102.537846248375</v>
      </c>
      <c r="Z40" s="23">
        <f>-(Données!I$51*1E-24*H40+Données!F$51)*Y40+Données!F$48*Q40</f>
        <v>-2.3644187101246733E-5</v>
      </c>
      <c r="AA40" s="15">
        <f t="shared" si="35"/>
        <v>24168.90296378241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3125923379334265</v>
      </c>
      <c r="I41" s="40">
        <f t="shared" si="26"/>
        <v>10.52217478658353</v>
      </c>
      <c r="J41" s="21">
        <f>-(Données!I$44*1E-24*H41+Données!F$44)*I41</f>
        <v>-6.0433725174872432E-8</v>
      </c>
      <c r="K41" s="42">
        <f t="shared" si="27"/>
        <v>3226.0448911157841</v>
      </c>
      <c r="L41" s="23">
        <f>-(Données!I$45*1E-24*H41+Données!F$45)*K41+(I41*Données!H$44*1E-24*H41)+(Données!H$51*1E-24*H41)*Y41</f>
        <v>-2.4989305130260259E-6</v>
      </c>
      <c r="M41" s="40">
        <f t="shared" si="28"/>
        <v>1304.4858904222708</v>
      </c>
      <c r="N41" s="21">
        <f>-(Données!I$46*1E-24*H41+Données!F$46)*M41+Données!H$45*1E-24*H41*K41</f>
        <v>1.0917289388950388E-6</v>
      </c>
      <c r="O41" s="42">
        <f t="shared" si="29"/>
        <v>192.90676027802596</v>
      </c>
      <c r="P41" s="23">
        <f>-(Données!I$47*1E-24*H41+Données!F$47)*O41+(Données!H$46*1E-24*H41)*M41</f>
        <v>-1.7557992039382084E-7</v>
      </c>
      <c r="Q41" s="40">
        <f t="shared" si="30"/>
        <v>95.740519856417052</v>
      </c>
      <c r="R41" s="43">
        <f>-(Données!I$48*1E-24*H41+Données!F$48)*Q41+Données!H$47*1E-24*H41*O41+(Données!I$49*1E-24*H41*S41)*0.85*0.16</f>
        <v>9.094634730176061E-8</v>
      </c>
      <c r="S41" s="42">
        <f t="shared" si="31"/>
        <v>51.617329847636391</v>
      </c>
      <c r="T41" s="22">
        <f>-(Données!I$49*1E-24*H41+Données!F$49)*S41+Données!F$47*O41</f>
        <v>-2.8318512377813097E-8</v>
      </c>
      <c r="U41" s="28">
        <f t="shared" si="32"/>
        <v>4881.3175663067177</v>
      </c>
      <c r="V41" s="19"/>
      <c r="W41" s="40">
        <f t="shared" si="33"/>
        <v>65.088914288398016</v>
      </c>
      <c r="X41" s="21">
        <f>-(Données!I$50*1E-24*H41+Données!F$50)*W41+Données!F$45*K41</f>
        <v>-4.7622853281346756E-7</v>
      </c>
      <c r="Y41" s="42">
        <f t="shared" si="34"/>
        <v>24040.400922546298</v>
      </c>
      <c r="Z41" s="23">
        <f>-(Données!I$51*1E-24*H41+Données!F$51)*Y41+Données!F$48*Q41</f>
        <v>-2.3583231788175636E-5</v>
      </c>
      <c r="AA41" s="15">
        <f t="shared" si="35"/>
        <v>24105.489836834695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3125923379334265</v>
      </c>
      <c r="I42" s="40">
        <f t="shared" si="26"/>
        <v>10.363354956823965</v>
      </c>
      <c r="J42" s="21">
        <f>-(Données!I$44*1E-24*H42+Données!F$44)*I42</f>
        <v>-5.9521549304514559E-8</v>
      </c>
      <c r="K42" s="42">
        <f t="shared" si="27"/>
        <v>3219.4777017275519</v>
      </c>
      <c r="L42" s="23">
        <f>-(Données!I$45*1E-24*H42+Données!F$45)*K42+(I42*Données!H$44*1E-24*H42)+(Données!H$51*1E-24*H42)*Y42</f>
        <v>-2.5048275973229391E-6</v>
      </c>
      <c r="M42" s="40">
        <f t="shared" si="28"/>
        <v>1307.3549540736869</v>
      </c>
      <c r="N42" s="21">
        <f>-(Données!I$46*1E-24*H42+Données!F$46)*M42+Données!H$45*1E-24*H42*K42</f>
        <v>1.074482291142802E-6</v>
      </c>
      <c r="O42" s="42">
        <f t="shared" si="29"/>
        <v>192.44533624723098</v>
      </c>
      <c r="P42" s="23">
        <f>-(Données!I$47*1E-24*H42+Données!F$47)*O42+(Données!H$46*1E-24*H42)*M42</f>
        <v>-1.6661269655826112E-7</v>
      </c>
      <c r="Q42" s="40">
        <f t="shared" si="30"/>
        <v>95.979526857126075</v>
      </c>
      <c r="R42" s="43">
        <f>-(Données!I$48*1E-24*H42+Données!F$48)*Q42+Données!H$47*1E-24*H42*O42+(Données!I$49*1E-24*H42*S42)*0.85*0.16</f>
        <v>8.9676087362664025E-8</v>
      </c>
      <c r="S42" s="42">
        <f t="shared" si="31"/>
        <v>51.542908797107501</v>
      </c>
      <c r="T42" s="22">
        <f>-(Données!I$49*1E-24*H42+Données!F$49)*S42+Données!F$47*O42</f>
        <v>-2.8558920376336883E-8</v>
      </c>
      <c r="U42" s="28">
        <f t="shared" si="32"/>
        <v>4877.1637826595279</v>
      </c>
      <c r="V42" s="19"/>
      <c r="W42" s="40">
        <f t="shared" si="33"/>
        <v>63.83738570416422</v>
      </c>
      <c r="X42" s="21">
        <f>-(Données!I$50*1E-24*H42+Données!F$50)*W42+Données!F$45*K42</f>
        <v>-4.670210561138178E-7</v>
      </c>
      <c r="Y42" s="42">
        <f t="shared" si="34"/>
        <v>23978.424189406971</v>
      </c>
      <c r="Z42" s="23">
        <f>-(Données!I$51*1E-24*H42+Données!F$51)*Y42+Données!F$48*Q42</f>
        <v>-2.3522433619610615E-5</v>
      </c>
      <c r="AA42" s="15">
        <f t="shared" si="35"/>
        <v>24042.261575111133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3125923379334265</v>
      </c>
      <c r="I43" s="40">
        <f t="shared" si="26"/>
        <v>10.206932325251701</v>
      </c>
      <c r="J43" s="21">
        <f>-(Données!I$44*1E-24*H43+Données!F$44)*I43</f>
        <v>-5.8623141654071229E-8</v>
      </c>
      <c r="K43" s="42">
        <f t="shared" si="27"/>
        <v>3212.8950148017871</v>
      </c>
      <c r="L43" s="23">
        <f>-(Données!I$45*1E-24*H43+Données!F$45)*K43+(I43*Données!H$44*1E-24*H43)+(Données!H$51*1E-24*H43)*Y43</f>
        <v>-2.5104814866007165E-6</v>
      </c>
      <c r="M43" s="40">
        <f t="shared" si="28"/>
        <v>1310.1786935348102</v>
      </c>
      <c r="N43" s="21">
        <f>-(Données!I$46*1E-24*H43+Données!F$46)*M43+Données!H$45*1E-24*H43*K43</f>
        <v>1.057336617051698E-6</v>
      </c>
      <c r="O43" s="42">
        <f t="shared" si="29"/>
        <v>192.00747808067587</v>
      </c>
      <c r="P43" s="23">
        <f>-(Données!I$47*1E-24*H43+Données!F$47)*O43+(Données!H$46*1E-24*H43)*M43</f>
        <v>-1.5795902007022328E-7</v>
      </c>
      <c r="Q43" s="40">
        <f t="shared" si="30"/>
        <v>96.215195614715157</v>
      </c>
      <c r="R43" s="43">
        <f>-(Données!I$48*1E-24*H43+Données!F$48)*Q43+Données!H$47*1E-24*H43*O43+(Données!I$49*1E-24*H43*S43)*0.85*0.16</f>
        <v>8.8446209729415157E-8</v>
      </c>
      <c r="S43" s="42">
        <f t="shared" si="31"/>
        <v>51.467855954358484</v>
      </c>
      <c r="T43" s="22">
        <f>-(Données!I$49*1E-24*H43+Données!F$49)*S43+Données!F$47*O43</f>
        <v>-2.8759200641969828E-8</v>
      </c>
      <c r="U43" s="28">
        <f t="shared" si="32"/>
        <v>4872.9711703115991</v>
      </c>
      <c r="V43" s="19"/>
      <c r="W43" s="40">
        <f t="shared" si="33"/>
        <v>62.610054368697106</v>
      </c>
      <c r="X43" s="21">
        <f>-(Données!I$50*1E-24*H43+Données!F$50)*W43+Données!F$45*K43</f>
        <v>-4.5799172808372583E-7</v>
      </c>
      <c r="Y43" s="42">
        <f t="shared" si="34"/>
        <v>23916.607233854633</v>
      </c>
      <c r="Z43" s="23">
        <f>-(Données!I$51*1E-24*H43+Données!F$51)*Y43+Données!F$48*Q43</f>
        <v>-2.346179219042282E-5</v>
      </c>
      <c r="AA43" s="15">
        <f t="shared" si="35"/>
        <v>23979.217288223332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3125923379334265</v>
      </c>
      <c r="I44" s="40">
        <f t="shared" si="26"/>
        <v>10.052870708984802</v>
      </c>
      <c r="J44" s="21">
        <f>-(Données!I$44*1E-24*H44+Données!F$44)*I44</f>
        <v>-5.7738294408486415E-8</v>
      </c>
      <c r="K44" s="42">
        <f t="shared" si="27"/>
        <v>3206.2974694550003</v>
      </c>
      <c r="L44" s="23">
        <f>-(Données!I$45*1E-24*H44+Données!F$45)*K44+(I44*Données!H$44*1E-24*H44)+(Données!H$51*1E-24*H44)*Y44</f>
        <v>-2.5158970098801981E-6</v>
      </c>
      <c r="M44" s="40">
        <f t="shared" si="28"/>
        <v>1312.9573741644222</v>
      </c>
      <c r="N44" s="21">
        <f>-(Données!I$46*1E-24*H44+Données!F$46)*M44+Données!H$45*1E-24*H44*K44</f>
        <v>1.0402921140726026E-6</v>
      </c>
      <c r="O44" s="42">
        <f t="shared" si="29"/>
        <v>191.59236177593132</v>
      </c>
      <c r="P44" s="23">
        <f>-(Données!I$47*1E-24*H44+Données!F$47)*O44+(Données!H$46*1E-24*H44)*M44</f>
        <v>-1.496098104031534E-7</v>
      </c>
      <c r="Q44" s="40">
        <f t="shared" si="30"/>
        <v>96.447632253884066</v>
      </c>
      <c r="R44" s="43">
        <f>-(Données!I$48*1E-24*H44+Données!F$48)*Q44+Données!H$47*1E-24*H44*O44+(Données!I$49*1E-24*H44*S44)*0.85*0.16</f>
        <v>8.7255397838069069E-8</v>
      </c>
      <c r="S44" s="42">
        <f t="shared" si="31"/>
        <v>51.392276775071387</v>
      </c>
      <c r="T44" s="22">
        <f>-(Données!I$49*1E-24*H44+Données!F$49)*S44+Données!F$47*O44</f>
        <v>-2.8921280046313334E-8</v>
      </c>
      <c r="U44" s="28">
        <f t="shared" si="32"/>
        <v>4868.7399851332939</v>
      </c>
      <c r="V44" s="19"/>
      <c r="W44" s="40">
        <f t="shared" si="33"/>
        <v>61.406452107293077</v>
      </c>
      <c r="X44" s="21">
        <f>-(Données!I$50*1E-24*H44+Données!F$50)*W44+Données!F$45*K44</f>
        <v>-4.4913710154680919E-7</v>
      </c>
      <c r="Y44" s="42">
        <f t="shared" si="34"/>
        <v>23854.949643978201</v>
      </c>
      <c r="Z44" s="23">
        <f>-(Données!I$51*1E-24*H44+Données!F$51)*Y44+Données!F$48*Q44</f>
        <v>-2.3401307096528046E-5</v>
      </c>
      <c r="AA44" s="15">
        <f t="shared" si="35"/>
        <v>23916.356096085496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3125923379334265</v>
      </c>
      <c r="I45" s="40">
        <f t="shared" si="26"/>
        <v>9.901134471279299</v>
      </c>
      <c r="J45" s="21">
        <f>-(Données!I$44*1E-24*H45+Données!F$44)*I45</f>
        <v>-5.6866802889427461E-8</v>
      </c>
      <c r="K45" s="42">
        <f t="shared" si="27"/>
        <v>3199.6856921130352</v>
      </c>
      <c r="L45" s="23">
        <f>-(Données!I$45*1E-24*H45+Données!F$45)*K45+(I45*Données!H$44*1E-24*H45)+(Données!H$51*1E-24*H45)*Y45</f>
        <v>-2.5210789064423458E-6</v>
      </c>
      <c r="M45" s="40">
        <f t="shared" si="28"/>
        <v>1315.691261840205</v>
      </c>
      <c r="N45" s="21">
        <f>-(Données!I$46*1E-24*H45+Données!F$46)*M45+Données!H$45*1E-24*H45*K45</f>
        <v>1.0233489599950154E-6</v>
      </c>
      <c r="O45" s="42">
        <f t="shared" si="29"/>
        <v>191.19918719419184</v>
      </c>
      <c r="P45" s="23">
        <f>-(Données!I$47*1E-24*H45+Données!F$47)*O45+(Données!H$46*1E-24*H45)*M45</f>
        <v>-1.4155623830066336E-7</v>
      </c>
      <c r="Q45" s="40">
        <f t="shared" si="30"/>
        <v>96.676939439402517</v>
      </c>
      <c r="R45" s="43">
        <f>-(Données!I$48*1E-24*H45+Données!F$48)*Q45+Données!H$47*1E-24*H45*O45+(Données!I$49*1E-24*H45*S45)*0.85*0.16</f>
        <v>8.6102372453483677E-8</v>
      </c>
      <c r="S45" s="42">
        <f t="shared" si="31"/>
        <v>51.316271651109673</v>
      </c>
      <c r="T45" s="22">
        <f>-(Données!I$49*1E-24*H45+Données!F$49)*S45+Données!F$47*O45</f>
        <v>-2.9047017030533676E-8</v>
      </c>
      <c r="U45" s="28">
        <f t="shared" si="32"/>
        <v>4864.4704867092232</v>
      </c>
      <c r="V45" s="19"/>
      <c r="W45" s="40">
        <f t="shared" si="33"/>
        <v>60.226119804428066</v>
      </c>
      <c r="X45" s="21">
        <f>-(Données!I$50*1E-24*H45+Données!F$50)*W45+Données!F$45*K45</f>
        <v>-4.4045379602983627E-7</v>
      </c>
      <c r="Y45" s="42">
        <f t="shared" si="34"/>
        <v>23793.451008928525</v>
      </c>
      <c r="Z45" s="23">
        <f>-(Données!I$51*1E-24*H45+Données!F$51)*Y45+Données!F$48*Q45</f>
        <v>-2.3340977934884019E-5</v>
      </c>
      <c r="AA45" s="15">
        <f t="shared" si="35"/>
        <v>23853.677128732954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3125923379334265</v>
      </c>
      <c r="I46" s="40">
        <f t="shared" si="26"/>
        <v>9.7516885132858828</v>
      </c>
      <c r="J46" s="21">
        <f>-(Données!I$44*1E-24*H46+Données!F$44)*I46</f>
        <v>-5.6008465507939983E-8</v>
      </c>
      <c r="K46" s="42">
        <f t="shared" si="27"/>
        <v>3193.0602967469049</v>
      </c>
      <c r="L46" s="23">
        <f>-(Données!I$45*1E-24*H46+Données!F$45)*K46+(I46*Données!H$44*1E-24*H46)+(Données!H$51*1E-24*H46)*Y46</f>
        <v>-2.5260318274788976E-6</v>
      </c>
      <c r="M46" s="40">
        <f t="shared" si="28"/>
        <v>1318.3806229070719</v>
      </c>
      <c r="N46" s="21">
        <f>-(Données!I$46*1E-24*H46+Données!F$46)*M46+Données!H$45*1E-24*H46*K46</f>
        <v>1.0065073134267328E-6</v>
      </c>
      <c r="O46" s="42">
        <f t="shared" si="29"/>
        <v>190.82717739993768</v>
      </c>
      <c r="P46" s="23">
        <f>-(Données!I$47*1E-24*H46+Données!F$47)*O46+(Données!H$46*1E-24*H46)*M46</f>
        <v>-1.3378971887680009E-7</v>
      </c>
      <c r="Q46" s="40">
        <f t="shared" si="30"/>
        <v>96.903216474210268</v>
      </c>
      <c r="R46" s="43">
        <f>-(Données!I$48*1E-24*H46+Données!F$48)*Q46+Données!H$47*1E-24*H46*O46+(Données!I$49*1E-24*H46*S46)*0.85*0.16</f>
        <v>8.4985890664524785E-8</v>
      </c>
      <c r="S46" s="42">
        <f t="shared" si="31"/>
        <v>51.239936090353432</v>
      </c>
      <c r="T46" s="22">
        <f>-(Données!I$49*1E-24*H46+Données!F$49)*S46+Données!F$47*O46</f>
        <v>-2.9138203748431643E-8</v>
      </c>
      <c r="U46" s="28">
        <f t="shared" si="32"/>
        <v>4860.1629381317643</v>
      </c>
      <c r="V46" s="19"/>
      <c r="W46" s="40">
        <f t="shared" si="33"/>
        <v>59.068607228461659</v>
      </c>
      <c r="X46" s="21">
        <f>-(Données!I$50*1E-24*H46+Données!F$50)*W46+Données!F$45*K46</f>
        <v>-4.3193849647202392E-7</v>
      </c>
      <c r="Y46" s="42">
        <f t="shared" si="34"/>
        <v>23732.110918915649</v>
      </c>
      <c r="Z46" s="23">
        <f>-(Données!I$51*1E-24*H46+Données!F$51)*Y46+Données!F$48*Q46</f>
        <v>-2.3280804303487724E-5</v>
      </c>
      <c r="AA46" s="15">
        <f t="shared" si="35"/>
        <v>23791.179526144111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3125923379334265</v>
      </c>
      <c r="I47" s="40">
        <f t="shared" si="26"/>
        <v>9.6044982659310172</v>
      </c>
      <c r="J47" s="21">
        <f>-(Données!I$44*1E-24*H47+Données!F$44)*I47</f>
        <v>-5.5163083717817329E-8</v>
      </c>
      <c r="K47" s="42">
        <f t="shared" si="27"/>
        <v>3186.4218851042901</v>
      </c>
      <c r="L47" s="23">
        <f>-(Données!I$45*1E-24*H47+Données!F$45)*K47+(I47*Données!H$44*1E-24*H47)+(Données!H$51*1E-24*H47)*Y47</f>
        <v>-2.5307603377127511E-6</v>
      </c>
      <c r="M47" s="40">
        <f t="shared" si="28"/>
        <v>1321.0257241267575</v>
      </c>
      <c r="N47" s="21">
        <f>-(Données!I$46*1E-24*H47+Données!F$46)*M47+Données!H$45*1E-24*H47*K47</f>
        <v>9.8976731426385378E-7</v>
      </c>
      <c r="O47" s="42">
        <f t="shared" si="29"/>
        <v>190.47557801872946</v>
      </c>
      <c r="P47" s="23">
        <f>-(Données!I$47*1E-24*H47+Données!F$47)*O47+(Données!H$46*1E-24*H47)*M47</f>
        <v>-1.2630190490600135E-7</v>
      </c>
      <c r="Q47" s="40">
        <f t="shared" si="30"/>
        <v>97.126559394876637</v>
      </c>
      <c r="R47" s="43">
        <f>-(Données!I$48*1E-24*H47+Données!F$48)*Q47+Données!H$47*1E-24*H47*O47+(Données!I$49*1E-24*H47*S47)*0.85*0.16</f>
        <v>8.3904744906150189E-8</v>
      </c>
      <c r="S47" s="42">
        <f t="shared" si="31"/>
        <v>51.163360890902553</v>
      </c>
      <c r="T47" s="22">
        <f>-(Données!I$49*1E-24*H47+Données!F$49)*S47+Données!F$47*O47</f>
        <v>-2.9196568146305792E-8</v>
      </c>
      <c r="U47" s="28">
        <f t="shared" si="32"/>
        <v>4855.8176058014869</v>
      </c>
      <c r="V47" s="19"/>
      <c r="W47" s="40">
        <f t="shared" si="33"/>
        <v>57.933472859733179</v>
      </c>
      <c r="X47" s="21">
        <f>-(Données!I$50*1E-24*H47+Données!F$50)*W47+Données!F$45*K47</f>
        <v>-4.235879519593092E-7</v>
      </c>
      <c r="Y47" s="42">
        <f t="shared" si="34"/>
        <v>23670.928965206083</v>
      </c>
      <c r="Z47" s="23">
        <f>-(Données!I$51*1E-24*H47+Données!F$51)*Y47+Données!F$48*Q47</f>
        <v>-2.3220785801372717E-5</v>
      </c>
      <c r="AA47" s="15">
        <f t="shared" si="35"/>
        <v>23728.862438065815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3125923379334265</v>
      </c>
      <c r="I48" s="40">
        <f t="shared" si="26"/>
        <v>9.4595296819205927</v>
      </c>
      <c r="J48" s="21">
        <f>-(Données!I$44*1E-24*H48+Données!F$44)*I48</f>
        <v>-5.4330461969673851E-8</v>
      </c>
      <c r="K48" s="42">
        <f t="shared" si="27"/>
        <v>3179.7710469367812</v>
      </c>
      <c r="L48" s="23">
        <f>-(Données!I$45*1E-24*H48+Données!F$45)*K48+(I48*Données!H$44*1E-24*H48)+(Données!H$51*1E-24*H48)*Y48</f>
        <v>-2.5352689169886378E-6</v>
      </c>
      <c r="M48" s="40">
        <f t="shared" si="28"/>
        <v>1323.6268326286429</v>
      </c>
      <c r="N48" s="21">
        <f>-(Données!I$46*1E-24*H48+Données!F$46)*M48+Données!H$45*1E-24*H48*K48</f>
        <v>9.7312908415129882E-7</v>
      </c>
      <c r="O48" s="42">
        <f t="shared" si="29"/>
        <v>190.14365661263651</v>
      </c>
      <c r="P48" s="23">
        <f>-(Données!I$47*1E-24*H48+Données!F$47)*O48+(Données!H$46*1E-24*H48)*M48</f>
        <v>-1.1908468029751393E-7</v>
      </c>
      <c r="Q48" s="40">
        <f t="shared" si="30"/>
        <v>97.347061064490006</v>
      </c>
      <c r="R48" s="43">
        <f>-(Données!I$48*1E-24*H48+Données!F$48)*Q48+Données!H$47*1E-24*H48*O48+(Données!I$49*1E-24*H48*S48)*0.85*0.16</f>
        <v>8.2857762007647354E-8</v>
      </c>
      <c r="S48" s="42">
        <f t="shared" si="31"/>
        <v>51.086632309814064</v>
      </c>
      <c r="T48" s="22">
        <f>-(Données!I$49*1E-24*H48+Données!F$49)*S48+Données!F$47*O48</f>
        <v>-2.9223775981417453E-8</v>
      </c>
      <c r="U48" s="28">
        <f t="shared" si="32"/>
        <v>4851.4347592342856</v>
      </c>
      <c r="V48" s="19"/>
      <c r="W48" s="40">
        <f t="shared" si="33"/>
        <v>56.820283721984111</v>
      </c>
      <c r="X48" s="21">
        <f>-(Données!I$50*1E-24*H48+Données!F$50)*W48+Données!F$45*K48</f>
        <v>-4.1539897448311335E-7</v>
      </c>
      <c r="Y48" s="42">
        <f t="shared" si="34"/>
        <v>23609.904740120077</v>
      </c>
      <c r="Z48" s="23">
        <f>-(Données!I$51*1E-24*H48+Données!F$51)*Y48+Données!F$48*Q48</f>
        <v>-2.3160922028606417E-5</v>
      </c>
      <c r="AA48" s="15">
        <f t="shared" si="35"/>
        <v>23666.72502384206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3125923379334265</v>
      </c>
      <c r="I49" s="40">
        <f t="shared" si="26"/>
        <v>9.3167492278642907</v>
      </c>
      <c r="J49" s="21">
        <f>-(Données!I$44*1E-24*H49+Données!F$44)*I49</f>
        <v>-5.3510407665711491E-8</v>
      </c>
      <c r="K49" s="42">
        <f t="shared" si="27"/>
        <v>3173.1083602229351</v>
      </c>
      <c r="L49" s="23">
        <f>-(Données!I$45*1E-24*H49+Données!F$45)*K49+(I49*Données!H$44*1E-24*H49)+(Données!H$51*1E-24*H49)*Y49</f>
        <v>-2.5395619618345398E-6</v>
      </c>
      <c r="M49" s="40">
        <f t="shared" si="28"/>
        <v>1326.1842158617926</v>
      </c>
      <c r="N49" s="21">
        <f>-(Données!I$46*1E-24*H49+Données!F$46)*M49+Données!H$45*1E-24*H49*K49</f>
        <v>9.5659272693402869E-7</v>
      </c>
      <c r="O49" s="42">
        <f t="shared" si="29"/>
        <v>189.83070207281463</v>
      </c>
      <c r="P49" s="23">
        <f>-(Données!I$47*1E-24*H49+Données!F$47)*O49+(Données!H$46*1E-24*H49)*M49</f>
        <v>-1.1213015374918853E-7</v>
      </c>
      <c r="Q49" s="40">
        <f t="shared" si="30"/>
        <v>97.56481126304611</v>
      </c>
      <c r="R49" s="43">
        <f>-(Données!I$48*1E-24*H49+Données!F$48)*Q49+Données!H$47*1E-24*H49*O49+(Données!I$49*1E-24*H49*S49)*0.85*0.16</f>
        <v>8.1843802266320219E-8</v>
      </c>
      <c r="S49" s="42">
        <f t="shared" si="31"/>
        <v>51.009832226534897</v>
      </c>
      <c r="T49" s="22">
        <f>-(Données!I$49*1E-24*H49+Données!F$49)*S49+Données!F$47*O49</f>
        <v>-2.9221432780815458E-8</v>
      </c>
      <c r="U49" s="28">
        <f t="shared" si="32"/>
        <v>4847.0146708749871</v>
      </c>
      <c r="V49" s="19"/>
      <c r="W49" s="40">
        <f t="shared" si="33"/>
        <v>55.728615217042488</v>
      </c>
      <c r="X49" s="21">
        <f>-(Données!I$50*1E-24*H49+Données!F$50)*W49+Données!F$45*K49</f>
        <v>-4.0736843772312343E-7</v>
      </c>
      <c r="Y49" s="42">
        <f t="shared" si="34"/>
        <v>23549.0378370289</v>
      </c>
      <c r="Z49" s="23">
        <f>-(Données!I$51*1E-24*H49+Données!F$51)*Y49+Données!F$48*Q49</f>
        <v>-2.3101212586287489E-5</v>
      </c>
      <c r="AA49" s="15">
        <f t="shared" si="35"/>
        <v>23604.766452245942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3125923379334265</v>
      </c>
      <c r="I50" s="40">
        <f t="shared" si="26"/>
        <v>9.1761238765188011</v>
      </c>
      <c r="J50" s="21">
        <f>-(Données!I$44*1E-24*H50+Données!F$44)*I50</f>
        <v>-5.2702731115168981E-8</v>
      </c>
      <c r="K50" s="42">
        <f t="shared" si="27"/>
        <v>3166.434391387234</v>
      </c>
      <c r="L50" s="23">
        <f>-(Données!I$45*1E-24*H50+Données!F$45)*K50+(I50*Données!H$44*1E-24*H50)+(Données!H$51*1E-24*H50)*Y50</f>
        <v>-2.5436437869945385E-6</v>
      </c>
      <c r="M50" s="40">
        <f t="shared" si="28"/>
        <v>1328.6981415481753</v>
      </c>
      <c r="N50" s="21">
        <f>-(Données!I$46*1E-24*H50+Données!F$46)*M50+Données!H$45*1E-24*H50*K50</f>
        <v>9.4015832909913319E-7</v>
      </c>
      <c r="O50" s="42">
        <f t="shared" si="29"/>
        <v>189.53602402876177</v>
      </c>
      <c r="P50" s="23">
        <f>-(Données!I$47*1E-24*H50+Données!F$47)*O50+(Données!H$46*1E-24*H50)*M50</f>
        <v>-1.0543065257570574E-7</v>
      </c>
      <c r="Q50" s="40">
        <f t="shared" si="30"/>
        <v>97.779896775401994</v>
      </c>
      <c r="R50" s="43">
        <f>-(Données!I$48*1E-24*H50+Données!F$48)*Q50+Données!H$47*1E-24*H50*O50+(Données!I$49*1E-24*H50*S50)*0.85*0.16</f>
        <v>8.086175854593867E-8</v>
      </c>
      <c r="S50" s="42">
        <f t="shared" si="31"/>
        <v>50.933038301186912</v>
      </c>
      <c r="T50" s="22">
        <f>-(Données!I$49*1E-24*H50+Données!F$49)*S50+Données!F$47*O50</f>
        <v>-2.9191085742227738E-8</v>
      </c>
      <c r="U50" s="28">
        <f t="shared" si="32"/>
        <v>4842.5576159172788</v>
      </c>
      <c r="V50" s="19"/>
      <c r="W50" s="40">
        <f t="shared" si="33"/>
        <v>54.65805096270612</v>
      </c>
      <c r="X50" s="21">
        <f>-(Données!I$50*1E-24*H50+Données!F$50)*W50+Données!F$45*K50</f>
        <v>-3.9949327585362594E-7</v>
      </c>
      <c r="Y50" s="42">
        <f t="shared" si="34"/>
        <v>23488.327850352136</v>
      </c>
      <c r="Z50" s="23">
        <f>-(Données!I$51*1E-24*H50+Données!F$51)*Y50+Données!F$48*Q50</f>
        <v>-2.3041657076543134E-5</v>
      </c>
      <c r="AA50" s="15">
        <f t="shared" si="35"/>
        <v>23542.985901314842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3125923379334265</v>
      </c>
      <c r="I51" s="40">
        <f t="shared" si="26"/>
        <v>9.0376210991481365</v>
      </c>
      <c r="J51" s="21">
        <f>-(Données!I$44*1E-24*H51+Données!F$44)*I51</f>
        <v>-5.1907245490443576E-8</v>
      </c>
      <c r="K51" s="42">
        <f t="shared" si="27"/>
        <v>3159.7496955150123</v>
      </c>
      <c r="L51" s="23">
        <f>-(Données!I$45*1E-24*H51+Données!F$45)*K51+(I51*Données!H$44*1E-24*H51)+(Données!H$51*1E-24*H51)*Y51</f>
        <v>-2.5475186269334906E-6</v>
      </c>
      <c r="M51" s="40">
        <f t="shared" si="28"/>
        <v>1331.1688776370479</v>
      </c>
      <c r="N51" s="21">
        <f>-(Données!I$46*1E-24*H51+Données!F$46)*M51+Données!H$45*1E-24*H51*K51</f>
        <v>9.2382596020897625E-7</v>
      </c>
      <c r="O51" s="42">
        <f t="shared" si="29"/>
        <v>189.25895227379283</v>
      </c>
      <c r="P51" s="23">
        <f>-(Données!I$47*1E-24*H51+Données!F$47)*O51+(Données!H$46*1E-24*H51)*M51</f>
        <v>-9.8978716706430671E-8</v>
      </c>
      <c r="Q51" s="40">
        <f t="shared" si="30"/>
        <v>97.992401476860721</v>
      </c>
      <c r="R51" s="43">
        <f>-(Données!I$48*1E-24*H51+Données!F$48)*Q51+Données!H$47*1E-24*H51*O51+(Données!I$49*1E-24*H51*S51)*0.85*0.16</f>
        <v>7.9910555399283424E-8</v>
      </c>
      <c r="S51" s="42">
        <f t="shared" si="31"/>
        <v>50.85632412785634</v>
      </c>
      <c r="T51" s="22">
        <f>-(Données!I$49*1E-24*H51+Données!F$49)*S51+Données!F$47*O51</f>
        <v>-2.9134225578680969E-8</v>
      </c>
      <c r="U51" s="28">
        <f t="shared" si="32"/>
        <v>4838.0638721297173</v>
      </c>
      <c r="V51" s="19"/>
      <c r="W51" s="40">
        <f t="shared" si="33"/>
        <v>53.608182633762794</v>
      </c>
      <c r="X51" s="21">
        <f>-(Données!I$50*1E-24*H51+Données!F$50)*W51+Données!F$45*K51</f>
        <v>-3.9177048237293905E-7</v>
      </c>
      <c r="Y51" s="42">
        <f t="shared" si="34"/>
        <v>23427.774375554982</v>
      </c>
      <c r="Z51" s="23">
        <f>-(Données!I$51*1E-24*H51+Données!F$51)*Y51+Données!F$48*Q51</f>
        <v>-2.2982255102526452E-5</v>
      </c>
      <c r="AA51" s="15">
        <f t="shared" si="35"/>
        <v>23481.382558188743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3125923379334265</v>
      </c>
      <c r="I52" s="40">
        <f t="shared" si="26"/>
        <v>8.9012088579992508</v>
      </c>
      <c r="J52" s="21">
        <f>-(Données!I$44*1E-24*H52+Données!F$44)*I52</f>
        <v>-5.1123766783875074E-8</v>
      </c>
      <c r="K52" s="42">
        <f t="shared" si="27"/>
        <v>3153.0548165634309</v>
      </c>
      <c r="L52" s="23">
        <f>-(Données!I$45*1E-24*H52+Données!F$45)*K52+(I52*Données!H$44*1E-24*H52)+(Données!H$51*1E-24*H52)*Y52</f>
        <v>-2.5511906373141383E-6</v>
      </c>
      <c r="M52" s="40">
        <f t="shared" si="28"/>
        <v>1333.5966922604771</v>
      </c>
      <c r="N52" s="21">
        <f>-(Données!I$46*1E-24*H52+Données!F$46)*M52+Données!H$45*1E-24*H52*K52</f>
        <v>9.0759567332554639E-7</v>
      </c>
      <c r="O52" s="42">
        <f t="shared" si="29"/>
        <v>188.99883620628833</v>
      </c>
      <c r="P52" s="23">
        <f>-(Données!I$47*1E-24*H52+Données!F$47)*O52+(Données!H$46*1E-24*H52)*M52</f>
        <v>-9.2767092848218412E-8</v>
      </c>
      <c r="Q52" s="40">
        <f t="shared" si="30"/>
        <v>98.202406416450032</v>
      </c>
      <c r="R52" s="43">
        <f>-(Données!I$48*1E-24*H52+Données!F$48)*Q52+Données!H$47*1E-24*H52*O52+(Données!I$49*1E-24*H52*S52)*0.85*0.16</f>
        <v>7.8989148214138268E-8</v>
      </c>
      <c r="S52" s="42">
        <f t="shared" si="31"/>
        <v>50.779759383035568</v>
      </c>
      <c r="T52" s="22">
        <f>-(Données!I$49*1E-24*H52+Données!F$49)*S52+Données!F$47*O52</f>
        <v>-2.9052288308460706E-8</v>
      </c>
      <c r="U52" s="28">
        <f t="shared" si="32"/>
        <v>4833.5337196876808</v>
      </c>
      <c r="V52" s="19"/>
      <c r="W52" s="40">
        <f t="shared" si="33"/>
        <v>52.57860980608671</v>
      </c>
      <c r="X52" s="21">
        <f>-(Données!I$50*1E-24*H52+Données!F$50)*W52+Données!F$45*K52</f>
        <v>-3.8419710895549409E-7</v>
      </c>
      <c r="Y52" s="42">
        <f t="shared" si="34"/>
        <v>23367.377009145541</v>
      </c>
      <c r="Z52" s="23">
        <f>-(Données!I$51*1E-24*H52+Données!F$51)*Y52+Données!F$48*Q52</f>
        <v>-2.2923006268413787E-5</v>
      </c>
      <c r="AA52" s="15">
        <f t="shared" si="35"/>
        <v>23419.955618951626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3125923379334265</v>
      </c>
      <c r="I53" s="40">
        <f t="shared" si="26"/>
        <v>8.7668555988912278</v>
      </c>
      <c r="J53" s="21">
        <f>-(Données!I$44*1E-24*H53+Données!F$44)*I53</f>
        <v>-5.0352113765182062E-8</v>
      </c>
      <c r="K53" s="42">
        <f t="shared" si="27"/>
        <v>3146.3502875685695</v>
      </c>
      <c r="L53" s="23">
        <f>-(Données!I$45*1E-24*H53+Données!F$45)*K53+(I53*Données!H$44*1E-24*H53)+(Données!H$51*1E-24*H53)*Y53</f>
        <v>-2.5546638964470265E-6</v>
      </c>
      <c r="M53" s="40">
        <f t="shared" si="28"/>
        <v>1335.9818536899766</v>
      </c>
      <c r="N53" s="21">
        <f>-(Données!I$46*1E-24*H53+Données!F$46)*M53+Données!H$45*1E-24*H53*K53</f>
        <v>8.9146750542620541E-7</v>
      </c>
      <c r="O53" s="42">
        <f t="shared" si="29"/>
        <v>188.75504428628321</v>
      </c>
      <c r="P53" s="23">
        <f>-(Données!I$47*1E-24*H53+Données!F$47)*O53+(Données!H$46*1E-24*H53)*M53</f>
        <v>-8.678872880862841E-8</v>
      </c>
      <c r="Q53" s="40">
        <f t="shared" si="30"/>
        <v>98.409989897956791</v>
      </c>
      <c r="R53" s="43">
        <f>-(Données!I$48*1E-24*H53+Données!F$48)*Q53+Données!H$47*1E-24*H53*O53+(Données!I$49*1E-24*H53*S53)*0.85*0.16</f>
        <v>7.8096522382096444E-8</v>
      </c>
      <c r="S53" s="42">
        <f t="shared" si="31"/>
        <v>50.703409969360933</v>
      </c>
      <c r="T53" s="22">
        <f>-(Données!I$49*1E-24*H53+Données!F$49)*S53+Données!F$47*O53</f>
        <v>-2.8946656991978917E-8</v>
      </c>
      <c r="U53" s="28">
        <f t="shared" si="32"/>
        <v>4828.9674410110383</v>
      </c>
      <c r="V53" s="19"/>
      <c r="W53" s="40">
        <f t="shared" si="33"/>
        <v>51.568939803751675</v>
      </c>
      <c r="X53" s="21">
        <f>-(Données!I$50*1E-24*H53+Données!F$50)*W53+Données!F$45*K53</f>
        <v>-3.7677026432612935E-7</v>
      </c>
      <c r="Y53" s="42">
        <f t="shared" si="34"/>
        <v>23307.135348672149</v>
      </c>
      <c r="Z53" s="23">
        <f>-(Données!I$51*1E-24*H53+Données!F$51)*Y53+Données!F$48*Q53</f>
        <v>-2.2863910179402094E-5</v>
      </c>
      <c r="AA53" s="15">
        <f t="shared" si="35"/>
        <v>23358.704288475899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3125923379334265</v>
      </c>
      <c r="I54" s="40">
        <f t="shared" si="26"/>
        <v>8.6345302439163287</v>
      </c>
      <c r="J54" s="21">
        <f>-(Données!I$44*1E-24*H54+Données!F$44)*I54</f>
        <v>-4.9592107939540667E-8</v>
      </c>
      <c r="K54" s="42">
        <f t="shared" si="27"/>
        <v>3139.6366308487068</v>
      </c>
      <c r="L54" s="23">
        <f>-(Données!I$45*1E-24*H54+Données!F$45)*K54+(I54*Données!H$44*1E-24*H54)+(Données!H$51*1E-24*H54)*Y54</f>
        <v>-2.5579424067139348E-6</v>
      </c>
      <c r="M54" s="40">
        <f t="shared" si="28"/>
        <v>1338.3246302942366</v>
      </c>
      <c r="N54" s="21">
        <f>-(Données!I$46*1E-24*H54+Données!F$46)*M54+Données!H$45*1E-24*H54*K54</f>
        <v>8.7544147781097234E-7</v>
      </c>
      <c r="O54" s="42">
        <f t="shared" si="29"/>
        <v>188.52696350697414</v>
      </c>
      <c r="P54" s="23">
        <f>-(Données!I$47*1E-24*H54+Données!F$47)*O54+(Données!H$46*1E-24*H54)*M54</f>
        <v>-8.1036767975123614E-8</v>
      </c>
      <c r="Q54" s="40">
        <f t="shared" si="30"/>
        <v>98.615227558776937</v>
      </c>
      <c r="R54" s="43">
        <f>-(Données!I$48*1E-24*H54+Données!F$48)*Q54+Données!H$47*1E-24*H54*O54+(Données!I$49*1E-24*H54*S54)*0.85*0.16</f>
        <v>7.7231692489568719E-8</v>
      </c>
      <c r="S54" s="42">
        <f t="shared" si="31"/>
        <v>50.62733815478601</v>
      </c>
      <c r="T54" s="22">
        <f>-(Données!I$49*1E-24*H54+Données!F$49)*S54+Données!F$47*O54</f>
        <v>-2.8818663417074295E-8</v>
      </c>
      <c r="U54" s="28">
        <f t="shared" si="32"/>
        <v>4824.3653206073968</v>
      </c>
      <c r="V54" s="19"/>
      <c r="W54" s="40">
        <f t="shared" si="33"/>
        <v>50.578787549102607</v>
      </c>
      <c r="X54" s="21">
        <f>-(Données!I$50*1E-24*H54+Données!F$50)*W54+Données!F$45*K54</f>
        <v>-3.6948711315616621E-7</v>
      </c>
      <c r="Y54" s="42">
        <f t="shared" si="34"/>
        <v>23247.04899272068</v>
      </c>
      <c r="Z54" s="23">
        <f>-(Données!I$51*1E-24*H54+Données!F$51)*Y54+Données!F$48*Q54</f>
        <v>-2.2804966441706296E-5</v>
      </c>
      <c r="AA54" s="15">
        <f t="shared" si="35"/>
        <v>23297.627780269784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3125923379334265</v>
      </c>
      <c r="I55" s="40">
        <f t="shared" si="26"/>
        <v>8.5042021842512163</v>
      </c>
      <c r="J55" s="21">
        <f>-(Données!I$44*1E-24*H55+Données!F$44)*I55</f>
        <v>-4.884357350629608E-8</v>
      </c>
      <c r="K55" s="42">
        <f t="shared" si="27"/>
        <v>3132.9143582038628</v>
      </c>
      <c r="L55" s="23">
        <f>-(Données!I$45*1E-24*H55+Données!F$45)*K55+(I55*Données!H$44*1E-24*H55)+(Données!H$51*1E-24*H55)*Y55</f>
        <v>-2.5610300959651095E-6</v>
      </c>
      <c r="M55" s="40">
        <f t="shared" si="28"/>
        <v>1340.6252904979237</v>
      </c>
      <c r="N55" s="21">
        <f>-(Données!I$46*1E-24*H55+Données!F$46)*M55+Données!H$45*1E-24*H55*K55</f>
        <v>8.5951759650153019E-7</v>
      </c>
      <c r="O55" s="42">
        <f t="shared" si="29"/>
        <v>188.31399888073551</v>
      </c>
      <c r="P55" s="23">
        <f>-(Données!I$47*1E-24*H55+Données!F$47)*O55+(Données!H$46*1E-24*H55)*M55</f>
        <v>-7.5504543945965995E-8</v>
      </c>
      <c r="Q55" s="40">
        <f t="shared" si="30"/>
        <v>98.818192446639529</v>
      </c>
      <c r="R55" s="43">
        <f>-(Données!I$48*1E-24*H55+Données!F$48)*Q55+Données!H$47*1E-24*H55*O55+(Données!I$49*1E-24*H55*S55)*0.85*0.16</f>
        <v>7.6393701530394313E-8</v>
      </c>
      <c r="S55" s="42">
        <f t="shared" si="31"/>
        <v>50.551602707325941</v>
      </c>
      <c r="T55" s="22">
        <f>-(Données!I$49*1E-24*H55+Données!F$49)*S55+Données!F$47*O55</f>
        <v>-2.8669589734223454E-8</v>
      </c>
      <c r="U55" s="28">
        <f t="shared" si="32"/>
        <v>4819.7276449207393</v>
      </c>
      <c r="V55" s="19"/>
      <c r="W55" s="40">
        <f t="shared" si="33"/>
        <v>49.607775415728199</v>
      </c>
      <c r="X55" s="21">
        <f>-(Données!I$50*1E-24*H55+Données!F$50)*W55+Données!F$45*K55</f>
        <v>-3.6234487498084584E-7</v>
      </c>
      <c r="Y55" s="42">
        <f t="shared" si="34"/>
        <v>23187.117540911877</v>
      </c>
      <c r="Z55" s="23">
        <f>-(Données!I$51*1E-24*H55+Données!F$51)*Y55+Données!F$48*Q55</f>
        <v>-2.2746174662556654E-5</v>
      </c>
      <c r="AA55" s="15">
        <f t="shared" si="35"/>
        <v>23236.725316327604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3125923379334265</v>
      </c>
      <c r="I56" s="40">
        <f t="shared" si="26"/>
        <v>8.37584127307667</v>
      </c>
      <c r="J56" s="21">
        <f>-(Données!I$44*1E-24*H56+Données!F$44)*I56</f>
        <v>-4.81063373182972E-8</v>
      </c>
      <c r="K56" s="42">
        <f t="shared" si="27"/>
        <v>3126.1839711116663</v>
      </c>
      <c r="L56" s="23">
        <f>-(Données!I$45*1E-24*H56+Données!F$45)*K56+(I56*Données!H$44*1E-24*H56)+(Données!H$51*1E-24*H56)*Y56</f>
        <v>-2.5639308188908566E-6</v>
      </c>
      <c r="M56" s="40">
        <f t="shared" si="28"/>
        <v>1342.8841027415297</v>
      </c>
      <c r="N56" s="21">
        <f>-(Données!I$46*1E-24*H56+Données!F$46)*M56+Données!H$45*1E-24*H56*K56</f>
        <v>8.436958526320876E-7</v>
      </c>
      <c r="O56" s="42">
        <f t="shared" si="29"/>
        <v>188.11557293924551</v>
      </c>
      <c r="P56" s="23">
        <f>-(Données!I$47*1E-24*H56+Données!F$47)*O56+(Données!H$46*1E-24*H56)*M56</f>
        <v>-7.0185575308615671E-8</v>
      </c>
      <c r="Q56" s="40">
        <f t="shared" si="30"/>
        <v>99.018955094261401</v>
      </c>
      <c r="R56" s="43">
        <f>-(Données!I$48*1E-24*H56+Données!F$48)*Q56+Données!H$47*1E-24*H56*O56+(Données!I$49*1E-24*H56*S56)*0.85*0.16</f>
        <v>7.5581620139474251E-8</v>
      </c>
      <c r="S56" s="42">
        <f t="shared" si="31"/>
        <v>50.476259025504405</v>
      </c>
      <c r="T56" s="22">
        <f>-(Données!I$49*1E-24*H56+Données!F$49)*S56+Données!F$47*O56</f>
        <v>-2.8500670043103673E-8</v>
      </c>
      <c r="U56" s="28">
        <f t="shared" si="32"/>
        <v>4815.0547021852835</v>
      </c>
      <c r="V56" s="19"/>
      <c r="W56" s="40">
        <f t="shared" si="33"/>
        <v>48.655533084278538</v>
      </c>
      <c r="X56" s="21">
        <f>-(Données!I$50*1E-24*H56+Données!F$50)*W56+Données!F$45*K56</f>
        <v>-3.5534082313771334E-7</v>
      </c>
      <c r="Y56" s="42">
        <f t="shared" si="34"/>
        <v>23127.340593898676</v>
      </c>
      <c r="Z56" s="23">
        <f>-(Données!I$51*1E-24*H56+Données!F$51)*Y56+Données!F$48*Q56</f>
        <v>-2.268753445019614E-5</v>
      </c>
      <c r="AA56" s="15">
        <f t="shared" si="35"/>
        <v>23175.996126982955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3125923379334265</v>
      </c>
      <c r="I57" s="40">
        <f t="shared" si="26"/>
        <v>8.2494178186041847</v>
      </c>
      <c r="J57" s="21">
        <f>-(Données!I$44*1E-24*H57+Données!F$44)*I57</f>
        <v>-4.7380228841845166E-8</v>
      </c>
      <c r="K57" s="42">
        <f t="shared" si="27"/>
        <v>3119.445960919621</v>
      </c>
      <c r="L57" s="23">
        <f>-(Données!I$45*1E-24*H57+Données!F$45)*K57+(I57*Données!H$44*1E-24*H57)+(Données!H$51*1E-24*H57)*Y57</f>
        <v>-2.5666483583680134E-6</v>
      </c>
      <c r="M57" s="40">
        <f t="shared" si="28"/>
        <v>1345.1013354422469</v>
      </c>
      <c r="N57" s="21">
        <f>-(Données!I$46*1E-24*H57+Données!F$46)*M57+Données!H$45*1E-24*H57*K57</f>
        <v>8.2797622283227624E-7</v>
      </c>
      <c r="O57" s="42">
        <f t="shared" si="29"/>
        <v>187.93112524733448</v>
      </c>
      <c r="P57" s="23">
        <f>-(Données!I$47*1E-24*H57+Données!F$47)*O57+(Données!H$46*1E-24*H57)*M57</f>
        <v>-6.5073560561588174E-8</v>
      </c>
      <c r="Q57" s="40">
        <f t="shared" si="30"/>
        <v>99.217583591987932</v>
      </c>
      <c r="R57" s="43">
        <f>-(Données!I$48*1E-24*H57+Données!F$48)*Q57+Données!H$47*1E-24*H57*O57+(Données!I$49*1E-24*H57*S57)*0.85*0.16</f>
        <v>7.4794545846860648E-8</v>
      </c>
      <c r="S57" s="42">
        <f t="shared" si="31"/>
        <v>50.401359264631125</v>
      </c>
      <c r="T57" s="22">
        <f>-(Données!I$49*1E-24*H57+Données!F$49)*S57+Données!F$47*O57</f>
        <v>-2.8313091931903699E-8</v>
      </c>
      <c r="U57" s="28">
        <f t="shared" si="32"/>
        <v>4810.3467822844259</v>
      </c>
      <c r="V57" s="19"/>
      <c r="W57" s="40">
        <f t="shared" si="33"/>
        <v>47.721697401072625</v>
      </c>
      <c r="X57" s="21">
        <f>-(Données!I$50*1E-24*H57+Données!F$50)*W57+Données!F$45*K57</f>
        <v>-3.4847228372554372E-7</v>
      </c>
      <c r="Y57" s="42">
        <f t="shared" si="34"/>
        <v>23067.717753363562</v>
      </c>
      <c r="Z57" s="23">
        <f>-(Données!I$51*1E-24*H57+Données!F$51)*Y57+Données!F$48*Q57</f>
        <v>-2.2629045413877838E-5</v>
      </c>
      <c r="AA57" s="15">
        <f t="shared" si="35"/>
        <v>23115.439450764636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3125923379334265</v>
      </c>
      <c r="I58" s="40">
        <f t="shared" si="26"/>
        <v>8.1249025772078163</v>
      </c>
      <c r="J58" s="21">
        <f>-(Données!I$44*1E-24*H58+Données!F$44)*I58</f>
        <v>-4.6665080117246347E-8</v>
      </c>
      <c r="K58" s="42">
        <f t="shared" si="27"/>
        <v>3112.70080903383</v>
      </c>
      <c r="L58" s="23">
        <f>-(Données!I$45*1E-24*H58+Données!F$45)*K58+(I58*Données!H$44*1E-24*H58)+(Données!H$51*1E-24*H58)*Y58</f>
        <v>-2.5691864267816678E-6</v>
      </c>
      <c r="M58" s="40">
        <f t="shared" si="28"/>
        <v>1347.2772569558501</v>
      </c>
      <c r="N58" s="21">
        <f>-(Données!I$46*1E-24*H58+Données!F$46)*M58+Données!H$45*1E-24*H58*K58</f>
        <v>8.123586696022158E-7</v>
      </c>
      <c r="O58" s="42">
        <f t="shared" si="29"/>
        <v>187.76011193017862</v>
      </c>
      <c r="P58" s="23">
        <f>-(Données!I$47*1E-24*H58+Données!F$47)*O58+(Données!H$46*1E-24*H58)*M58</f>
        <v>-6.0162373175798362E-8</v>
      </c>
      <c r="Q58" s="40">
        <f t="shared" si="30"/>
        <v>99.414143658473478</v>
      </c>
      <c r="R58" s="43">
        <f>-(Données!I$48*1E-24*H58+Données!F$48)*Q58+Données!H$47*1E-24*H58*O58+(Données!I$49*1E-24*H58*S58)*0.85*0.16</f>
        <v>7.4031602351752927E-8</v>
      </c>
      <c r="S58" s="42">
        <f t="shared" si="31"/>
        <v>50.326952459034082</v>
      </c>
      <c r="T58" s="22">
        <f>-(Données!I$49*1E-24*H58+Données!F$49)*S58+Données!F$47*O58</f>
        <v>-2.8107997970743001E-8</v>
      </c>
      <c r="U58" s="28">
        <f t="shared" si="32"/>
        <v>4805.6041766145736</v>
      </c>
      <c r="V58" s="19"/>
      <c r="W58" s="40">
        <f t="shared" si="33"/>
        <v>46.805912239441895</v>
      </c>
      <c r="X58" s="21">
        <f>-(Données!I$50*1E-24*H58+Données!F$50)*W58+Données!F$45*K58</f>
        <v>-3.4173663458341322E-7</v>
      </c>
      <c r="Y58" s="42">
        <f t="shared" si="34"/>
        <v>23008.24862201589</v>
      </c>
      <c r="Z58" s="23">
        <f>-(Données!I$51*1E-24*H58+Données!F$51)*Y58+Données!F$48*Q58</f>
        <v>-2.2570707163862321E-5</v>
      </c>
      <c r="AA58" s="15">
        <f t="shared" si="35"/>
        <v>23055.054534255331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3125923379334265</v>
      </c>
      <c r="I59" s="40">
        <f t="shared" si="26"/>
        <v>8.0022667466596928</v>
      </c>
      <c r="J59" s="21">
        <f>-(Données!I$44*1E-24*H59+Données!F$44)*I59</f>
        <v>-4.5960725719960772E-8</v>
      </c>
      <c r="K59" s="42">
        <f t="shared" si="27"/>
        <v>3105.9489871042479</v>
      </c>
      <c r="L59" s="23">
        <f>-(Données!I$45*1E-24*H59+Données!F$45)*K59+(I59*Données!H$44*1E-24*H59)+(Données!H$51*1E-24*H59)*Y59</f>
        <v>-2.5715486673226208E-6</v>
      </c>
      <c r="M59" s="40">
        <f t="shared" si="28"/>
        <v>1349.4121355395648</v>
      </c>
      <c r="N59" s="21">
        <f>-(Données!I$46*1E-24*H59+Données!F$46)*M59+Données!H$45*1E-24*H59*K59</f>
        <v>7.9684314167990175E-7</v>
      </c>
      <c r="O59" s="42">
        <f t="shared" si="29"/>
        <v>187.60200521347264</v>
      </c>
      <c r="P59" s="23">
        <f>-(Données!I$47*1E-24*H59+Données!F$47)*O59+(Données!H$46*1E-24*H59)*M59</f>
        <v>-5.5446056791569783E-8</v>
      </c>
      <c r="Q59" s="40">
        <f t="shared" si="30"/>
        <v>99.60869870945389</v>
      </c>
      <c r="R59" s="43">
        <f>-(Données!I$48*1E-24*H59+Données!F$48)*Q59+Données!H$47*1E-24*H59*O59+(Données!I$49*1E-24*H59*S59)*0.85*0.16</f>
        <v>7.3291938815864695E-8</v>
      </c>
      <c r="S59" s="42">
        <f t="shared" si="31"/>
        <v>50.253084640366971</v>
      </c>
      <c r="T59" s="22">
        <f>-(Données!I$49*1E-24*H59+Données!F$49)*S59+Données!F$47*O59</f>
        <v>-2.7886487160517331E-8</v>
      </c>
      <c r="U59" s="28">
        <f t="shared" si="32"/>
        <v>4800.8271779537663</v>
      </c>
      <c r="V59" s="19"/>
      <c r="W59" s="40">
        <f t="shared" si="33"/>
        <v>45.907828363756686</v>
      </c>
      <c r="X59" s="21">
        <f>-(Données!I$50*1E-24*H59+Données!F$50)*W59+Données!F$45*K59</f>
        <v>-3.3513130428952452E-7</v>
      </c>
      <c r="Y59" s="42">
        <f t="shared" si="34"/>
        <v>22948.932803589261</v>
      </c>
      <c r="Z59" s="23">
        <f>-(Données!I$51*1E-24*H59+Données!F$51)*Y59+Données!F$48*Q59</f>
        <v>-2.2512519311415055E-5</v>
      </c>
      <c r="AA59" s="15">
        <f t="shared" si="35"/>
        <v>22994.840631953019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3125923379334265</v>
      </c>
      <c r="I60" s="40">
        <f t="shared" si="26"/>
        <v>7.881481959467636</v>
      </c>
      <c r="J60" s="21">
        <f>-(Données!I$44*1E-24*H60+Données!F$44)*I60</f>
        <v>-4.5267002722336984E-8</v>
      </c>
      <c r="K60" s="42">
        <f t="shared" si="27"/>
        <v>3099.1909572065242</v>
      </c>
      <c r="L60" s="23">
        <f>-(Données!I$45*1E-24*H60+Données!F$45)*K60+(I60*Données!H$44*1E-24*H60)+(Données!H$51*1E-24*H60)*Y60</f>
        <v>-2.5737386552610858E-6</v>
      </c>
      <c r="M60" s="40">
        <f t="shared" si="28"/>
        <v>1351.5062393158996</v>
      </c>
      <c r="N60" s="21">
        <f>-(Données!I$46*1E-24*H60+Données!F$46)*M60+Données!H$45*1E-24*H60*K60</f>
        <v>7.8142957440106731E-7</v>
      </c>
      <c r="O60" s="42">
        <f t="shared" si="29"/>
        <v>187.4562929762244</v>
      </c>
      <c r="P60" s="23">
        <f>-(Données!I$47*1E-24*H60+Données!F$47)*O60+(Données!H$46*1E-24*H60)*M60</f>
        <v>-5.0918820547553321E-8</v>
      </c>
      <c r="Q60" s="40">
        <f t="shared" si="30"/>
        <v>99.801309924661979</v>
      </c>
      <c r="R60" s="43">
        <f>-(Données!I$48*1E-24*H60+Données!F$48)*Q60+Données!H$47*1E-24*H60*O60+(Données!I$49*1E-24*H60*S60)*0.85*0.16</f>
        <v>7.2574729175641674E-8</v>
      </c>
      <c r="S60" s="42">
        <f t="shared" si="31"/>
        <v>50.179798952109131</v>
      </c>
      <c r="T60" s="22">
        <f>-(Données!I$49*1E-24*H60+Données!F$49)*S60+Données!F$47*O60</f>
        <v>-2.7649616338455727E-8</v>
      </c>
      <c r="U60" s="28">
        <f t="shared" si="32"/>
        <v>4796.0160803348872</v>
      </c>
      <c r="V60" s="19"/>
      <c r="W60" s="40">
        <f t="shared" si="33"/>
        <v>45.027103296083816</v>
      </c>
      <c r="X60" s="21">
        <f>-(Données!I$50*1E-24*H60+Données!F$50)*W60+Données!F$45*K60</f>
        <v>-3.2865377117940496E-7</v>
      </c>
      <c r="Y60" s="42">
        <f t="shared" si="34"/>
        <v>22889.769902838863</v>
      </c>
      <c r="Z60" s="23">
        <f>-(Données!I$51*1E-24*H60+Données!F$51)*Y60+Données!F$48*Q60</f>
        <v>-2.2454481468803803E-5</v>
      </c>
      <c r="AA60" s="15">
        <f t="shared" si="35"/>
        <v>22934.797006134948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3125923379334265</v>
      </c>
      <c r="I61" s="40">
        <f t="shared" si="26"/>
        <v>7.7625202763133343</v>
      </c>
      <c r="J61" s="21">
        <f>-(Données!I$44*1E-24*H61+Données!F$44)*I61</f>
        <v>-4.4583750655924425E-8</v>
      </c>
      <c r="K61" s="42">
        <f t="shared" si="27"/>
        <v>3092.4271720204979</v>
      </c>
      <c r="L61" s="23">
        <f>-(Données!I$45*1E-24*H61+Données!F$45)*K61+(I61*Données!H$44*1E-24*H61)+(Données!H$51*1E-24*H61)*Y61</f>
        <v>-2.5757598991969439E-6</v>
      </c>
      <c r="M61" s="40">
        <f t="shared" si="28"/>
        <v>1353.5598362374255</v>
      </c>
      <c r="N61" s="21">
        <f>-(Données!I$46*1E-24*H61+Données!F$46)*M61+Données!H$45*1E-24*H61*K61</f>
        <v>7.6611789005165763E-7</v>
      </c>
      <c r="O61" s="42">
        <f t="shared" si="29"/>
        <v>187.32247831582544</v>
      </c>
      <c r="P61" s="23">
        <f>-(Données!I$47*1E-24*H61+Données!F$47)*O61+(Données!H$46*1E-24*H61)*M61</f>
        <v>-4.6575034537941277E-8</v>
      </c>
      <c r="Q61" s="40">
        <f t="shared" si="30"/>
        <v>99.992036312935568</v>
      </c>
      <c r="R61" s="43">
        <f>-(Données!I$48*1E-24*H61+Données!F$48)*Q61+Données!H$47*1E-24*H61*O61+(Données!I$49*1E-24*H61*S61)*0.85*0.16</f>
        <v>7.1879171472822741E-8</v>
      </c>
      <c r="S61" s="42">
        <f t="shared" si="31"/>
        <v>50.107135760371669</v>
      </c>
      <c r="T61" s="22">
        <f>-(Données!I$49*1E-24*H61+Données!F$49)*S61+Données!F$47*O61</f>
        <v>-2.739840154163497E-8</v>
      </c>
      <c r="U61" s="28">
        <f t="shared" si="32"/>
        <v>4791.1711789233696</v>
      </c>
      <c r="V61" s="19"/>
      <c r="W61" s="40">
        <f t="shared" si="33"/>
        <v>44.163401185424341</v>
      </c>
      <c r="X61" s="21">
        <f>-(Données!I$50*1E-24*H61+Données!F$50)*W61+Données!F$45*K61</f>
        <v>-3.223015623831027E-7</v>
      </c>
      <c r="Y61" s="42">
        <f t="shared" si="34"/>
        <v>22830.759525538848</v>
      </c>
      <c r="Z61" s="23">
        <f>-(Données!I$51*1E-24*H61+Données!F$51)*Y61+Données!F$48*Q61</f>
        <v>-2.2396593249296046E-5</v>
      </c>
      <c r="AA61" s="15">
        <f t="shared" si="35"/>
        <v>22874.922926724274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3125923379334265</v>
      </c>
      <c r="I62" s="40">
        <f t="shared" si="26"/>
        <v>7.6453541795895648</v>
      </c>
      <c r="J62" s="21">
        <f>-(Données!I$44*1E-24*H62+Données!F$44)*I62</f>
        <v>-4.3910811474354727E-8</v>
      </c>
      <c r="K62" s="42">
        <f t="shared" si="27"/>
        <v>3085.6580750054081</v>
      </c>
      <c r="L62" s="23">
        <f>-(Données!I$45*1E-24*H62+Données!F$45)*K62+(I62*Données!H$44*1E-24*H62)+(Données!H$51*1E-24*H62)*Y62</f>
        <v>-2.5776158422870978E-6</v>
      </c>
      <c r="M62" s="40">
        <f t="shared" si="28"/>
        <v>1355.5731940524813</v>
      </c>
      <c r="N62" s="21">
        <f>-(Données!I$46*1E-24*H62+Données!F$46)*M62+Données!H$45*1E-24*H62*K62</f>
        <v>7.509079982130672E-7</v>
      </c>
      <c r="O62" s="42">
        <f t="shared" si="29"/>
        <v>187.20007912505972</v>
      </c>
      <c r="P62" s="23">
        <f>-(Données!I$47*1E-24*H62+Données!F$47)*O62+(Données!H$46*1E-24*H62)*M62</f>
        <v>-4.2409225394426095E-8</v>
      </c>
      <c r="Q62" s="40">
        <f t="shared" si="30"/>
        <v>100.18093477556614</v>
      </c>
      <c r="R62" s="43">
        <f>-(Données!I$48*1E-24*H62+Données!F$48)*Q62+Données!H$47*1E-24*H62*O62+(Données!I$49*1E-24*H62*S62)*0.85*0.16</f>
        <v>7.1204487202853035E-8</v>
      </c>
      <c r="S62" s="42">
        <f t="shared" si="31"/>
        <v>50.035132761120252</v>
      </c>
      <c r="T62" s="22">
        <f>-(Données!I$49*1E-24*H62+Données!F$49)*S62+Données!F$47*O62</f>
        <v>-2.7133819329661824E-8</v>
      </c>
      <c r="U62" s="28">
        <f t="shared" si="32"/>
        <v>4786.2927698992253</v>
      </c>
      <c r="V62" s="19"/>
      <c r="W62" s="40">
        <f t="shared" si="33"/>
        <v>43.316392679481545</v>
      </c>
      <c r="X62" s="21">
        <f>-(Données!I$50*1E-24*H62+Données!F$50)*W62+Données!F$45*K62</f>
        <v>-3.1607225288101222E-7</v>
      </c>
      <c r="Y62" s="42">
        <f t="shared" si="34"/>
        <v>22771.901278479698</v>
      </c>
      <c r="Z62" s="23">
        <f>-(Données!I$51*1E-24*H62+Données!F$51)*Y62+Données!F$48*Q62</f>
        <v>-2.2338854267156385E-5</v>
      </c>
      <c r="AA62" s="15">
        <f t="shared" si="35"/>
        <v>22815.217671159178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3125923379334265</v>
      </c>
      <c r="I63" s="40">
        <f t="shared" si="26"/>
        <v>7.5299565670349606</v>
      </c>
      <c r="J63" s="21">
        <f>-(Données!I$44*1E-24*H63+Données!F$44)*I63</f>
        <v>-4.3248029516783222E-8</v>
      </c>
      <c r="K63" s="42">
        <f t="shared" si="27"/>
        <v>3078.8841005718778</v>
      </c>
      <c r="L63" s="23">
        <f>-(Données!I$45*1E-24*H63+Données!F$45)*K63+(I63*Données!H$44*1E-24*H63)+(Données!H$51*1E-24*H63)*Y63</f>
        <v>-2.5793098634502911E-6</v>
      </c>
      <c r="M63" s="40">
        <f t="shared" si="28"/>
        <v>1357.5465802717852</v>
      </c>
      <c r="N63" s="21">
        <f>-(Données!I$46*1E-24*H63+Données!F$46)*M63+Données!H$45*1E-24*H63*K63</f>
        <v>7.3579979610025896E-7</v>
      </c>
      <c r="O63" s="42">
        <f t="shared" si="29"/>
        <v>187.08862768072316</v>
      </c>
      <c r="P63" s="23">
        <f>-(Données!I$47*1E-24*H63+Données!F$47)*O63+(Données!H$46*1E-24*H63)*M63</f>
        <v>-3.841607198948725E-8</v>
      </c>
      <c r="Q63" s="40">
        <f t="shared" si="30"/>
        <v>100.36806016793524</v>
      </c>
      <c r="R63" s="43">
        <f>-(Données!I$48*1E-24*H63+Données!F$48)*Q63+Données!H$47*1E-24*H63*O63+(Données!I$49*1E-24*H63*S63)*0.85*0.16</f>
        <v>7.0549920680668219E-8</v>
      </c>
      <c r="S63" s="42">
        <f t="shared" si="31"/>
        <v>49.963825083921904</v>
      </c>
      <c r="T63" s="22">
        <f>-(Données!I$49*1E-24*H63+Données!F$49)*S63+Données!F$47*O63</f>
        <v>-2.685680806770221E-8</v>
      </c>
      <c r="U63" s="28">
        <f t="shared" si="32"/>
        <v>4781.381150343278</v>
      </c>
      <c r="V63" s="19"/>
      <c r="W63" s="40">
        <f t="shared" si="33"/>
        <v>42.485754798910243</v>
      </c>
      <c r="X63" s="21">
        <f>-(Données!I$50*1E-24*H63+Données!F$50)*W63+Données!F$45*K63</f>
        <v>-3.0996346457797052E-7</v>
      </c>
      <c r="Y63" s="42">
        <f t="shared" si="34"/>
        <v>22713.194769465612</v>
      </c>
      <c r="Z63" s="23">
        <f>-(Données!I$51*1E-24*H63+Données!F$51)*Y63+Données!F$48*Q63</f>
        <v>-2.2281264137643983E-5</v>
      </c>
      <c r="AA63" s="15">
        <f t="shared" si="35"/>
        <v>22755.68052426452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3125923379334265</v>
      </c>
      <c r="I64" s="40">
        <f t="shared" si="26"/>
        <v>7.416300745464854</v>
      </c>
      <c r="J64" s="21">
        <f>-(Données!I$44*1E-24*H64+Données!F$44)*I64</f>
        <v>-4.2595251471882263E-8</v>
      </c>
      <c r="K64" s="42">
        <f t="shared" si="27"/>
        <v>3072.1056742507303</v>
      </c>
      <c r="L64" s="23">
        <f>-(Données!I$45*1E-24*H64+Données!F$45)*K64+(I64*Données!H$44*1E-24*H64)+(Données!H$51*1E-24*H64)*Y64</f>
        <v>-2.5808452785498142E-6</v>
      </c>
      <c r="M64" s="40">
        <f t="shared" si="28"/>
        <v>1359.4802621359365</v>
      </c>
      <c r="N64" s="21">
        <f>-(Données!I$46*1E-24*H64+Données!F$46)*M64+Données!H$45*1E-24*H64*K64</f>
        <v>7.2079316889292068E-7</v>
      </c>
      <c r="O64" s="42">
        <f t="shared" si="29"/>
        <v>186.98767024353478</v>
      </c>
      <c r="P64" s="23">
        <f>-(Données!I$47*1E-24*H64+Données!F$47)*O64+(Données!H$46*1E-24*H64)*M64</f>
        <v>-3.4590401257645684E-8</v>
      </c>
      <c r="Q64" s="40">
        <f t="shared" si="30"/>
        <v>100.55346535948404</v>
      </c>
      <c r="R64" s="43">
        <f>-(Données!I$48*1E-24*H64+Données!F$48)*Q64+Données!H$47*1E-24*H64*O64+(Données!I$49*1E-24*H64*S64)*0.85*0.16</f>
        <v>6.9914738423384102E-8</v>
      </c>
      <c r="S64" s="42">
        <f t="shared" si="31"/>
        <v>49.893245392319983</v>
      </c>
      <c r="T64" s="22">
        <f>-(Données!I$49*1E-24*H64+Données!F$49)*S64+Données!F$47*O64</f>
        <v>-2.6568269170999832E-8</v>
      </c>
      <c r="U64" s="28">
        <f t="shared" si="32"/>
        <v>4776.4366181274709</v>
      </c>
      <c r="V64" s="19"/>
      <c r="W64" s="40">
        <f t="shared" si="33"/>
        <v>41.671170813999339</v>
      </c>
      <c r="X64" s="21">
        <f>-(Données!I$50*1E-24*H64+Données!F$50)*W64+Données!F$45*K64</f>
        <v>-3.0397286539526835E-7</v>
      </c>
      <c r="Y64" s="42">
        <f t="shared" si="34"/>
        <v>22654.639607311885</v>
      </c>
      <c r="Z64" s="23">
        <f>-(Données!I$51*1E-24*H64+Données!F$51)*Y64+Données!F$48*Q64</f>
        <v>-2.2223822477009988E-5</v>
      </c>
      <c r="AA64" s="15">
        <f t="shared" si="35"/>
        <v>22696.310778125884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3125923379334265</v>
      </c>
      <c r="I65" s="40">
        <f t="shared" si="26"/>
        <v>7.3043604245967471</v>
      </c>
      <c r="J65" s="21">
        <f>-(Données!I$44*1E-24*H65+Données!F$44)*I65</f>
        <v>-4.1952326342378051E-8</v>
      </c>
      <c r="K65" s="42">
        <f t="shared" si="27"/>
        <v>3065.3232128587015</v>
      </c>
      <c r="L65" s="23">
        <f>-(Données!I$45*1E-24*H65+Données!F$45)*K65+(I65*Données!H$44*1E-24*H65)+(Données!H$51*1E-24*H65)*Y65</f>
        <v>-2.5822253415544677E-6</v>
      </c>
      <c r="M65" s="40">
        <f t="shared" si="28"/>
        <v>1361.374506583787</v>
      </c>
      <c r="N65" s="21">
        <f>-(Données!I$46*1E-24*H65+Données!F$46)*M65+Données!H$45*1E-24*H65*K65</f>
        <v>7.0588799005978755E-7</v>
      </c>
      <c r="O65" s="42">
        <f t="shared" si="29"/>
        <v>186.89676666902969</v>
      </c>
      <c r="P65" s="23">
        <f>-(Données!I$47*1E-24*H65+Données!F$47)*O65+(Données!H$46*1E-24*H65)*M65</f>
        <v>-3.0927184131456895E-8</v>
      </c>
      <c r="Q65" s="40">
        <f t="shared" si="30"/>
        <v>100.73720129206069</v>
      </c>
      <c r="R65" s="43">
        <f>-(Données!I$48*1E-24*H65+Données!F$48)*Q65+Données!H$47*1E-24*H65*O65+(Données!I$49*1E-24*H65*S65)*0.85*0.16</f>
        <v>6.9298228549438241E-8</v>
      </c>
      <c r="S65" s="42">
        <f t="shared" si="31"/>
        <v>49.823423980938593</v>
      </c>
      <c r="T65" s="22">
        <f>-(Données!I$49*1E-24*H65+Données!F$49)*S65+Données!F$47*O65</f>
        <v>-2.6269068311996318E-8</v>
      </c>
      <c r="U65" s="28">
        <f t="shared" si="32"/>
        <v>4771.4594718091139</v>
      </c>
      <c r="V65" s="19"/>
      <c r="W65" s="40">
        <f t="shared" si="33"/>
        <v>40.872330123740575</v>
      </c>
      <c r="X65" s="21">
        <f>-(Données!I$50*1E-24*H65+Données!F$50)*W65+Données!F$45*K65</f>
        <v>-2.9809816838023153E-7</v>
      </c>
      <c r="Y65" s="42">
        <f t="shared" si="34"/>
        <v>22596.235401842303</v>
      </c>
      <c r="Z65" s="23">
        <f>-(Données!I$51*1E-24*H65+Données!F$51)*Y65+Données!F$48*Q65</f>
        <v>-2.2166528902494972E-5</v>
      </c>
      <c r="AA65" s="15">
        <f t="shared" si="35"/>
        <v>22637.107731966044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3125923379334265</v>
      </c>
      <c r="I66" s="40">
        <f t="shared" si="26"/>
        <v>7.1941097109689771</v>
      </c>
      <c r="J66" s="21">
        <f>-(Données!I$44*1E-24*H66+Données!F$44)*I66</f>
        <v>-4.1319105410122697E-8</v>
      </c>
      <c r="K66" s="42">
        <f t="shared" si="27"/>
        <v>3058.5371246610962</v>
      </c>
      <c r="L66" s="23">
        <f>-(Données!I$45*1E-24*H66+Données!F$45)*K66+(I66*Données!H$44*1E-24*H66)+(Données!H$51*1E-24*H66)*Y66</f>
        <v>-2.5834532456783027E-6</v>
      </c>
      <c r="M66" s="40">
        <f t="shared" si="28"/>
        <v>1363.229580221664</v>
      </c>
      <c r="N66" s="21">
        <f>-(Données!I$46*1E-24*H66+Données!F$46)*M66+Données!H$45*1E-24*H66*K66</f>
        <v>6.9108412167625367E-7</v>
      </c>
      <c r="O66" s="42">
        <f t="shared" si="29"/>
        <v>186.81549002913221</v>
      </c>
      <c r="P66" s="23">
        <f>-(Données!I$47*1E-24*H66+Données!F$47)*O66+(Données!H$46*1E-24*H66)*M66</f>
        <v>-2.7421531589072251E-8</v>
      </c>
      <c r="Q66" s="40">
        <f t="shared" si="30"/>
        <v>100.91931703668861</v>
      </c>
      <c r="R66" s="43">
        <f>-(Données!I$48*1E-24*H66+Données!F$48)*Q66+Données!H$47*1E-24*H66*O66+(Données!I$49*1E-24*H66*S66)*0.85*0.16</f>
        <v>6.8699700193741313E-8</v>
      </c>
      <c r="S66" s="42">
        <f t="shared" si="31"/>
        <v>49.754388869414669</v>
      </c>
      <c r="T66" s="22">
        <f>-(Données!I$49*1E-24*H66+Données!F$49)*S66+Données!F$47*O66</f>
        <v>-2.5960036591133203E-8</v>
      </c>
      <c r="U66" s="28">
        <f t="shared" si="32"/>
        <v>4766.4500105289644</v>
      </c>
      <c r="V66" s="19"/>
      <c r="W66" s="40">
        <f t="shared" si="33"/>
        <v>40.088928137237325</v>
      </c>
      <c r="X66" s="21">
        <f>-(Données!I$50*1E-24*H66+Données!F$50)*W66+Données!F$45*K66</f>
        <v>-2.923371308330316E-7</v>
      </c>
      <c r="Y66" s="42">
        <f t="shared" si="34"/>
        <v>22537.981763886546</v>
      </c>
      <c r="Z66" s="23">
        <f>-(Données!I$51*1E-24*H66+Données!F$51)*Y66+Données!F$48*Q66</f>
        <v>-2.2109383032326388E-5</v>
      </c>
      <c r="AA66" s="15">
        <f t="shared" si="35"/>
        <v>22578.070692023783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3125923379334265</v>
      </c>
      <c r="I67" s="40">
        <f t="shared" si="26"/>
        <v>7.0855231019511749</v>
      </c>
      <c r="J67" s="21">
        <f>-(Données!I$44*1E-24*H67+Données!F$44)*I67</f>
        <v>-4.0695442201693523E-8</v>
      </c>
      <c r="K67" s="42">
        <f t="shared" si="27"/>
        <v>3051.7478095314536</v>
      </c>
      <c r="L67" s="23">
        <f>-(Données!I$45*1E-24*H67+Données!F$45)*K67+(I67*Données!H$44*1E-24*H67)+(Données!H$51*1E-24*H67)*Y67</f>
        <v>-2.5845321244993247E-6</v>
      </c>
      <c r="M67" s="40">
        <f t="shared" si="28"/>
        <v>1365.0457492934293</v>
      </c>
      <c r="N67" s="21">
        <f>-(Données!I$46*1E-24*H67+Données!F$46)*M67+Données!H$45*1E-24*H67*K67</f>
        <v>6.7638141473540853E-7</v>
      </c>
      <c r="O67" s="42">
        <f t="shared" si="29"/>
        <v>186.74342624411614</v>
      </c>
      <c r="P67" s="23">
        <f>-(Données!I$47*1E-24*H67+Données!F$47)*O67+(Données!H$46*1E-24*H67)*M67</f>
        <v>-2.4068690810299288E-8</v>
      </c>
      <c r="Q67" s="40">
        <f t="shared" si="30"/>
        <v>101.09985984879776</v>
      </c>
      <c r="R67" s="43">
        <f>-(Données!I$48*1E-24*H67+Données!F$48)*Q67+Données!H$47*1E-24*H67*O67+(Données!I$49*1E-24*H67*S67)*0.85*0.16</f>
        <v>6.8118482938409369E-8</v>
      </c>
      <c r="S67" s="42">
        <f t="shared" si="31"/>
        <v>49.686165893253168</v>
      </c>
      <c r="T67" s="22">
        <f>-(Données!I$49*1E-24*H67+Données!F$49)*S67+Données!F$47*O67</f>
        <v>-2.5641971672384295E-8</v>
      </c>
      <c r="U67" s="28">
        <f t="shared" si="32"/>
        <v>4761.4085339130015</v>
      </c>
      <c r="V67" s="19"/>
      <c r="W67" s="40">
        <f t="shared" si="33"/>
        <v>39.32066615740812</v>
      </c>
      <c r="X67" s="21">
        <f>-(Données!I$50*1E-24*H67+Données!F$50)*W67+Données!F$45*K67</f>
        <v>-2.8668755345039246E-7</v>
      </c>
      <c r="Y67" s="42">
        <f t="shared" si="34"/>
        <v>22479.878305277591</v>
      </c>
      <c r="Z67" s="23">
        <f>-(Données!I$51*1E-24*H67+Données!F$51)*Y67+Données!F$48*Q67</f>
        <v>-2.2052384485716006E-5</v>
      </c>
      <c r="AA67" s="15">
        <f t="shared" si="35"/>
        <v>22519.198971434998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3125923379334265</v>
      </c>
      <c r="I68" s="40">
        <f t="shared" si="26"/>
        <v>6.9785754798451247</v>
      </c>
      <c r="J68" s="21">
        <f>-(Données!I$44*1E-24*H68+Données!F$44)*I68</f>
        <v>-4.0081192454511581E-8</v>
      </c>
      <c r="K68" s="42">
        <f t="shared" si="27"/>
        <v>3044.9556591082696</v>
      </c>
      <c r="L68" s="23">
        <f>-(Données!I$45*1E-24*H68+Données!F$45)*K68+(I68*Données!H$44*1E-24*H68)+(Données!H$51*1E-24*H68)*Y68</f>
        <v>-2.5854650530577459E-6</v>
      </c>
      <c r="M68" s="40">
        <f t="shared" si="28"/>
        <v>1366.8232796513539</v>
      </c>
      <c r="N68" s="21">
        <f>-(Données!I$46*1E-24*H68+Données!F$46)*M68+Données!H$45*1E-24*H68*K68</f>
        <v>6.6177970945262152E-7</v>
      </c>
      <c r="O68" s="42">
        <f t="shared" si="29"/>
        <v>186.68017372466667</v>
      </c>
      <c r="P68" s="23">
        <f>-(Données!I$47*1E-24*H68+Données!F$47)*O68+(Données!H$46*1E-24*H68)*M68</f>
        <v>-2.0864041438179445E-8</v>
      </c>
      <c r="Q68" s="40">
        <f t="shared" si="30"/>
        <v>101.27887522195991</v>
      </c>
      <c r="R68" s="43">
        <f>-(Données!I$48*1E-24*H68+Données!F$48)*Q68+Données!H$47*1E-24*H68*O68+(Données!I$49*1E-24*H68*S68)*0.85*0.16</f>
        <v>6.7553926258658934E-8</v>
      </c>
      <c r="S68" s="42">
        <f t="shared" si="31"/>
        <v>49.618778791698141</v>
      </c>
      <c r="T68" s="22">
        <f>-(Données!I$49*1E-24*H68+Données!F$49)*S68+Données!F$47*O68</f>
        <v>-2.5315638884540437E-8</v>
      </c>
      <c r="U68" s="28">
        <f t="shared" si="32"/>
        <v>4756.3353419777941</v>
      </c>
      <c r="V68" s="19"/>
      <c r="W68" s="40">
        <f t="shared" si="33"/>
        <v>38.567251266940488</v>
      </c>
      <c r="X68" s="21">
        <f>-(Données!I$50*1E-24*H68+Données!F$50)*W68+Données!F$45*K68</f>
        <v>-2.8114727948586623E-7</v>
      </c>
      <c r="Y68" s="42">
        <f t="shared" si="34"/>
        <v>22421.92463884913</v>
      </c>
      <c r="Z68" s="23">
        <f>-(Données!I$51*1E-24*H68+Données!F$51)*Y68+Données!F$48*Q68</f>
        <v>-2.1995532882857386E-5</v>
      </c>
      <c r="AA68" s="15">
        <f t="shared" si="35"/>
        <v>22460.491890116071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3125923379334265</v>
      </c>
      <c r="I69" s="40">
        <f t="shared" si="26"/>
        <v>6.8732421060746685</v>
      </c>
      <c r="J69" s="21">
        <f>-(Données!I$44*1E-24*H69+Données!F$44)*I69</f>
        <v>-3.9476214083471541E-8</v>
      </c>
      <c r="K69" s="42">
        <f t="shared" si="27"/>
        <v>3038.1610569488339</v>
      </c>
      <c r="L69" s="23">
        <f>-(Données!I$45*1E-24*H69+Données!F$45)*K69+(I69*Données!H$44*1E-24*H69)+(Données!H$51*1E-24*H69)*Y69</f>
        <v>-2.5862550489340653E-6</v>
      </c>
      <c r="M69" s="40">
        <f t="shared" si="28"/>
        <v>1368.5624367277953</v>
      </c>
      <c r="N69" s="21">
        <f>-(Données!I$46*1E-24*H69+Données!F$46)*M69+Données!H$45*1E-24*H69*K69</f>
        <v>6.4727883556380262E-7</v>
      </c>
      <c r="O69" s="42">
        <f t="shared" si="29"/>
        <v>186.62534302376713</v>
      </c>
      <c r="P69" s="23">
        <f>-(Données!I$47*1E-24*H69+Données!F$47)*O69+(Données!H$46*1E-24*H69)*M69</f>
        <v>-1.7803091943171561E-8</v>
      </c>
      <c r="Q69" s="40">
        <f t="shared" si="30"/>
        <v>101.45640694016767</v>
      </c>
      <c r="R69" s="43">
        <f>-(Données!I$48*1E-24*H69+Données!F$48)*Q69+Données!H$47*1E-24*H69*O69+(Données!I$49*1E-24*H69*S69)*0.85*0.16</f>
        <v>6.7005398983458322E-8</v>
      </c>
      <c r="S69" s="42">
        <f t="shared" si="31"/>
        <v>49.552249292709568</v>
      </c>
      <c r="T69" s="22">
        <f>-(Données!I$49*1E-24*H69+Données!F$49)*S69+Données!F$47*O69</f>
        <v>-2.4981772289234777E-8</v>
      </c>
      <c r="U69" s="28">
        <f t="shared" si="32"/>
        <v>4751.2307350393485</v>
      </c>
      <c r="V69" s="19"/>
      <c r="W69" s="40">
        <f t="shared" si="33"/>
        <v>37.82839621645163</v>
      </c>
      <c r="X69" s="21">
        <f>-(Données!I$50*1E-24*H69+Données!F$50)*W69+Données!F$45*K69</f>
        <v>-2.7571419392635778E-7</v>
      </c>
      <c r="Y69" s="42">
        <f t="shared" si="34"/>
        <v>22364.120378432981</v>
      </c>
      <c r="Z69" s="23">
        <f>-(Données!I$51*1E-24*H69+Données!F$51)*Y69+Données!F$48*Q69</f>
        <v>-2.1938827844923335E-5</v>
      </c>
      <c r="AA69" s="15">
        <f t="shared" si="35"/>
        <v>22401.948774649434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3125923379334265</v>
      </c>
      <c r="I70" s="40">
        <f t="shared" si="26"/>
        <v>6.7694986154633057</v>
      </c>
      <c r="J70" s="21">
        <f>-(Données!I$44*1E-24*H70+Données!F$44)*I70</f>
        <v>-3.8880367148075338E-8</v>
      </c>
      <c r="K70" s="42">
        <f t="shared" si="27"/>
        <v>3031.3643786802354</v>
      </c>
      <c r="L70" s="23">
        <f>-(Données!I$45*1E-24*H70+Données!F$45)*K70+(I70*Données!H$44*1E-24*H70)+(Données!H$51*1E-24*H70)*Y70</f>
        <v>-2.5869050733073246E-6</v>
      </c>
      <c r="M70" s="40">
        <f t="shared" si="28"/>
        <v>1370.2634855076569</v>
      </c>
      <c r="N70" s="21">
        <f>-(Données!I$46*1E-24*H70+Données!F$46)*M70+Données!H$45*1E-24*H70*K70</f>
        <v>6.3287861261745127E-7</v>
      </c>
      <c r="O70" s="42">
        <f t="shared" si="29"/>
        <v>186.57855649814047</v>
      </c>
      <c r="P70" s="23">
        <f>-(Données!I$47*1E-24*H70+Données!F$47)*O70+(Données!H$46*1E-24*H70)*M70</f>
        <v>-1.4881476087124319E-8</v>
      </c>
      <c r="Q70" s="40">
        <f t="shared" si="30"/>
        <v>101.6324971286962</v>
      </c>
      <c r="R70" s="43">
        <f>-(Données!I$48*1E-24*H70+Données!F$48)*Q70+Données!H$47*1E-24*H70*O70+(Données!I$49*1E-24*H70*S70)*0.85*0.16</f>
        <v>6.6472288770540023E-8</v>
      </c>
      <c r="S70" s="42">
        <f t="shared" si="31"/>
        <v>49.486597195133463</v>
      </c>
      <c r="T70" s="22">
        <f>-(Données!I$49*1E-24*H70+Données!F$49)*S70+Données!F$47*O70</f>
        <v>-2.4641075716673435E-8</v>
      </c>
      <c r="U70" s="28">
        <f t="shared" si="32"/>
        <v>4746.095013625325</v>
      </c>
      <c r="V70" s="19"/>
      <c r="W70" s="40">
        <f t="shared" si="33"/>
        <v>37.103819314813158</v>
      </c>
      <c r="X70" s="21">
        <f>-(Données!I$50*1E-24*H70+Données!F$50)*W70+Données!F$45*K70</f>
        <v>-2.7038622268458302E-7</v>
      </c>
      <c r="Y70" s="42">
        <f t="shared" si="34"/>
        <v>22306.465138856522</v>
      </c>
      <c r="Z70" s="23">
        <f>-(Données!I$51*1E-24*H70+Données!F$51)*Y70+Données!F$48*Q70</f>
        <v>-2.1882268994063387E-5</v>
      </c>
      <c r="AA70" s="15">
        <f t="shared" si="35"/>
        <v>22343.568958171334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3125923379334265</v>
      </c>
      <c r="I71" s="40">
        <f t="shared" si="26"/>
        <v>6.6673210105981635</v>
      </c>
      <c r="J71" s="21">
        <f>-(Données!I$44*1E-24*H71+Données!F$44)*I71</f>
        <v>-3.8293513820061796E-8</v>
      </c>
      <c r="K71" s="42">
        <f t="shared" si="27"/>
        <v>3024.5659921475835</v>
      </c>
      <c r="L71" s="23">
        <f>-(Données!I$45*1E-24*H71+Données!F$45)*K71+(I71*Données!H$44*1E-24*H71)+(Données!H$51*1E-24*H71)*Y71</f>
        <v>-2.58741803199396E-6</v>
      </c>
      <c r="M71" s="40">
        <f t="shared" si="28"/>
        <v>1371.9266905016157</v>
      </c>
      <c r="N71" s="21">
        <f>-(Données!I$46*1E-24*H71+Données!F$46)*M71+Données!H$45*1E-24*H71*K71</f>
        <v>6.1857885026062233E-7</v>
      </c>
      <c r="O71" s="42">
        <f t="shared" si="29"/>
        <v>186.5394479789835</v>
      </c>
      <c r="P71" s="23">
        <f>-(Données!I$47*1E-24*H71+Données!F$47)*O71+(Données!H$46*1E-24*H71)*M71</f>
        <v>-1.2094949484286062E-8</v>
      </c>
      <c r="Q71" s="40">
        <f t="shared" si="30"/>
        <v>101.80718630358518</v>
      </c>
      <c r="R71" s="43">
        <f>-(Données!I$48*1E-24*H71+Données!F$48)*Q71+Données!H$47*1E-24*H71*O71+(Données!I$49*1E-24*H71*S71)*0.85*0.16</f>
        <v>6.5954001595389027E-8</v>
      </c>
      <c r="S71" s="42">
        <f t="shared" si="31"/>
        <v>49.421840448150043</v>
      </c>
      <c r="T71" s="22">
        <f>-(Données!I$49*1E-24*H71+Données!F$49)*S71+Données!F$47*O71</f>
        <v>-2.429422377000714E-8</v>
      </c>
      <c r="U71" s="28">
        <f t="shared" si="32"/>
        <v>4740.9284783905159</v>
      </c>
      <c r="V71" s="19"/>
      <c r="W71" s="40">
        <f t="shared" si="33"/>
        <v>36.393244321598075</v>
      </c>
      <c r="X71" s="21">
        <f>-(Données!I$50*1E-24*H71+Données!F$50)*W71+Données!F$45*K71</f>
        <v>-2.6516133180715356E-7</v>
      </c>
      <c r="Y71" s="42">
        <f t="shared" si="34"/>
        <v>22248.958535940124</v>
      </c>
      <c r="Z71" s="23">
        <f>-(Données!I$51*1E-24*H71+Données!F$51)*Y71+Données!F$48*Q71</f>
        <v>-2.1825855953401282E-5</v>
      </c>
      <c r="AA71" s="15">
        <f t="shared" si="35"/>
        <v>22285.351780261721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3125923379334265</v>
      </c>
      <c r="I72" s="40">
        <f t="shared" si="26"/>
        <v>6.5666856562790414</v>
      </c>
      <c r="J72" s="21">
        <f>-(Données!I$44*1E-24*H72+Données!F$44)*I72</f>
        <v>-3.771551835152497E-8</v>
      </c>
      <c r="K72" s="42">
        <f t="shared" si="27"/>
        <v>3017.7662575595036</v>
      </c>
      <c r="L72" s="23">
        <f>-(Données!I$45*1E-24*H72+Données!F$45)*K72+(I72*Données!H$44*1E-24*H72)+(Données!H$51*1E-24*H72)*Y72</f>
        <v>-2.5877967764675963E-6</v>
      </c>
      <c r="M72" s="40">
        <f t="shared" si="28"/>
        <v>1373.5523157201005</v>
      </c>
      <c r="N72" s="21">
        <f>-(Données!I$46*1E-24*H72+Données!F$46)*M72+Données!H$45*1E-24*H72*K72</f>
        <v>6.0437934851892556E-7</v>
      </c>
      <c r="O72" s="42">
        <f t="shared" si="29"/>
        <v>186.50766245173881</v>
      </c>
      <c r="P72" s="23">
        <f>-(Données!I$47*1E-24*H72+Données!F$47)*O72+(Données!H$46*1E-24*H72)*M72</f>
        <v>-9.4393862566863532E-9</v>
      </c>
      <c r="Q72" s="40">
        <f t="shared" si="30"/>
        <v>101.98051341977786</v>
      </c>
      <c r="R72" s="43">
        <f>-(Données!I$48*1E-24*H72+Données!F$48)*Q72+Données!H$47*1E-24*H72*O72+(Données!I$49*1E-24*H72*S72)*0.85*0.16</f>
        <v>6.5449961253832823E-8</v>
      </c>
      <c r="S72" s="42">
        <f t="shared" si="31"/>
        <v>49.357995228082466</v>
      </c>
      <c r="T72" s="22">
        <f>-(Données!I$49*1E-24*H72+Données!F$49)*S72+Données!F$47*O72</f>
        <v>-2.3941862799251467E-8</v>
      </c>
      <c r="U72" s="28">
        <f t="shared" si="32"/>
        <v>4735.7314300354819</v>
      </c>
      <c r="V72" s="19"/>
      <c r="W72" s="40">
        <f t="shared" si="33"/>
        <v>35.696400341608879</v>
      </c>
      <c r="X72" s="21">
        <f>-(Données!I$50*1E-24*H72+Données!F$50)*W72+Données!F$45*K72</f>
        <v>-2.6003752669798433E-7</v>
      </c>
      <c r="Y72" s="42">
        <f t="shared" si="34"/>
        <v>22191.600186494587</v>
      </c>
      <c r="Z72" s="23">
        <f>-(Données!I$51*1E-24*H72+Données!F$51)*Y72+Données!F$48*Q72</f>
        <v>-2.1769588347032434E-5</v>
      </c>
      <c r="AA72" s="15">
        <f t="shared" si="35"/>
        <v>22227.296586836197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3125923379334265</v>
      </c>
      <c r="I73" s="40">
        <f t="shared" si="26"/>
        <v>6.4675692740512334</v>
      </c>
      <c r="J73" s="21">
        <f>-(Données!I$44*1E-24*H73+Données!F$44)*I73</f>
        <v>-3.7146247043513568E-8</v>
      </c>
      <c r="K73" s="42">
        <f t="shared" si="27"/>
        <v>3010.9655276309468</v>
      </c>
      <c r="L73" s="23">
        <f>-(Données!I$45*1E-24*H73+Données!F$45)*K73+(I73*Données!H$44*1E-24*H73)+(Données!H$51*1E-24*H73)*Y73</f>
        <v>-2.5880441048600768E-6</v>
      </c>
      <c r="M73" s="40">
        <f t="shared" si="28"/>
        <v>1375.1406246480083</v>
      </c>
      <c r="N73" s="21">
        <f>-(Données!I$46*1E-24*H73+Données!F$46)*M73+Données!H$45*1E-24*H73*K73</f>
        <v>5.9027989807065929E-7</v>
      </c>
      <c r="O73" s="42">
        <f t="shared" si="29"/>
        <v>186.48285574465623</v>
      </c>
      <c r="P73" s="23">
        <f>-(Données!I$47*1E-24*H73+Données!F$47)*O73+(Données!H$46*1E-24*H73)*M73</f>
        <v>-6.9107757812872086E-9</v>
      </c>
      <c r="Q73" s="40">
        <f t="shared" si="30"/>
        <v>102.15251591795294</v>
      </c>
      <c r="R73" s="43">
        <f>-(Données!I$48*1E-24*H73+Données!F$48)*Q73+Données!H$47*1E-24*H73*O73+(Données!I$49*1E-24*H73*S73)*0.85*0.16</f>
        <v>6.4959608877868945E-8</v>
      </c>
      <c r="S73" s="42">
        <f t="shared" si="31"/>
        <v>49.295076012646035</v>
      </c>
      <c r="T73" s="22">
        <f>-(Données!I$49*1E-24*H73+Données!F$49)*S73+Données!F$47*O73</f>
        <v>-2.3584611845640638E-8</v>
      </c>
      <c r="U73" s="28">
        <f t="shared" si="32"/>
        <v>4730.5041692282612</v>
      </c>
      <c r="V73" s="19"/>
      <c r="W73" s="40">
        <f t="shared" si="33"/>
        <v>35.013021721446577</v>
      </c>
      <c r="X73" s="21">
        <f>-(Données!I$50*1E-24*H73+Données!F$50)*W73+Données!F$45*K73</f>
        <v>-2.5501285135672832E-7</v>
      </c>
      <c r="Y73" s="42">
        <f t="shared" si="34"/>
        <v>22134.389708318584</v>
      </c>
      <c r="Z73" s="23">
        <f>-(Données!I$51*1E-24*H73+Données!F$51)*Y73+Données!F$48*Q73</f>
        <v>-2.1713465800021442E-5</v>
      </c>
      <c r="AA73" s="15">
        <f t="shared" si="35"/>
        <v>22169.40273004003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3125923379334265</v>
      </c>
      <c r="I74" s="40">
        <f t="shared" si="26"/>
        <v>6.3699489368208795</v>
      </c>
      <c r="J74" s="21">
        <f>-(Données!I$44*1E-24*H74+Données!F$44)*I74</f>
        <v>-3.6585568215104456E-8</v>
      </c>
      <c r="K74" s="42">
        <f t="shared" si="27"/>
        <v>3004.1641477233743</v>
      </c>
      <c r="L74" s="23">
        <f>-(Données!I$45*1E-24*H74+Données!F$45)*K74+(I74*Données!H$44*1E-24*H74)+(Données!H$51*1E-24*H74)*Y74</f>
        <v>-2.5881627629441574E-6</v>
      </c>
      <c r="M74" s="40">
        <f t="shared" si="28"/>
        <v>1376.691880220138</v>
      </c>
      <c r="N74" s="21">
        <f>-(Données!I$46*1E-24*H74+Données!F$46)*M74+Données!H$45*1E-24*H74*K74</f>
        <v>5.7628028051521322E-7</v>
      </c>
      <c r="O74" s="42">
        <f t="shared" si="29"/>
        <v>186.464694225903</v>
      </c>
      <c r="P74" s="23">
        <f>-(Données!I$47*1E-24*H74+Données!F$47)*O74+(Données!H$46*1E-24*H74)*M74</f>
        <v>-4.5052195263823782E-9</v>
      </c>
      <c r="Q74" s="40">
        <f t="shared" si="30"/>
        <v>102.32322977008398</v>
      </c>
      <c r="R74" s="43">
        <f>-(Données!I$48*1E-24*H74+Données!F$48)*Q74+Données!H$47*1E-24*H74*O74+(Données!I$49*1E-24*H74*S74)*0.85*0.16</f>
        <v>6.4482402464375633E-8</v>
      </c>
      <c r="S74" s="42">
        <f t="shared" si="31"/>
        <v>49.23309565271569</v>
      </c>
      <c r="T74" s="22">
        <f>-(Données!I$49*1E-24*H74+Données!F$49)*S74+Données!F$47*O74</f>
        <v>-2.3223063557271618E-8</v>
      </c>
      <c r="U74" s="28">
        <f t="shared" si="32"/>
        <v>4725.2469965290366</v>
      </c>
      <c r="V74" s="19"/>
      <c r="W74" s="40">
        <f t="shared" si="33"/>
        <v>34.342847948081094</v>
      </c>
      <c r="X74" s="21">
        <f>-(Données!I$50*1E-24*H74+Données!F$50)*W74+Données!F$45*K74</f>
        <v>-2.5008538763194781E-7</v>
      </c>
      <c r="Y74" s="42">
        <f t="shared" si="34"/>
        <v>22077.326720196128</v>
      </c>
      <c r="Z74" s="23">
        <f>-(Données!I$51*1E-24*H74+Données!F$51)*Y74+Données!F$48*Q74</f>
        <v>-2.1657487938399601E-5</v>
      </c>
      <c r="AA74" s="15">
        <f t="shared" si="35"/>
        <v>22111.669568144211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3125923379334265</v>
      </c>
      <c r="I75" s="40">
        <f t="shared" si="26"/>
        <v>6.2738020635515852</v>
      </c>
      <c r="J75" s="21">
        <f>-(Données!I$44*1E-24*H75+Données!F$44)*I75</f>
        <v>-3.6033352172942848E-8</v>
      </c>
      <c r="K75" s="42">
        <f t="shared" si="27"/>
        <v>2997.362455982357</v>
      </c>
      <c r="L75" s="23">
        <f>-(Données!I$45*1E-24*H75+Données!F$45)*K75+(I75*Données!H$44*1E-24*H75)+(Données!H$51*1E-24*H75)*Y75</f>
        <v>-2.5881554450981484E-6</v>
      </c>
      <c r="M75" s="40">
        <f t="shared" si="28"/>
        <v>1378.2063447973321</v>
      </c>
      <c r="N75" s="21">
        <f>-(Données!I$46*1E-24*H75+Données!F$46)*M75+Données!H$45*1E-24*H75*K75</f>
        <v>5.6238026863583196E-7</v>
      </c>
      <c r="O75" s="42">
        <f t="shared" si="29"/>
        <v>186.45285450898766</v>
      </c>
      <c r="P75" s="23">
        <f>-(Données!I$47*1E-24*H75+Données!F$47)*O75+(Données!H$46*1E-24*H75)*M75</f>
        <v>-2.2189279747946339E-9</v>
      </c>
      <c r="Q75" s="40">
        <f t="shared" si="30"/>
        <v>102.49268952376036</v>
      </c>
      <c r="R75" s="43">
        <f>-(Données!I$48*1E-24*H75+Données!F$48)*Q75+Données!H$47*1E-24*H75*O75+(Données!I$49*1E-24*H75*S75)*0.85*0.16</f>
        <v>6.4017816416361327E-8</v>
      </c>
      <c r="S75" s="42">
        <f t="shared" si="31"/>
        <v>49.172065441687181</v>
      </c>
      <c r="T75" s="22">
        <f>-(Données!I$49*1E-24*H75+Données!F$49)*S75+Données!F$47*O75</f>
        <v>-2.2857785076874268E-8</v>
      </c>
      <c r="U75" s="28">
        <f t="shared" si="32"/>
        <v>4719.9602123176755</v>
      </c>
      <c r="V75" s="19"/>
      <c r="W75" s="40">
        <f t="shared" si="33"/>
        <v>33.685623549384331</v>
      </c>
      <c r="X75" s="21">
        <f>-(Données!I$50*1E-24*H75+Données!F$50)*W75+Données!F$45*K75</f>
        <v>-2.4525325448873626E-7</v>
      </c>
      <c r="Y75" s="42">
        <f t="shared" si="34"/>
        <v>22020.410841894012</v>
      </c>
      <c r="Z75" s="23">
        <f>-(Données!I$51*1E-24*H75+Données!F$51)*Y75+Données!F$48*Q75</f>
        <v>-2.1601654389162363E-5</v>
      </c>
      <c r="AA75" s="15">
        <f t="shared" si="35"/>
        <v>22054.096465443396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3125923379334265</v>
      </c>
      <c r="I76" s="40">
        <f t="shared" si="26"/>
        <v>6.1791064140410912</v>
      </c>
      <c r="J76" s="21">
        <f>-(Données!I$44*1E-24*H76+Données!F$44)*I76</f>
        <v>-3.5489471181242329E-8</v>
      </c>
      <c r="K76" s="42">
        <f t="shared" si="27"/>
        <v>2990.5607834726393</v>
      </c>
      <c r="L76" s="23">
        <f>-(Données!I$45*1E-24*H76+Données!F$45)*K76+(I76*Données!H$44*1E-24*H76)+(Données!H$51*1E-24*H76)*Y76</f>
        <v>-2.5880247952528087E-6</v>
      </c>
      <c r="M76" s="40">
        <f t="shared" si="28"/>
        <v>1379.684280143307</v>
      </c>
      <c r="N76" s="21">
        <f>-(Données!I$46*1E-24*H76+Données!F$46)*M76+Données!H$45*1E-24*H76*K76</f>
        <v>5.4857962665685936E-7</v>
      </c>
      <c r="O76" s="42">
        <f t="shared" si="29"/>
        <v>186.4470231662699</v>
      </c>
      <c r="P76" s="23">
        <f>-(Données!I$47*1E-24*H76+Données!F$47)*O76+(Données!H$46*1E-24*H76)*M76</f>
        <v>-4.821763147142119E-11</v>
      </c>
      <c r="Q76" s="40">
        <f t="shared" si="30"/>
        <v>102.66092834530257</v>
      </c>
      <c r="R76" s="43">
        <f>-(Données!I$48*1E-24*H76+Données!F$48)*Q76+Données!H$47*1E-24*H76*O76+(Données!I$49*1E-24*H76*S76)*0.85*0.16</f>
        <v>6.3565341096415927E-8</v>
      </c>
      <c r="S76" s="42">
        <f t="shared" si="31"/>
        <v>49.111995182505154</v>
      </c>
      <c r="T76" s="22">
        <f>-(Données!I$49*1E-24*H76+Données!F$49)*S76+Données!F$47*O76</f>
        <v>-2.2489318902515457E-8</v>
      </c>
      <c r="U76" s="28">
        <f t="shared" si="32"/>
        <v>4714.6441167240646</v>
      </c>
      <c r="V76" s="19"/>
      <c r="W76" s="40">
        <f t="shared" si="33"/>
        <v>33.041097996587929</v>
      </c>
      <c r="X76" s="21">
        <f>-(Données!I$50*1E-24*H76+Données!F$50)*W76+Données!F$45*K76</f>
        <v>-2.4051460729051166E-7</v>
      </c>
      <c r="Y76" s="42">
        <f t="shared" si="34"/>
        <v>21963.641694159294</v>
      </c>
      <c r="Z76" s="23">
        <f>-(Données!I$51*1E-24*H76+Données!F$51)*Y76+Données!F$48*Q76</f>
        <v>-2.1545964780266895E-5</v>
      </c>
      <c r="AA76" s="15">
        <f t="shared" si="35"/>
        <v>21996.682792155883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3125923379334265</v>
      </c>
      <c r="I77" s="40">
        <f t="shared" si="26"/>
        <v>6.0858400837767865</v>
      </c>
      <c r="J77" s="21">
        <f>-(Données!I$44*1E-24*H77+Données!F$44)*I77</f>
        <v>-3.4953799432237672E-8</v>
      </c>
      <c r="K77" s="42">
        <f t="shared" si="27"/>
        <v>2983.7594543107148</v>
      </c>
      <c r="L77" s="23">
        <f>-(Données!I$45*1E-24*H77+Données!F$45)*K77+(I77*Données!H$44*1E-24*H77)+(Données!H$51*1E-24*H77)*Y77</f>
        <v>-2.5877734078209145E-6</v>
      </c>
      <c r="M77" s="40">
        <f t="shared" si="28"/>
        <v>1381.1259474021613</v>
      </c>
      <c r="N77" s="21">
        <f>-(Données!I$46*1E-24*H77+Données!F$46)*M77+Données!H$45*1E-24*H77*K77</f>
        <v>5.3487811049555764E-7</v>
      </c>
      <c r="O77" s="42">
        <f t="shared" si="29"/>
        <v>186.44689645033441</v>
      </c>
      <c r="P77" s="23">
        <f>-(Données!I$47*1E-24*H77+Données!F$47)*O77+(Données!H$46*1E-24*H77)*M77</f>
        <v>2.0104918868373387E-9</v>
      </c>
      <c r="Q77" s="40">
        <f t="shared" si="30"/>
        <v>102.82797806170394</v>
      </c>
      <c r="R77" s="43">
        <f>-(Données!I$48*1E-24*H77+Données!F$48)*Q77+Données!H$47*1E-24*H77*O77+(Données!I$49*1E-24*H77*S77)*0.85*0.16</f>
        <v>6.3124482392039874E-8</v>
      </c>
      <c r="S77" s="42">
        <f t="shared" si="31"/>
        <v>49.052893252429342</v>
      </c>
      <c r="T77" s="22">
        <f>-(Données!I$49*1E-24*H77+Données!F$49)*S77+Données!F$47*O77</f>
        <v>-2.2118183722026464E-8</v>
      </c>
      <c r="U77" s="28">
        <f t="shared" si="32"/>
        <v>4709.2990095611203</v>
      </c>
      <c r="V77" s="19"/>
      <c r="W77" s="40">
        <f t="shared" si="33"/>
        <v>32.409025608628461</v>
      </c>
      <c r="X77" s="21">
        <f>-(Données!I$50*1E-24*H77+Données!F$50)*W77+Données!F$45*K77</f>
        <v>-2.3586763709470745E-7</v>
      </c>
      <c r="Y77" s="42">
        <f t="shared" si="34"/>
        <v>21907.018898716753</v>
      </c>
      <c r="Z77" s="23">
        <f>-(Données!I$51*1E-24*H77+Données!F$51)*Y77+Données!F$48*Q77</f>
        <v>-2.1490418740629569E-5</v>
      </c>
      <c r="AA77" s="15">
        <f t="shared" si="35"/>
        <v>21939.42792432538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3125923379334265</v>
      </c>
      <c r="I78" s="40">
        <f t="shared" si="26"/>
        <v>5.993981498868866</v>
      </c>
      <c r="J78" s="21">
        <f>-(Données!I$44*1E-24*H78+Données!F$44)*I78</f>
        <v>-3.4426213017083621E-8</v>
      </c>
      <c r="K78" s="42">
        <f t="shared" si="27"/>
        <v>2976.9587857949614</v>
      </c>
      <c r="L78" s="23">
        <f>-(Données!I$45*1E-24*H78+Données!F$45)*K78+(I78*Données!H$44*1E-24*H78)+(Données!H$51*1E-24*H78)*Y78</f>
        <v>-2.5874038286097095E-6</v>
      </c>
      <c r="M78" s="40">
        <f t="shared" si="28"/>
        <v>1382.5316070765437</v>
      </c>
      <c r="N78" s="21">
        <f>-(Données!I$46*1E-24*H78+Données!F$46)*M78+Données!H$45*1E-24*H78*K78</f>
        <v>5.2127546800862824E-7</v>
      </c>
      <c r="O78" s="42">
        <f t="shared" si="29"/>
        <v>186.45218002301303</v>
      </c>
      <c r="P78" s="23">
        <f>-(Données!I$47*1E-24*H78+Données!F$47)*O78+(Données!H$46*1E-24*H78)*M78</f>
        <v>3.9606806820694381E-9</v>
      </c>
      <c r="Q78" s="40">
        <f t="shared" si="30"/>
        <v>102.99386920143023</v>
      </c>
      <c r="R78" s="43">
        <f>-(Données!I$48*1E-24*H78+Données!F$48)*Q78+Données!H$47*1E-24*H78*O78+(Données!I$49*1E-24*H78*S78)*0.85*0.16</f>
        <v>6.2694761292531298E-8</v>
      </c>
      <c r="S78" s="42">
        <f t="shared" si="31"/>
        <v>48.994766665607855</v>
      </c>
      <c r="T78" s="22">
        <f>-(Données!I$49*1E-24*H78+Données!F$49)*S78+Données!F$47*O78</f>
        <v>-2.1744875221917534E-8</v>
      </c>
      <c r="U78" s="28">
        <f t="shared" si="32"/>
        <v>4703.9251902604256</v>
      </c>
      <c r="V78" s="19"/>
      <c r="W78" s="40">
        <f t="shared" si="33"/>
        <v>31.789165458343572</v>
      </c>
      <c r="X78" s="21">
        <f>-(Données!I$50*1E-24*H78+Données!F$50)*W78+Données!F$45*K78</f>
        <v>-2.3131056996209131E-7</v>
      </c>
      <c r="Y78" s="42">
        <f t="shared" si="34"/>
        <v>21850.542078266379</v>
      </c>
      <c r="Z78" s="23">
        <f>-(Données!I$51*1E-24*H78+Données!F$51)*Y78+Données!F$48*Q78</f>
        <v>-2.1435015900123507E-5</v>
      </c>
      <c r="AA78" s="15">
        <f t="shared" si="35"/>
        <v>21882.331243724722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3125923379334265</v>
      </c>
      <c r="I79" s="40">
        <f t="shared" si="26"/>
        <v>5.9035094110599706</v>
      </c>
      <c r="J79" s="21">
        <f>-(Données!I$44*1E-24*H79+Données!F$44)*I79</f>
        <v>-3.3906589897192933E-8</v>
      </c>
      <c r="K79" s="42">
        <f t="shared" si="27"/>
        <v>2970.1590885333749</v>
      </c>
      <c r="L79" s="23">
        <f>-(Données!I$45*1E-24*H79+Données!F$45)*K79+(I79*Données!H$44*1E-24*H79)+(Données!H$51*1E-24*H79)*Y79</f>
        <v>-2.5869185557166291E-6</v>
      </c>
      <c r="M79" s="40">
        <f t="shared" si="28"/>
        <v>1383.9015190064704</v>
      </c>
      <c r="N79" s="21">
        <f>-(Données!I$46*1E-24*H79+Données!F$46)*M79+Données!H$45*1E-24*H79*K79</f>
        <v>5.0777143923350653E-7</v>
      </c>
      <c r="O79" s="42">
        <f t="shared" si="29"/>
        <v>186.4625886918455</v>
      </c>
      <c r="P79" s="23">
        <f>-(Données!I$47*1E-24*H79+Données!F$47)*O79+(Données!H$46*1E-24*H79)*M79</f>
        <v>5.8057313277172023E-9</v>
      </c>
      <c r="Q79" s="40">
        <f t="shared" si="30"/>
        <v>103.158631034107</v>
      </c>
      <c r="R79" s="43">
        <f>-(Données!I$48*1E-24*H79+Données!F$48)*Q79+Données!H$47*1E-24*H79*O79+(Données!I$49*1E-24*H79*S79)*0.85*0.16</f>
        <v>6.2275713477123851E-8</v>
      </c>
      <c r="S79" s="42">
        <f t="shared" si="31"/>
        <v>48.937621133524658</v>
      </c>
      <c r="T79" s="22">
        <f>-(Données!I$49*1E-24*H79+Données!F$49)*S79+Données!F$47*O79</f>
        <v>-2.1369866871522287E-8</v>
      </c>
      <c r="U79" s="28">
        <f t="shared" si="32"/>
        <v>4698.5229578103826</v>
      </c>
      <c r="V79" s="19"/>
      <c r="W79" s="40">
        <f t="shared" si="33"/>
        <v>31.181281280483194</v>
      </c>
      <c r="X79" s="21">
        <f>-(Données!I$50*1E-24*H79+Données!F$50)*W79+Données!F$45*K79</f>
        <v>-2.2684166627944879E-7</v>
      </c>
      <c r="Y79" s="42">
        <f t="shared" si="34"/>
        <v>21794.210856480855</v>
      </c>
      <c r="Z79" s="23">
        <f>-(Données!I$51*1E-24*H79+Données!F$51)*Y79+Données!F$48*Q79</f>
        <v>-2.1379755889576083E-5</v>
      </c>
      <c r="AA79" s="15">
        <f t="shared" si="35"/>
        <v>21825.392137761337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3125923379334265</v>
      </c>
      <c r="I80" s="40">
        <f t="shared" si="26"/>
        <v>5.8144028928101479</v>
      </c>
      <c r="J80" s="21">
        <f>-(Données!I$44*1E-24*H80+Données!F$44)*I80</f>
        <v>-3.3394809876007024E-8</v>
      </c>
      <c r="K80" s="42">
        <f t="shared" si="27"/>
        <v>2963.3606665689517</v>
      </c>
      <c r="L80" s="23">
        <f>-(Données!I$45*1E-24*H80+Données!F$45)*K80+(I80*Données!H$44*1E-24*H80)+(Données!H$51*1E-24*H80)*Y80</f>
        <v>-2.5863200404085748E-6</v>
      </c>
      <c r="M80" s="40">
        <f t="shared" si="28"/>
        <v>1385.235942348776</v>
      </c>
      <c r="N80" s="21">
        <f>-(Données!I$46*1E-24*H80+Données!F$46)*M80+Données!H$45*1E-24*H80*K80</f>
        <v>4.9436575662455864E-7</v>
      </c>
      <c r="O80" s="42">
        <f t="shared" si="29"/>
        <v>186.47784615377475</v>
      </c>
      <c r="P80" s="23">
        <f>-(Données!I$47*1E-24*H80+Données!F$47)*O80+(Données!H$46*1E-24*H80)*M80</f>
        <v>7.548931546194027E-9</v>
      </c>
      <c r="Q80" s="40">
        <f t="shared" si="30"/>
        <v>103.32229160912489</v>
      </c>
      <c r="R80" s="43">
        <f>-(Données!I$48*1E-24*H80+Données!F$48)*Q80+Données!H$47*1E-24*H80*O80+(Données!I$49*1E-24*H80*S80)*0.85*0.16</f>
        <v>6.1866888914073433E-8</v>
      </c>
      <c r="S80" s="42">
        <f t="shared" si="31"/>
        <v>48.881461123386295</v>
      </c>
      <c r="T80" s="22">
        <f>-(Données!I$49*1E-24*H80+Données!F$49)*S80+Données!F$47*O80</f>
        <v>-2.0993610683094906E-8</v>
      </c>
      <c r="U80" s="28">
        <f t="shared" si="32"/>
        <v>4693.0926106968236</v>
      </c>
      <c r="V80" s="19"/>
      <c r="W80" s="40">
        <f t="shared" si="33"/>
        <v>30.585141381500804</v>
      </c>
      <c r="X80" s="21">
        <f>-(Données!I$50*1E-24*H80+Données!F$50)*W80+Données!F$45*K80</f>
        <v>-2.2245922009537292E-7</v>
      </c>
      <c r="Y80" s="42">
        <f t="shared" si="34"/>
        <v>21738.024858003049</v>
      </c>
      <c r="Z80" s="23">
        <f>-(Données!I$51*1E-24*H80+Données!F$51)*Y80+Données!F$48*Q80</f>
        <v>-2.1324638340766494E-5</v>
      </c>
      <c r="AA80" s="15">
        <f t="shared" si="35"/>
        <v>21768.609999384549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3125923379334265</v>
      </c>
      <c r="I81" s="40">
        <f t="shared" si="26"/>
        <v>5.7266413324560013</v>
      </c>
      <c r="J81" s="21">
        <f>-(Données!I$44*1E-24*H81+Données!F$44)*I81</f>
        <v>-3.2890754571192745E-8</v>
      </c>
      <c r="K81" s="42">
        <f t="shared" si="27"/>
        <v>2956.563817502758</v>
      </c>
      <c r="L81" s="23">
        <f>-(Données!I$45*1E-24*H81+Données!F$45)*K81+(I81*Données!H$44*1E-24*H81)+(Données!H$51*1E-24*H81)*Y81</f>
        <v>-2.5856106879850068E-6</v>
      </c>
      <c r="M81" s="40">
        <f t="shared" si="28"/>
        <v>1386.5351355571854</v>
      </c>
      <c r="N81" s="21">
        <f>-(Données!I$46*1E-24*H81+Données!F$46)*M81+Données!H$45*1E-24*H81*K81</f>
        <v>4.8105814528425922E-7</v>
      </c>
      <c r="O81" s="42">
        <f t="shared" si="29"/>
        <v>186.49768474587816</v>
      </c>
      <c r="P81" s="23">
        <f>-(Données!I$47*1E-24*H81+Données!F$47)*O81+(Données!H$46*1E-24*H81)*M81</f>
        <v>9.1934768127873005E-9</v>
      </c>
      <c r="Q81" s="40">
        <f t="shared" si="30"/>
        <v>103.48487779319107</v>
      </c>
      <c r="R81" s="43">
        <f>-(Données!I$48*1E-24*H81+Données!F$48)*Q81+Données!H$47*1E-24*H81*O81+(Données!I$49*1E-24*H81*S81)*0.85*0.16</f>
        <v>6.146785147040215E-8</v>
      </c>
      <c r="S81" s="42">
        <f t="shared" si="31"/>
        <v>48.826289914511122</v>
      </c>
      <c r="T81" s="22">
        <f>-(Données!I$49*1E-24*H81+Données!F$49)*S81+Données!F$47*O81</f>
        <v>-2.0616537948561512E-8</v>
      </c>
      <c r="U81" s="28">
        <f t="shared" si="32"/>
        <v>4687.6344468459802</v>
      </c>
      <c r="V81" s="19"/>
      <c r="W81" s="40">
        <f t="shared" si="33"/>
        <v>30.000518551090163</v>
      </c>
      <c r="X81" s="21">
        <f>-(Données!I$50*1E-24*H81+Données!F$50)*W81+Données!F$45*K81</f>
        <v>-2.1816155846890625E-7</v>
      </c>
      <c r="Y81" s="42">
        <f t="shared" si="34"/>
        <v>21681.983708443517</v>
      </c>
      <c r="Z81" s="23">
        <f>-(Données!I$51*1E-24*H81+Données!F$51)*Y81+Données!F$48*Q81</f>
        <v>-2.1269662886423279E-5</v>
      </c>
      <c r="AA81" s="15">
        <f t="shared" si="35"/>
        <v>21711.984226994606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3125923379334265</v>
      </c>
      <c r="I82" s="40">
        <f t="shared" si="26"/>
        <v>5.6402044294429068</v>
      </c>
      <c r="J82" s="21">
        <f>-(Données!I$44*1E-24*H82+Données!F$44)*I82</f>
        <v>-3.2394307387258772E-8</v>
      </c>
      <c r="K82" s="42">
        <f t="shared" si="27"/>
        <v>2949.7688326147336</v>
      </c>
      <c r="L82" s="23">
        <f>-(Données!I$45*1E-24*H82+Données!F$45)*K82+(I82*Données!H$44*1E-24*H82)+(Données!H$51*1E-24*H82)*Y82</f>
        <v>-2.5847928586252547E-6</v>
      </c>
      <c r="M82" s="40">
        <f t="shared" si="28"/>
        <v>1387.7993563629925</v>
      </c>
      <c r="N82" s="21">
        <f>-(Données!I$46*1E-24*H82+Données!F$46)*M82+Données!H$45*1E-24*H82*K82</f>
        <v>4.6784832318946142E-7</v>
      </c>
      <c r="O82" s="42">
        <f t="shared" si="29"/>
        <v>186.52184520294216</v>
      </c>
      <c r="P82" s="23">
        <f>-(Données!I$47*1E-24*H82+Données!F$47)*O82+(Données!H$46*1E-24*H82)*M82</f>
        <v>1.0742472888208565E-8</v>
      </c>
      <c r="Q82" s="40">
        <f t="shared" si="30"/>
        <v>103.64641530685529</v>
      </c>
      <c r="R82" s="43">
        <f>-(Données!I$48*1E-24*H82+Données!F$48)*Q82+Données!H$47*1E-24*H82*O82+(Données!I$49*1E-24*H82*S82)*0.85*0.16</f>
        <v>6.1078178532014667E-8</v>
      </c>
      <c r="S82" s="42">
        <f t="shared" si="31"/>
        <v>48.772109652782305</v>
      </c>
      <c r="T82" s="22">
        <f>-(Données!I$49*1E-24*H82+Données!F$49)*S82+Données!F$47*O82</f>
        <v>-2.023905995360637E-8</v>
      </c>
      <c r="U82" s="28">
        <f t="shared" si="32"/>
        <v>4682.1487635697486</v>
      </c>
      <c r="V82" s="19"/>
      <c r="W82" s="40">
        <f t="shared" si="33"/>
        <v>29.427189975433876</v>
      </c>
      <c r="X82" s="21">
        <f>-(Données!I$50*1E-24*H82+Données!F$50)*W82+Données!F$45*K82</f>
        <v>-2.1394704083078639E-7</v>
      </c>
      <c r="Y82" s="42">
        <f t="shared" si="34"/>
        <v>21626.087034377997</v>
      </c>
      <c r="Z82" s="23">
        <f>-(Données!I$51*1E-24*H82+Données!F$51)*Y82+Données!F$48*Q82</f>
        <v>-2.1214829160221888E-5</v>
      </c>
      <c r="AA82" s="15">
        <f t="shared" si="35"/>
        <v>21655.514224353432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3125923379334265</v>
      </c>
      <c r="I83" s="40">
        <f t="shared" si="26"/>
        <v>5.5550721896291906</v>
      </c>
      <c r="J83" s="21">
        <f>-(Données!I$44*1E-24*H83+Données!F$44)*I83</f>
        <v>-3.1905353488585323E-8</v>
      </c>
      <c r="K83" s="42">
        <f t="shared" si="27"/>
        <v>2942.9759969822662</v>
      </c>
      <c r="L83" s="23">
        <f>-(Données!I$45*1E-24*H83+Données!F$45)*K83+(I83*Données!H$44*1E-24*H83)+(Données!H$51*1E-24*H83)*Y83</f>
        <v>-2.5838688682201922E-6</v>
      </c>
      <c r="M83" s="40">
        <f t="shared" si="28"/>
        <v>1389.0288617563344</v>
      </c>
      <c r="N83" s="21">
        <f>-(Données!I$46*1E-24*H83+Données!F$46)*M83+Données!H$45*1E-24*H83*K83</f>
        <v>4.5473600141284143E-7</v>
      </c>
      <c r="O83" s="42">
        <f t="shared" si="29"/>
        <v>186.55007642169238</v>
      </c>
      <c r="P83" s="23">
        <f>-(Données!I$47*1E-24*H83+Données!F$47)*O83+(Données!H$46*1E-24*H83)*M83</f>
        <v>1.2198938281703917E-8</v>
      </c>
      <c r="Q83" s="40">
        <f t="shared" si="30"/>
        <v>103.80692876003742</v>
      </c>
      <c r="R83" s="43">
        <f>-(Données!I$48*1E-24*H83+Données!F$48)*Q83+Données!H$47*1E-24*H83*O83+(Données!I$49*1E-24*H83*S83)*0.85*0.16</f>
        <v>6.0697460633909563E-8</v>
      </c>
      <c r="S83" s="42">
        <f t="shared" si="31"/>
        <v>48.718921403224229</v>
      </c>
      <c r="T83" s="22">
        <f>-(Données!I$49*1E-24*H83+Données!F$49)*S83+Données!F$47*O83</f>
        <v>-1.9861568669755718E-8</v>
      </c>
      <c r="U83" s="28">
        <f t="shared" si="32"/>
        <v>4676.6358575131835</v>
      </c>
      <c r="V83" s="19"/>
      <c r="W83" s="40">
        <f t="shared" si="33"/>
        <v>28.864937152130569</v>
      </c>
      <c r="X83" s="21">
        <f>-(Données!I$50*1E-24*H83+Données!F$50)*W83+Données!F$45*K83</f>
        <v>-2.0981405835705181E-7</v>
      </c>
      <c r="Y83" s="42">
        <f t="shared" si="34"/>
        <v>21570.334463344934</v>
      </c>
      <c r="Z83" s="23">
        <f>-(Données!I$51*1E-24*H83+Données!F$51)*Y83+Données!F$48*Q83</f>
        <v>-2.1160136796782226E-5</v>
      </c>
      <c r="AA83" s="15">
        <f t="shared" si="35"/>
        <v>21599.199400497066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3125923379334265</v>
      </c>
      <c r="I84" s="40">
        <f t="shared" si="26"/>
        <v>5.4712249206611885</v>
      </c>
      <c r="J84" s="21">
        <f>-(Données!I$44*1E-24*H84+Données!F$44)*I84</f>
        <v>-3.1423779772860995E-8</v>
      </c>
      <c r="K84" s="42">
        <f t="shared" si="27"/>
        <v>2936.1855895965837</v>
      </c>
      <c r="L84" s="23">
        <f>-(Données!I$45*1E-24*H84+Données!F$45)*K84+(I84*Données!H$44*1E-24*H84)+(Données!H$51*1E-24*H84)*Y84</f>
        <v>-2.5828409891887092E-6</v>
      </c>
      <c r="M84" s="40">
        <f t="shared" si="28"/>
        <v>1390.2239079680473</v>
      </c>
      <c r="N84" s="21">
        <f>-(Données!I$46*1E-24*H84+Données!F$46)*M84+Données!H$45*1E-24*H84*K84</f>
        <v>4.4172088433962325E-7</v>
      </c>
      <c r="O84" s="42">
        <f t="shared" si="29"/>
        <v>186.58213523149669</v>
      </c>
      <c r="P84" s="23">
        <f>-(Données!I$47*1E-24*H84+Données!F$47)*O84+(Données!H$46*1E-24*H84)*M84</f>
        <v>1.3565806646643178E-8</v>
      </c>
      <c r="Q84" s="40">
        <f t="shared" si="30"/>
        <v>103.96644168658334</v>
      </c>
      <c r="R84" s="43">
        <f>-(Données!I$48*1E-24*H84+Données!F$48)*Q84+Données!H$47*1E-24*H84*O84+(Données!I$49*1E-24*H84*S84)*0.85*0.16</f>
        <v>6.0325301100217338E-8</v>
      </c>
      <c r="S84" s="42">
        <f t="shared" si="31"/>
        <v>48.666725200760112</v>
      </c>
      <c r="T84" s="22">
        <f>-(Données!I$49*1E-24*H84+Données!F$49)*S84+Données!F$47*O84</f>
        <v>-1.9484437425103034E-8</v>
      </c>
      <c r="U84" s="28">
        <f t="shared" si="32"/>
        <v>4671.0960246041332</v>
      </c>
      <c r="V84" s="19"/>
      <c r="W84" s="40">
        <f t="shared" si="33"/>
        <v>28.313545806768236</v>
      </c>
      <c r="X84" s="21">
        <f>-(Données!I$50*1E-24*H84+Données!F$50)*W84+Données!F$45*K84</f>
        <v>-2.0576103335476778E-7</v>
      </c>
      <c r="Y84" s="42">
        <f t="shared" si="34"/>
        <v>21514.725623842991</v>
      </c>
      <c r="Z84" s="23">
        <f>-(Données!I$51*1E-24*H84+Données!F$51)*Y84+Données!F$48*Q84</f>
        <v>-2.1105585431666214E-5</v>
      </c>
      <c r="AA84" s="15">
        <f t="shared" si="35"/>
        <v>21543.039169649761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3125923379334265</v>
      </c>
      <c r="I85" s="40">
        <f t="shared" si="26"/>
        <v>5.3886432274181102</v>
      </c>
      <c r="J85" s="21">
        <f>-(Données!I$44*1E-24*H85+Données!F$44)*I85</f>
        <v>-3.09494748449205E-8</v>
      </c>
      <c r="K85" s="42">
        <f t="shared" si="27"/>
        <v>2929.397883476996</v>
      </c>
      <c r="L85" s="23">
        <f>-(Données!I$45*1E-24*H85+Données!F$45)*K85+(I85*Données!H$44*1E-24*H85)+(Données!H$51*1E-24*H85)*Y85</f>
        <v>-2.5817114512791333E-6</v>
      </c>
      <c r="M85" s="40">
        <f t="shared" si="28"/>
        <v>1391.3847504520918</v>
      </c>
      <c r="N85" s="21">
        <f>-(Données!I$46*1E-24*H85+Données!F$46)*M85+Données!H$45*1E-24*H85*K85</f>
        <v>4.2880266987966645E-7</v>
      </c>
      <c r="O85" s="42">
        <f t="shared" si="29"/>
        <v>186.61778617136406</v>
      </c>
      <c r="P85" s="23">
        <f>-(Données!I$47*1E-24*H85+Données!F$47)*O85+(Données!H$46*1E-24*H85)*M85</f>
        <v>1.4845929110432668E-8</v>
      </c>
      <c r="Q85" s="40">
        <f t="shared" si="30"/>
        <v>104.1249765778747</v>
      </c>
      <c r="R85" s="43">
        <f>-(Données!I$48*1E-24*H85+Données!F$48)*Q85+Données!H$47*1E-24*H85*O85+(Données!I$49*1E-24*H85*S85)*0.85*0.16</f>
        <v>5.9961315693801611E-8</v>
      </c>
      <c r="S85" s="42">
        <f t="shared" si="31"/>
        <v>48.61552009920694</v>
      </c>
      <c r="T85" s="22">
        <f>-(Données!I$49*1E-24*H85+Données!F$49)*S85+Données!F$47*O85</f>
        <v>-1.9108021554298928E-8</v>
      </c>
      <c r="U85" s="28">
        <f t="shared" si="32"/>
        <v>4665.5295600049512</v>
      </c>
      <c r="V85" s="19"/>
      <c r="W85" s="40">
        <f t="shared" si="33"/>
        <v>27.772805811111905</v>
      </c>
      <c r="X85" s="21">
        <f>-(Données!I$50*1E-24*H85+Données!F$50)*W85+Données!F$45*K85</f>
        <v>-2.0178641865963899E-7</v>
      </c>
      <c r="Y85" s="42">
        <f t="shared" si="34"/>
        <v>21459.260145328572</v>
      </c>
      <c r="Z85" s="23">
        <f>-(Données!I$51*1E-24*H85+Données!F$51)*Y85+Données!F$48*Q85</f>
        <v>-2.1051174701375371E-5</v>
      </c>
      <c r="AA85" s="15">
        <f t="shared" si="35"/>
        <v>21487.032951139685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3125923379334265</v>
      </c>
      <c r="I86" s="40">
        <f t="shared" si="26"/>
        <v>5.3073080075256591</v>
      </c>
      <c r="J86" s="21">
        <f>-(Données!I$44*1E-24*H86+Données!F$44)*I86</f>
        <v>-3.0482328990977296E-8</v>
      </c>
      <c r="K86" s="42">
        <f t="shared" si="27"/>
        <v>2922.6131457830343</v>
      </c>
      <c r="L86" s="23">
        <f>-(Données!I$45*1E-24*H86+Données!F$45)*K86+(I86*Données!H$44*1E-24*H86)+(Données!H$51*1E-24*H86)*Y86</f>
        <v>-2.5804824423559509E-6</v>
      </c>
      <c r="M86" s="40">
        <f t="shared" si="28"/>
        <v>1392.5116438685357</v>
      </c>
      <c r="N86" s="21">
        <f>-(Données!I$46*1E-24*H86+Données!F$46)*M86+Données!H$45*1E-24*H86*K86</f>
        <v>4.1598104967500404E-7</v>
      </c>
      <c r="O86" s="42">
        <f t="shared" si="29"/>
        <v>186.65680127306626</v>
      </c>
      <c r="P86" s="23">
        <f>-(Données!I$47*1E-24*H86+Données!F$47)*O86+(Données!H$46*1E-24*H86)*M86</f>
        <v>1.6042076540561276E-8</v>
      </c>
      <c r="Q86" s="40">
        <f t="shared" si="30"/>
        <v>104.28255491551802</v>
      </c>
      <c r="R86" s="43">
        <f>-(Données!I$48*1E-24*H86+Données!F$48)*Q86+Données!H$47*1E-24*H86*O86+(Données!I$49*1E-24*H86*S86)*0.85*0.16</f>
        <v>5.9605132275169624E-8</v>
      </c>
      <c r="S86" s="42">
        <f t="shared" si="31"/>
        <v>48.56530421856224</v>
      </c>
      <c r="T86" s="22">
        <f>-(Données!I$49*1E-24*H86+Données!F$49)*S86+Données!F$47*O86</f>
        <v>-1.8732659028415117E-8</v>
      </c>
      <c r="U86" s="28">
        <f t="shared" si="32"/>
        <v>4659.9367580662411</v>
      </c>
      <c r="V86" s="19"/>
      <c r="W86" s="40">
        <f t="shared" si="33"/>
        <v>27.242511102874374</v>
      </c>
      <c r="X86" s="21">
        <f>-(Données!I$50*1E-24*H86+Données!F$50)*W86+Données!F$45*K86</f>
        <v>-1.9788869704527782E-7</v>
      </c>
      <c r="Y86" s="42">
        <f t="shared" si="34"/>
        <v>21403.937658213355</v>
      </c>
      <c r="Z86" s="23">
        <f>-(Données!I$51*1E-24*H86+Données!F$51)*Y86+Données!F$48*Q86</f>
        <v>-2.0996904243348381E-5</v>
      </c>
      <c r="AA86" s="15">
        <f t="shared" si="35"/>
        <v>21431.180169316231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3125923379334265</v>
      </c>
      <c r="I87" s="40">
        <f t="shared" si="26"/>
        <v>5.2272004469373705</v>
      </c>
      <c r="J87" s="21">
        <f>-(Données!I$44*1E-24*H87+Données!F$44)*I87</f>
        <v>-3.0022234153245185E-8</v>
      </c>
      <c r="K87" s="42">
        <f t="shared" si="27"/>
        <v>2915.831637924523</v>
      </c>
      <c r="L87" s="23">
        <f>-(Données!I$45*1E-24*H87+Données!F$45)*K87+(I87*Données!H$44*1E-24*H87)+(Données!H$51*1E-24*H87)*Y87</f>
        <v>-2.5791561091721016E-6</v>
      </c>
      <c r="M87" s="40">
        <f t="shared" si="28"/>
        <v>1393.6048420670816</v>
      </c>
      <c r="N87" s="21">
        <f>-(Données!I$46*1E-24*H87+Données!F$46)*M87+Données!H$45*1E-24*H87*K87</f>
        <v>4.0325570930293643E-7</v>
      </c>
      <c r="O87" s="42">
        <f t="shared" si="29"/>
        <v>186.69895985021486</v>
      </c>
      <c r="P87" s="23">
        <f>-(Données!I$47*1E-24*H87+Données!F$47)*O87+(Données!H$46*1E-24*H87)*M87</f>
        <v>1.7156941748537412E-8</v>
      </c>
      <c r="Q87" s="40">
        <f t="shared" si="30"/>
        <v>104.43919720313717</v>
      </c>
      <c r="R87" s="43">
        <f>-(Données!I$48*1E-24*H87+Données!F$48)*Q87+Données!H$47*1E-24*H87*O87+(Données!I$49*1E-24*H87*S87)*0.85*0.16</f>
        <v>5.9256390470442916E-8</v>
      </c>
      <c r="S87" s="42">
        <f t="shared" si="31"/>
        <v>48.516074790635564</v>
      </c>
      <c r="T87" s="22">
        <f>-(Données!I$49*1E-24*H87+Données!F$49)*S87+Données!F$47*O87</f>
        <v>-1.8358671065270357E-8</v>
      </c>
      <c r="U87" s="28">
        <f t="shared" si="32"/>
        <v>4654.3179122825295</v>
      </c>
      <c r="V87" s="19"/>
      <c r="W87" s="40">
        <f t="shared" si="33"/>
        <v>26.722459607039383</v>
      </c>
      <c r="X87" s="21">
        <f>-(Données!I$50*1E-24*H87+Données!F$50)*W87+Données!F$45*K87</f>
        <v>-1.9406638064390361E-7</v>
      </c>
      <c r="Y87" s="42">
        <f t="shared" si="34"/>
        <v>21348.757793861834</v>
      </c>
      <c r="Z87" s="23">
        <f>-(Données!I$51*1E-24*H87+Données!F$51)*Y87+Données!F$48*Q87</f>
        <v>-2.0942773695958683E-5</v>
      </c>
      <c r="AA87" s="15">
        <f t="shared" si="35"/>
        <v>21375.480253468875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3125923379334265</v>
      </c>
      <c r="I88" s="40">
        <f t="shared" si="26"/>
        <v>5.148302015582642</v>
      </c>
      <c r="J88" s="21">
        <f>-(Données!I$44*1E-24*H88+Données!F$44)*I88</f>
        <v>-2.9569083904942917E-8</v>
      </c>
      <c r="K88" s="42">
        <f t="shared" si="27"/>
        <v>2909.0536156696185</v>
      </c>
      <c r="L88" s="23">
        <f>-(Données!I$45*1E-24*H88+Données!F$45)*K88+(I88*Données!H$44*1E-24*H88)+(Données!H$51*1E-24*H88)*Y88</f>
        <v>-2.577734558127072E-6</v>
      </c>
      <c r="M88" s="40">
        <f t="shared" si="28"/>
        <v>1394.6645980711296</v>
      </c>
      <c r="N88" s="21">
        <f>-(Données!I$46*1E-24*H88+Données!F$46)*M88+Données!H$45*1E-24*H88*K88</f>
        <v>3.9062632847473901E-7</v>
      </c>
      <c r="O88" s="42">
        <f t="shared" si="29"/>
        <v>186.74404829313002</v>
      </c>
      <c r="P88" s="23">
        <f>-(Données!I$47*1E-24*H88+Données!F$47)*O88+(Données!H$46*1E-24*H88)*M88</f>
        <v>1.819314163342277E-8</v>
      </c>
      <c r="Q88" s="40">
        <f t="shared" si="30"/>
        <v>104.59492299729349</v>
      </c>
      <c r="R88" s="43">
        <f>-(Données!I$48*1E-24*H88+Données!F$48)*Q88+Données!H$47*1E-24*H88*O88+(Données!I$49*1E-24*H88*S88)*0.85*0.16</f>
        <v>5.8914741348147491E-8</v>
      </c>
      <c r="S88" s="42">
        <f t="shared" si="31"/>
        <v>48.467828203076031</v>
      </c>
      <c r="T88" s="22">
        <f>-(Données!I$49*1E-24*H88+Données!F$49)*S88+Données!F$47*O88</f>
        <v>-1.7986362720792642E-8</v>
      </c>
      <c r="U88" s="28">
        <f t="shared" si="32"/>
        <v>4648.67331524983</v>
      </c>
      <c r="V88" s="19"/>
      <c r="W88" s="40">
        <f t="shared" si="33"/>
        <v>26.212453158707206</v>
      </c>
      <c r="X88" s="21">
        <f>-(Données!I$50*1E-24*H88+Données!F$50)*W88+Données!F$45*K88</f>
        <v>-1.9031801037825115E-7</v>
      </c>
      <c r="Y88" s="42">
        <f t="shared" si="34"/>
        <v>21293.720184588856</v>
      </c>
      <c r="Z88" s="23">
        <f>-(Données!I$51*1E-24*H88+Données!F$51)*Y88+Données!F$48*Q88</f>
        <v>-2.0888782698512049E-5</v>
      </c>
      <c r="AA88" s="15">
        <f t="shared" si="35"/>
        <v>21319.932637747563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3125923379334265</v>
      </c>
      <c r="I89" s="40">
        <f t="shared" si="26"/>
        <v>5.070594463080452</v>
      </c>
      <c r="J89" s="21">
        <f>-(Données!I$44*1E-24*H89+Données!F$44)*I89</f>
        <v>-2.9122773425676099E-8</v>
      </c>
      <c r="K89" s="42">
        <f t="shared" si="27"/>
        <v>2902.2793292508604</v>
      </c>
      <c r="L89" s="23">
        <f>-(Données!I$45*1E-24*H89+Données!F$45)*K89+(I89*Données!H$44*1E-24*H89)+(Données!H$51*1E-24*H89)*Y89</f>
        <v>-2.576219856011025E-6</v>
      </c>
      <c r="M89" s="40">
        <f t="shared" si="28"/>
        <v>1395.6911640623612</v>
      </c>
      <c r="N89" s="21">
        <f>-(Données!I$46*1E-24*H89+Données!F$46)*M89+Données!H$45*1E-24*H89*K89</f>
        <v>3.7809258123009979E-7</v>
      </c>
      <c r="O89" s="42">
        <f t="shared" si="29"/>
        <v>186.79185986934266</v>
      </c>
      <c r="P89" s="23">
        <f>-(Données!I$47*1E-24*H89+Données!F$47)*O89+(Données!H$46*1E-24*H89)*M89</f>
        <v>1.91532192666197E-8</v>
      </c>
      <c r="Q89" s="40">
        <f t="shared" si="30"/>
        <v>104.74975093755643</v>
      </c>
      <c r="R89" s="43">
        <f>-(Données!I$48*1E-24*H89+Données!F$48)*Q89+Données!H$47*1E-24*H89*O89+(Données!I$49*1E-24*H89*S89)*0.85*0.16</f>
        <v>5.8579847104587241E-8</v>
      </c>
      <c r="S89" s="42">
        <f t="shared" si="31"/>
        <v>48.420560041845789</v>
      </c>
      <c r="T89" s="22">
        <f>-(Données!I$49*1E-24*H89+Données!F$49)*S89+Données!F$47*O89</f>
        <v>-1.7616023461973617E-8</v>
      </c>
      <c r="U89" s="28">
        <f t="shared" si="32"/>
        <v>4643.0032586250463</v>
      </c>
      <c r="V89" s="19"/>
      <c r="W89" s="40">
        <f t="shared" si="33"/>
        <v>25.71229742743316</v>
      </c>
      <c r="X89" s="21">
        <f>-(Données!I$50*1E-24*H89+Données!F$50)*W89+Données!F$45*K89</f>
        <v>-1.8664215540447178E-7</v>
      </c>
      <c r="Y89" s="42">
        <f t="shared" si="34"/>
        <v>21238.824463657165</v>
      </c>
      <c r="Z89" s="23">
        <f>-(Données!I$51*1E-24*H89+Données!F$51)*Y89+Données!F$48*Q89</f>
        <v>-2.0834930891244179E-5</v>
      </c>
      <c r="AA89" s="15">
        <f t="shared" si="35"/>
        <v>21264.536761084597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3125923379334265</v>
      </c>
      <c r="I90" s="40">
        <f t="shared" si="26"/>
        <v>4.994059814517775</v>
      </c>
      <c r="J90" s="21">
        <f>-(Données!I$44*1E-24*H90+Données!F$44)*I90</f>
        <v>-2.8683199477190678E-8</v>
      </c>
      <c r="K90" s="42">
        <f t="shared" si="27"/>
        <v>2895.5090234692634</v>
      </c>
      <c r="L90" s="23">
        <f>-(Données!I$45*1E-24*H90+Données!F$45)*K90+(I90*Données!H$44*1E-24*H90)+(Données!H$51*1E-24*H90)*Y90</f>
        <v>-2.574614030735345E-6</v>
      </c>
      <c r="M90" s="40">
        <f t="shared" si="28"/>
        <v>1396.6847913658339</v>
      </c>
      <c r="N90" s="21">
        <f>-(Données!I$46*1E-24*H90+Données!F$46)*M90+Données!H$45*1E-24*H90*K90</f>
        <v>3.6565413612734528E-7</v>
      </c>
      <c r="O90" s="42">
        <f t="shared" si="29"/>
        <v>186.84219452957532</v>
      </c>
      <c r="P90" s="23">
        <f>-(Données!I$47*1E-24*H90+Données!F$47)*O90+(Données!H$46*1E-24*H90)*M90</f>
        <v>2.0039645919532134E-8</v>
      </c>
      <c r="Q90" s="40">
        <f t="shared" si="30"/>
        <v>104.90369877574729</v>
      </c>
      <c r="R90" s="43">
        <f>-(Données!I$48*1E-24*H90+Données!F$48)*Q90+Données!H$47*1E-24*H90*O90+(Données!I$49*1E-24*H90*S90)*0.85*0.16</f>
        <v>5.8251380757573727E-8</v>
      </c>
      <c r="S90" s="42">
        <f t="shared" si="31"/>
        <v>48.374265132187723</v>
      </c>
      <c r="T90" s="22">
        <f>-(Données!I$49*1E-24*H90+Données!F$49)*S90+Données!F$47*O90</f>
        <v>-1.7247927721956432E-8</v>
      </c>
      <c r="U90" s="28">
        <f t="shared" si="32"/>
        <v>4637.3080330871253</v>
      </c>
      <c r="V90" s="19"/>
      <c r="W90" s="40">
        <f t="shared" si="33"/>
        <v>25.22180184303021</v>
      </c>
      <c r="X90" s="21">
        <f>-(Données!I$50*1E-24*H90+Données!F$50)*W90+Données!F$45*K90</f>
        <v>-1.8303741256581426E-7</v>
      </c>
      <c r="Y90" s="42">
        <f t="shared" si="34"/>
        <v>21184.070265274975</v>
      </c>
      <c r="Z90" s="23">
        <f>-(Données!I$51*1E-24*H90+Données!F$51)*Y90+Données!F$48*Q90</f>
        <v>-2.0781217915318314E-5</v>
      </c>
      <c r="AA90" s="15">
        <f t="shared" si="35"/>
        <v>21209.292067118004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3125923379334265</v>
      </c>
      <c r="I91" s="40">
        <f t="shared" si="26"/>
        <v>4.918680366291718</v>
      </c>
      <c r="J91" s="21">
        <f>-(Données!I$44*1E-24*H91+Données!F$44)*I91</f>
        <v>-2.8250260379492398E-8</v>
      </c>
      <c r="K91" s="42">
        <f t="shared" si="27"/>
        <v>2888.7429377964909</v>
      </c>
      <c r="L91" s="23">
        <f>-(Données!I$45*1E-24*H91+Données!F$45)*K91+(I91*Données!H$44*1E-24*H91)+(Données!H$51*1E-24*H91)*Y91</f>
        <v>-2.5729190720496989E-6</v>
      </c>
      <c r="M91" s="40">
        <f t="shared" si="28"/>
        <v>1397.6457304355765</v>
      </c>
      <c r="N91" s="21">
        <f>-(Données!I$46*1E-24*H91+Données!F$46)*M91+Données!H$45*1E-24*H91*K91</f>
        <v>3.5331065642954923E-7</v>
      </c>
      <c r="O91" s="42">
        <f t="shared" si="29"/>
        <v>186.89485871905185</v>
      </c>
      <c r="P91" s="23">
        <f>-(Données!I$47*1E-24*H91+Données!F$47)*O91+(Données!H$46*1E-24*H91)*M91</f>
        <v>2.0854823035660302E-8</v>
      </c>
      <c r="Q91" s="40">
        <f t="shared" si="30"/>
        <v>105.05678340437819</v>
      </c>
      <c r="R91" s="43">
        <f>-(Données!I$48*1E-24*H91+Données!F$48)*Q91+Données!H$47*1E-24*H91*O91+(Données!I$49*1E-24*H91*S91)*0.85*0.16</f>
        <v>5.7929025848288389E-8</v>
      </c>
      <c r="S91" s="42">
        <f t="shared" si="31"/>
        <v>48.328937578134422</v>
      </c>
      <c r="T91" s="22">
        <f>-(Données!I$49*1E-24*H91+Données!F$49)*S91+Données!F$47*O91</f>
        <v>-1.6882335437782338E-8</v>
      </c>
      <c r="U91" s="28">
        <f t="shared" si="32"/>
        <v>4631.587928299924</v>
      </c>
      <c r="V91" s="19"/>
      <c r="W91" s="40">
        <f t="shared" si="33"/>
        <v>24.740779522807252</v>
      </c>
      <c r="X91" s="21">
        <f>-(Données!I$50*1E-24*H91+Données!F$50)*W91+Données!F$45*K91</f>
        <v>-1.795024058568768E-7</v>
      </c>
      <c r="Y91" s="42">
        <f t="shared" si="34"/>
        <v>21129.45722459352</v>
      </c>
      <c r="Z91" s="23">
        <f>-(Données!I$51*1E-24*H91+Données!F$51)*Y91+Données!F$48*Q91</f>
        <v>-2.0727643412822831E-5</v>
      </c>
      <c r="AA91" s="15">
        <f t="shared" si="35"/>
        <v>21154.198004116326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3125923379334265</v>
      </c>
      <c r="I92" s="40">
        <f t="shared" si="26"/>
        <v>4.8444386820144123</v>
      </c>
      <c r="J92" s="21">
        <f>-(Données!I$44*1E-24*H92+Données!F$44)*I92</f>
        <v>-2.7823855987326705E-8</v>
      </c>
      <c r="K92" s="42">
        <f t="shared" si="27"/>
        <v>2881.9813064751443</v>
      </c>
      <c r="L92" s="23">
        <f>-(Données!I$45*1E-24*H92+Données!F$45)*K92+(I92*Données!H$44*1E-24*H92)+(Données!H$51*1E-24*H92)*Y92</f>
        <v>-2.5711369322459237E-6</v>
      </c>
      <c r="M92" s="40">
        <f t="shared" si="28"/>
        <v>1398.5742308406734</v>
      </c>
      <c r="N92" s="21">
        <f>-(Données!I$46*1E-24*H92+Données!F$46)*M92+Données!H$45*1E-24*H92*K92</f>
        <v>3.4106180028660284E-7</v>
      </c>
      <c r="O92" s="42">
        <f t="shared" si="29"/>
        <v>186.94966519398957</v>
      </c>
      <c r="P92" s="23">
        <f>-(Données!I$47*1E-24*H92+Données!F$47)*O92+(Données!H$46*1E-24*H92)*M92</f>
        <v>2.1601084148671272E-8</v>
      </c>
      <c r="Q92" s="40">
        <f t="shared" si="30"/>
        <v>105.20902088430749</v>
      </c>
      <c r="R92" s="43">
        <f>-(Données!I$48*1E-24*H92+Données!F$48)*Q92+Données!H$47*1E-24*H92*O92+(Données!I$49*1E-24*H92*S92)*0.85*0.16</f>
        <v>5.7612476151060894E-8</v>
      </c>
      <c r="S92" s="42">
        <f t="shared" si="31"/>
        <v>48.28457080060393</v>
      </c>
      <c r="T92" s="22">
        <f>-(Données!I$49*1E-24*H92+Données!F$49)*S92+Données!F$47*O92</f>
        <v>-1.6519492571306096E-8</v>
      </c>
      <c r="U92" s="28">
        <f t="shared" si="32"/>
        <v>4625.843232876734</v>
      </c>
      <c r="V92" s="19"/>
      <c r="W92" s="40">
        <f t="shared" si="33"/>
        <v>24.269047200215379</v>
      </c>
      <c r="X92" s="21">
        <f>-(Données!I$50*1E-24*H92+Données!F$50)*W92+Données!F$45*K92</f>
        <v>-1.7603578589822615E-7</v>
      </c>
      <c r="Y92" s="42">
        <f t="shared" si="34"/>
        <v>21074.984977704622</v>
      </c>
      <c r="Z92" s="23">
        <f>-(Données!I$51*1E-24*H92+Données!F$51)*Y92+Données!F$48*Q92</f>
        <v>-2.0674207026768865E-5</v>
      </c>
      <c r="AA92" s="15">
        <f t="shared" si="35"/>
        <v>21099.254024904836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3125923379334265</v>
      </c>
      <c r="I93" s="40">
        <f t="shared" si="26"/>
        <v>4.7713175884797181</v>
      </c>
      <c r="J93" s="21">
        <f>-(Données!I$44*1E-24*H93+Données!F$44)*I93</f>
        <v>-2.7403887667013649E-8</v>
      </c>
      <c r="K93" s="42">
        <f t="shared" si="27"/>
        <v>2875.2243586172021</v>
      </c>
      <c r="L93" s="23">
        <f>-(Données!I$45*1E-24*H93+Données!F$45)*K93+(I93*Données!H$44*1E-24*H93)+(Données!H$51*1E-24*H93)*Y93</f>
        <v>-2.5692695268490429E-6</v>
      </c>
      <c r="M93" s="40">
        <f t="shared" si="28"/>
        <v>1399.4705412518265</v>
      </c>
      <c r="N93" s="21">
        <f>-(Données!I$46*1E-24*H93+Données!F$46)*M93+Données!H$45*1E-24*H93*K93</f>
        <v>3.2890722091331907E-7</v>
      </c>
      <c r="O93" s="42">
        <f t="shared" si="29"/>
        <v>187.00643284313227</v>
      </c>
      <c r="P93" s="23">
        <f>-(Données!I$47*1E-24*H93+Données!F$47)*O93+(Données!H$46*1E-24*H93)*M93</f>
        <v>2.2280696747912353E-8</v>
      </c>
      <c r="Q93" s="40">
        <f t="shared" si="30"/>
        <v>105.36042647163248</v>
      </c>
      <c r="R93" s="43">
        <f>-(Données!I$48*1E-24*H93+Données!F$48)*Q93+Données!H$47*1E-24*H93*O93+(Données!I$49*1E-24*H93*S93)*0.85*0.16</f>
        <v>5.7301435390853647E-8</v>
      </c>
      <c r="S93" s="42">
        <f t="shared" si="31"/>
        <v>48.241157574126539</v>
      </c>
      <c r="T93" s="22">
        <f>-(Données!I$49*1E-24*H93+Données!F$49)*S93+Données!F$47*O93</f>
        <v>-1.6159631613776477E-8</v>
      </c>
      <c r="U93" s="28">
        <f t="shared" si="32"/>
        <v>4620.074234346399</v>
      </c>
      <c r="V93" s="19"/>
      <c r="W93" s="40">
        <f t="shared" si="33"/>
        <v>23.806425154874841</v>
      </c>
      <c r="X93" s="21">
        <f>-(Données!I$50*1E-24*H93+Données!F$50)*W93+Données!F$45*K93</f>
        <v>-1.7263622942118215E-7</v>
      </c>
      <c r="Y93" s="42">
        <f t="shared" si="34"/>
        <v>21020.653161638274</v>
      </c>
      <c r="Z93" s="23">
        <f>-(Données!I$51*1E-24*H93+Données!F$51)*Y93+Données!F$48*Q93</f>
        <v>-2.0620908401087915E-5</v>
      </c>
      <c r="AA93" s="15">
        <f t="shared" si="35"/>
        <v>21044.459586793149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3125923379334265</v>
      </c>
      <c r="I94" s="40">
        <f t="shared" si="26"/>
        <v>4.6993001716908065</v>
      </c>
      <c r="J94" s="21">
        <f>-(Données!I$44*1E-24*H94+Données!F$44)*I94</f>
        <v>-2.6990258273632467E-8</v>
      </c>
      <c r="K94" s="42">
        <f t="shared" si="27"/>
        <v>2868.4723183006427</v>
      </c>
      <c r="L94" s="23">
        <f>-(Données!I$45*1E-24*H94+Données!F$45)*K94+(I94*Données!H$44*1E-24*H94)+(Données!H$51*1E-24*H94)*Y94</f>
        <v>-2.5673187352955263E-6</v>
      </c>
      <c r="M94" s="40">
        <f t="shared" si="28"/>
        <v>1400.3349094283867</v>
      </c>
      <c r="N94" s="21">
        <f>-(Données!I$46*1E-24*H94+Données!F$46)*M94+Données!H$45*1E-24*H94*K94</f>
        <v>3.1684656676365507E-7</v>
      </c>
      <c r="O94" s="42">
        <f t="shared" si="29"/>
        <v>187.06498651418579</v>
      </c>
      <c r="P94" s="23">
        <f>-(Données!I$47*1E-24*H94+Données!F$47)*O94+(Données!H$46*1E-24*H94)*M94</f>
        <v>2.2895864092823857E-8</v>
      </c>
      <c r="Q94" s="40">
        <f t="shared" si="30"/>
        <v>105.51101464383964</v>
      </c>
      <c r="R94" s="43">
        <f>-(Données!I$48*1E-24*H94+Données!F$48)*Q94+Données!H$47*1E-24*H94*O94+(Données!I$49*1E-24*H94*S94)*0.85*0.16</f>
        <v>5.6995616968246816E-8</v>
      </c>
      <c r="S94" s="42">
        <f t="shared" si="31"/>
        <v>48.198690062245532</v>
      </c>
      <c r="T94" s="22">
        <f>-(Données!I$49*1E-24*H94+Données!F$49)*S94+Données!F$47*O94</f>
        <v>-1.580297207456262E-8</v>
      </c>
      <c r="U94" s="28">
        <f t="shared" si="32"/>
        <v>4614.2812191209905</v>
      </c>
      <c r="V94" s="19"/>
      <c r="W94" s="40">
        <f t="shared" si="33"/>
        <v>23.352737143955974</v>
      </c>
      <c r="X94" s="21">
        <f>-(Données!I$50*1E-24*H94+Données!F$50)*W94+Données!F$45*K94</f>
        <v>-1.693024387625724E-7</v>
      </c>
      <c r="Y94" s="42">
        <f t="shared" si="34"/>
        <v>20966.461414360216</v>
      </c>
      <c r="Z94" s="23">
        <f>-(Données!I$51*1E-24*H94+Données!F$51)*Y94+Données!F$48*Q94</f>
        <v>-2.0567747180629486E-5</v>
      </c>
      <c r="AA94" s="15">
        <f t="shared" si="35"/>
        <v>20989.814151504172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3125923379334265</v>
      </c>
      <c r="I95" s="40">
        <f t="shared" ref="I95:I136" si="38">I94+J94*D$5</f>
        <v>4.6283697729477007</v>
      </c>
      <c r="J95" s="21">
        <f>-(Données!I$44*1E-24*H95+Données!F$44)*I95</f>
        <v>-2.6582872128550497E-8</v>
      </c>
      <c r="K95" s="42">
        <f t="shared" ref="K95:K136" si="39">K94+L94*D$5</f>
        <v>2861.7254046642861</v>
      </c>
      <c r="L95" s="23">
        <f>-(Données!I$45*1E-24*H95+Données!F$45)*K95+(I95*Données!H$44*1E-24*H95)+(Données!H$51*1E-24*H95)*Y95</f>
        <v>-2.565286401599119E-6</v>
      </c>
      <c r="M95" s="40">
        <f t="shared" ref="M95:M136" si="40">M94+N94*D$5</f>
        <v>1401.1675822058417</v>
      </c>
      <c r="N95" s="21">
        <f>-(Données!I$46*1E-24*H95+Données!F$46)*M95+Données!H$45*1E-24*H95*K95</f>
        <v>3.0487948170113135E-7</v>
      </c>
      <c r="O95" s="42">
        <f t="shared" ref="O95:O136" si="41">O94+P94*D$5</f>
        <v>187.12515684502173</v>
      </c>
      <c r="P95" s="23">
        <f>-(Données!I$47*1E-24*H95+Données!F$47)*O95+(Données!H$46*1E-24*H95)*M95</f>
        <v>2.3448726977647544E-8</v>
      </c>
      <c r="Q95" s="40">
        <f t="shared" ref="Q95:Q136" si="42">Q94+R94*D$5</f>
        <v>105.6607991252322</v>
      </c>
      <c r="R95" s="43">
        <f>-(Données!I$48*1E-24*H95+Données!F$48)*Q95+Données!H$47*1E-24*H95*O95+(Données!I$49*1E-24*H95*S95)*0.85*0.16</f>
        <v>5.6694743691724248E-8</v>
      </c>
      <c r="S95" s="42">
        <f t="shared" ref="S95:S136" si="43">S94+T94*D$5</f>
        <v>48.15715985163358</v>
      </c>
      <c r="T95" s="22">
        <f>-(Données!I$49*1E-24*H95+Données!F$49)*S95+Données!F$47*O95</f>
        <v>-1.5449720954495739E-8</v>
      </c>
      <c r="U95" s="28">
        <f t="shared" ref="U95:U136" si="44">I95+K95+M95+O95+Q95+S95</f>
        <v>4608.4644724649634</v>
      </c>
      <c r="V95" s="19"/>
      <c r="W95" s="40">
        <f t="shared" ref="W95:W136" si="45">W94+X94*D$5</f>
        <v>22.907810334887934</v>
      </c>
      <c r="X95" s="21">
        <f>-(Données!I$50*1E-24*H95+Données!F$50)*W95+Données!F$45*K95</f>
        <v>-1.6603314136926261E-7</v>
      </c>
      <c r="Y95" s="42">
        <f t="shared" ref="Y95:Y136" si="46">Y94+Z94*D$5</f>
        <v>20912.409374769522</v>
      </c>
      <c r="Z95" s="23">
        <f>-(Données!I$51*1E-24*H95+Données!F$51)*Y95+Données!F$48*Q95</f>
        <v>-2.0514723011158722E-5</v>
      </c>
      <c r="AA95" s="15">
        <f t="shared" ref="AA95:AA136" si="47">W95+Y95</f>
        <v>20935.31718510441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3125923379334265</v>
      </c>
      <c r="I96" s="40">
        <f t="shared" si="38"/>
        <v>4.5585099849938704</v>
      </c>
      <c r="J96" s="21">
        <f>-(Données!I$44*1E-24*H96+Données!F$44)*I96</f>
        <v>-2.6181634997291296E-8</v>
      </c>
      <c r="K96" s="42">
        <f t="shared" si="39"/>
        <v>2854.9838320008835</v>
      </c>
      <c r="L96" s="23">
        <f>-(Données!I$45*1E-24*H96+Données!F$45)*K96+(I96*Données!H$44*1E-24*H96)+(Données!H$51*1E-24*H96)*Y96</f>
        <v>-2.563174335004419E-6</v>
      </c>
      <c r="M96" s="40">
        <f t="shared" si="40"/>
        <v>1401.9688054837522</v>
      </c>
      <c r="N96" s="21">
        <f>-(Données!I$46*1E-24*H96+Données!F$46)*M96+Données!H$45*1E-24*H96*K96</f>
        <v>2.9300560516550462E-7</v>
      </c>
      <c r="O96" s="42">
        <f t="shared" si="41"/>
        <v>187.18678009951898</v>
      </c>
      <c r="P96" s="23">
        <f>-(Données!I$47*1E-24*H96+Données!F$47)*O96+(Données!H$46*1E-24*H96)*M96</f>
        <v>2.3941365447798701E-8</v>
      </c>
      <c r="Q96" s="40">
        <f t="shared" si="42"/>
        <v>105.80979291165406</v>
      </c>
      <c r="R96" s="43">
        <f>-(Données!I$48*1E-24*H96+Données!F$48)*Q96+Données!H$47*1E-24*H96*O96+(Données!I$49*1E-24*H96*S96)*0.85*0.16</f>
        <v>5.6398547517067258E-8</v>
      </c>
      <c r="S96" s="42">
        <f t="shared" si="43"/>
        <v>48.116557984965162</v>
      </c>
      <c r="T96" s="22">
        <f>-(Données!I$49*1E-24*H96+Données!F$49)*S96+Données!F$47*O96</f>
        <v>-1.5100073204278218E-8</v>
      </c>
      <c r="U96" s="28">
        <f t="shared" si="44"/>
        <v>4602.624278465767</v>
      </c>
      <c r="V96" s="19"/>
      <c r="W96" s="40">
        <f t="shared" si="45"/>
        <v>22.471475239369511</v>
      </c>
      <c r="X96" s="21">
        <f>-(Données!I$50*1E-24*H96+Données!F$50)*W96+Données!F$45*K96</f>
        <v>-1.6282708931227504E-7</v>
      </c>
      <c r="Y96" s="42">
        <f t="shared" si="46"/>
        <v>20858.496682696197</v>
      </c>
      <c r="Z96" s="23">
        <f>-(Données!I$51*1E-24*H96+Données!F$51)*Y96+Données!F$48*Q96</f>
        <v>-2.0461835539354016E-5</v>
      </c>
      <c r="AA96" s="15">
        <f t="shared" si="47"/>
        <v>20880.968157935567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3125923379334265</v>
      </c>
      <c r="I97" s="40">
        <f t="shared" si="38"/>
        <v>4.4897046482209886</v>
      </c>
      <c r="J97" s="21">
        <f>-(Données!I$44*1E-24*H97+Données!F$44)*I97</f>
        <v>-2.5786454067736807E-8</v>
      </c>
      <c r="K97" s="42">
        <f t="shared" si="39"/>
        <v>2848.2478098484917</v>
      </c>
      <c r="L97" s="23">
        <f>-(Données!I$45*1E-24*H97+Données!F$45)*K97+(I97*Données!H$44*1E-24*H97)+(Données!H$51*1E-24*H97)*Y97</f>
        <v>-2.5609843106284838E-6</v>
      </c>
      <c r="M97" s="40">
        <f t="shared" si="40"/>
        <v>1402.7388242141271</v>
      </c>
      <c r="N97" s="21">
        <f>-(Données!I$46*1E-24*H97+Données!F$46)*M97+Données!H$45*1E-24*H97*K97</f>
        <v>2.8122457233579069E-7</v>
      </c>
      <c r="O97" s="42">
        <f t="shared" si="41"/>
        <v>187.24969800791581</v>
      </c>
      <c r="P97" s="23">
        <f>-(Données!I$47*1E-24*H97+Données!F$47)*O97+(Données!H$46*1E-24*H97)*M97</f>
        <v>2.4375800469232557E-8</v>
      </c>
      <c r="Q97" s="40">
        <f t="shared" si="42"/>
        <v>105.95800829452891</v>
      </c>
      <c r="R97" s="43">
        <f>-(Données!I$48*1E-24*H97+Données!F$48)*Q97+Données!H$47*1E-24*H97*O97+(Données!I$49*1E-24*H97*S97)*0.85*0.16</f>
        <v>5.6106769293665585E-8</v>
      </c>
      <c r="S97" s="42">
        <f t="shared" si="43"/>
        <v>48.076874992584322</v>
      </c>
      <c r="T97" s="22">
        <f>-(Données!I$49*1E-24*H97+Données!F$49)*S97+Données!F$47*O97</f>
        <v>-1.4754212168403678E-8</v>
      </c>
      <c r="U97" s="28">
        <f t="shared" si="44"/>
        <v>4596.7609200058687</v>
      </c>
      <c r="V97" s="19"/>
      <c r="W97" s="40">
        <f t="shared" si="45"/>
        <v>22.043565648656852</v>
      </c>
      <c r="X97" s="21">
        <f>-(Données!I$50*1E-24*H97+Données!F$50)*W97+Données!F$45*K97</f>
        <v>-1.5968305881030818E-7</v>
      </c>
      <c r="Y97" s="42">
        <f t="shared" si="46"/>
        <v>20804.722978898775</v>
      </c>
      <c r="Z97" s="23">
        <f>-(Données!I$51*1E-24*H97+Données!F$51)*Y97+Données!F$48*Q97</f>
        <v>-2.0409084412804689E-5</v>
      </c>
      <c r="AA97" s="15">
        <f t="shared" si="47"/>
        <v>20826.76654454743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3125923379334265</v>
      </c>
      <c r="I98" s="40">
        <f t="shared" si="38"/>
        <v>4.4219378469309767</v>
      </c>
      <c r="J98" s="21">
        <f>-(Données!I$44*1E-24*H98+Données!F$44)*I98</f>
        <v>-2.5397237928658536E-8</v>
      </c>
      <c r="K98" s="42">
        <f t="shared" si="39"/>
        <v>2841.5175430801601</v>
      </c>
      <c r="L98" s="23">
        <f>-(Données!I$45*1E-24*H98+Données!F$45)*K98+(I98*Données!H$44*1E-24*H98)+(Données!H$51*1E-24*H98)*Y98</f>
        <v>-2.5587180700906133E-6</v>
      </c>
      <c r="M98" s="40">
        <f t="shared" si="40"/>
        <v>1403.4778823902257</v>
      </c>
      <c r="N98" s="21">
        <f>-(Données!I$46*1E-24*H98+Données!F$46)*M98+Données!H$45*1E-24*H98*K98</f>
        <v>2.6953601428969301E-7</v>
      </c>
      <c r="O98" s="42">
        <f t="shared" si="41"/>
        <v>187.31375761154897</v>
      </c>
      <c r="P98" s="23">
        <f>-(Données!I$47*1E-24*H98+Données!F$47)*O98+(Données!H$46*1E-24*H98)*M98</f>
        <v>2.4753995552086592E-8</v>
      </c>
      <c r="Q98" s="40">
        <f t="shared" si="42"/>
        <v>106.10545688423267</v>
      </c>
      <c r="R98" s="43">
        <f>-(Données!I$48*1E-24*H98+Données!F$48)*Q98+Données!H$47*1E-24*H98*O98+(Données!I$49*1E-24*H98*S98)*0.85*0.16</f>
        <v>5.5819158517563656E-8</v>
      </c>
      <c r="S98" s="42">
        <f t="shared" si="43"/>
        <v>48.038100923005757</v>
      </c>
      <c r="T98" s="22">
        <f>-(Données!I$49*1E-24*H98+Données!F$49)*S98+Données!F$47*O98</f>
        <v>-1.4412310015015985E-8</v>
      </c>
      <c r="U98" s="28">
        <f t="shared" si="44"/>
        <v>4590.8746787361042</v>
      </c>
      <c r="V98" s="19"/>
      <c r="W98" s="40">
        <f t="shared" si="45"/>
        <v>21.623918570103363</v>
      </c>
      <c r="X98" s="21">
        <f>-(Données!I$50*1E-24*H98+Données!F$50)*W98+Données!F$45*K98</f>
        <v>-1.565998497624765E-7</v>
      </c>
      <c r="Y98" s="42">
        <f t="shared" si="46"/>
        <v>20751.087905061926</v>
      </c>
      <c r="Z98" s="23">
        <f>-(Données!I$51*1E-24*H98+Données!F$51)*Y98+Données!F$48*Q98</f>
        <v>-2.0356469280008624E-5</v>
      </c>
      <c r="AA98" s="15">
        <f t="shared" si="47"/>
        <v>20772.711823632031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3125923379334265</v>
      </c>
      <c r="I99" s="40">
        <f t="shared" si="38"/>
        <v>4.3551939056544624</v>
      </c>
      <c r="J99" s="21">
        <f>-(Données!I$44*1E-24*H99+Données!F$44)*I99</f>
        <v>-2.501389654857276E-8</v>
      </c>
      <c r="K99" s="42">
        <f t="shared" si="39"/>
        <v>2834.7932319919619</v>
      </c>
      <c r="L99" s="23">
        <f>-(Données!I$45*1E-24*H99+Données!F$45)*K99+(I99*Données!H$44*1E-24*H99)+(Données!H$51*1E-24*H99)*Y99</f>
        <v>-2.5563773221305891E-6</v>
      </c>
      <c r="M99" s="40">
        <f t="shared" si="40"/>
        <v>1404.186223035779</v>
      </c>
      <c r="N99" s="21">
        <f>-(Données!I$46*1E-24*H99+Données!F$46)*M99+Données!H$45*1E-24*H99*K99</f>
        <v>2.5793955815950925E-7</v>
      </c>
      <c r="O99" s="42">
        <f t="shared" si="41"/>
        <v>187.37881111185985</v>
      </c>
      <c r="P99" s="23">
        <f>-(Données!I$47*1E-24*H99+Données!F$47)*O99+(Données!H$46*1E-24*H99)*M99</f>
        <v>2.5077858329864616E-8</v>
      </c>
      <c r="Q99" s="40">
        <f t="shared" si="42"/>
        <v>106.25214963281682</v>
      </c>
      <c r="R99" s="43">
        <f>-(Données!I$48*1E-24*H99+Données!F$48)*Q99+Données!H$47*1E-24*H99*O99+(Données!I$49*1E-24*H99*S99)*0.85*0.16</f>
        <v>5.5535473091061577E-8</v>
      </c>
      <c r="S99" s="42">
        <f t="shared" si="43"/>
        <v>48.000225372286295</v>
      </c>
      <c r="T99" s="22">
        <f>-(Données!I$49*1E-24*H99+Données!F$49)*S99+Données!F$47*O99</f>
        <v>-1.4074528152123074E-8</v>
      </c>
      <c r="U99" s="28">
        <f t="shared" si="44"/>
        <v>4584.9658350503587</v>
      </c>
      <c r="V99" s="19"/>
      <c r="W99" s="40">
        <f t="shared" si="45"/>
        <v>21.212374164927574</v>
      </c>
      <c r="X99" s="21">
        <f>-(Données!I$50*1E-24*H99+Données!F$50)*W99+Données!F$45*K99</f>
        <v>-1.5357628529009161E-7</v>
      </c>
      <c r="Y99" s="42">
        <f t="shared" si="46"/>
        <v>20697.591103794064</v>
      </c>
      <c r="Z99" s="23">
        <f>-(Données!I$51*1E-24*H99+Données!F$51)*Y99+Données!F$48*Q99</f>
        <v>-2.0303989790369917E-5</v>
      </c>
      <c r="AA99" s="15">
        <f t="shared" si="47"/>
        <v>20718.803477958991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3125923379334265</v>
      </c>
      <c r="I100" s="40">
        <f t="shared" si="38"/>
        <v>4.2894573855248135</v>
      </c>
      <c r="J100" s="21">
        <f>-(Données!I$44*1E-24*H100+Données!F$44)*I100</f>
        <v>-2.4636341254914922E-8</v>
      </c>
      <c r="K100" s="42">
        <f t="shared" si="39"/>
        <v>2828.0750723894025</v>
      </c>
      <c r="L100" s="23">
        <f>-(Données!I$45*1E-24*H100+Données!F$45)*K100+(I100*Données!H$44*1E-24*H100)+(Données!H$51*1E-24*H100)*Y100</f>
        <v>-2.5539637432155122E-6</v>
      </c>
      <c r="M100" s="40">
        <f t="shared" si="40"/>
        <v>1404.8640881946221</v>
      </c>
      <c r="N100" s="21">
        <f>-(Données!I$46*1E-24*H100+Données!F$46)*M100+Données!H$45*1E-24*H100*K100</f>
        <v>2.4643482728459132E-7</v>
      </c>
      <c r="O100" s="42">
        <f t="shared" si="41"/>
        <v>187.44471572355073</v>
      </c>
      <c r="P100" s="23">
        <f>-(Données!I$47*1E-24*H100+Données!F$47)*O100+(Données!H$46*1E-24*H100)*M100</f>
        <v>2.5349242095376018E-8</v>
      </c>
      <c r="Q100" s="40">
        <f t="shared" si="42"/>
        <v>106.39809685610014</v>
      </c>
      <c r="R100" s="43">
        <f>-(Données!I$48*1E-24*H100+Données!F$48)*Q100+Données!H$47*1E-24*H100*O100+(Données!I$49*1E-24*H100*S100)*0.85*0.16</f>
        <v>5.5255479088697973E-8</v>
      </c>
      <c r="S100" s="42">
        <f t="shared" si="43"/>
        <v>47.963237512302513</v>
      </c>
      <c r="T100" s="22">
        <f>-(Données!I$49*1E-24*H100+Données!F$49)*S100+Données!F$47*O100</f>
        <v>-1.3741017630571718E-8</v>
      </c>
      <c r="U100" s="28">
        <f t="shared" si="44"/>
        <v>4579.034668061503</v>
      </c>
      <c r="V100" s="19"/>
      <c r="W100" s="40">
        <f t="shared" si="45"/>
        <v>20.808775687185214</v>
      </c>
      <c r="X100" s="21">
        <f>-(Données!I$50*1E-24*H100+Données!F$50)*W100+Données!F$45*K100</f>
        <v>-1.506112112873101E-7</v>
      </c>
      <c r="Y100" s="42">
        <f t="shared" si="46"/>
        <v>20644.232218624973</v>
      </c>
      <c r="Z100" s="23">
        <f>-(Données!I$51*1E-24*H100+Données!F$51)*Y100+Données!F$48*Q100</f>
        <v>-2.0251645594196558E-5</v>
      </c>
      <c r="AA100" s="15">
        <f t="shared" si="47"/>
        <v>20665.040994312159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3125923379334265</v>
      </c>
      <c r="I101" s="40">
        <f t="shared" si="38"/>
        <v>4.2247130807068967</v>
      </c>
      <c r="J101" s="21">
        <f>-(Données!I$44*1E-24*H101+Données!F$44)*I101</f>
        <v>-2.4264484713528329E-8</v>
      </c>
      <c r="K101" s="42">
        <f t="shared" si="39"/>
        <v>2821.3632556722323</v>
      </c>
      <c r="L101" s="23">
        <f>-(Données!I$45*1E-24*H101+Données!F$45)*K101+(I101*Données!H$44*1E-24*H101)+(Données!H$51*1E-24*H101)*Y101</f>
        <v>-2.551478978135542E-6</v>
      </c>
      <c r="M101" s="40">
        <f t="shared" si="40"/>
        <v>1405.511718920726</v>
      </c>
      <c r="N101" s="21">
        <f>-(Données!I$46*1E-24*H101+Données!F$46)*M101+Données!H$45*1E-24*H101*K101</f>
        <v>2.3502144136041975E-7</v>
      </c>
      <c r="O101" s="42">
        <f t="shared" si="41"/>
        <v>187.51133353177738</v>
      </c>
      <c r="P101" s="23">
        <f>-(Données!I$47*1E-24*H101+Données!F$47)*O101+(Données!H$46*1E-24*H101)*M101</f>
        <v>2.5569947294621514E-8</v>
      </c>
      <c r="Q101" s="40">
        <f t="shared" si="42"/>
        <v>106.54330825514523</v>
      </c>
      <c r="R101" s="43">
        <f>-(Données!I$48*1E-24*H101+Données!F$48)*Q101+Données!H$47*1E-24*H101*O101+(Données!I$49*1E-24*H101*S101)*0.85*0.16</f>
        <v>5.4978950529444882E-8</v>
      </c>
      <c r="S101" s="42">
        <f t="shared" si="43"/>
        <v>47.927126117969372</v>
      </c>
      <c r="T101" s="22">
        <f>-(Données!I$49*1E-24*H101+Données!F$49)*S101+Données!F$47*O101</f>
        <v>-1.3411919534174749E-8</v>
      </c>
      <c r="U101" s="28">
        <f t="shared" si="44"/>
        <v>4573.0814555785573</v>
      </c>
      <c r="V101" s="19"/>
      <c r="W101" s="40">
        <f t="shared" si="45"/>
        <v>20.412969423922164</v>
      </c>
      <c r="X101" s="21">
        <f>-(Données!I$50*1E-24*H101+Données!F$50)*W101+Données!F$45*K101</f>
        <v>-1.4770349598047598E-7</v>
      </c>
      <c r="Y101" s="42">
        <f t="shared" si="46"/>
        <v>20591.010894003426</v>
      </c>
      <c r="Z101" s="23">
        <f>-(Données!I$51*1E-24*H101+Données!F$51)*Y101+Données!F$48*Q101</f>
        <v>-2.0199436342698069E-5</v>
      </c>
      <c r="AA101" s="15">
        <f t="shared" si="47"/>
        <v>20611.42386342735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3125923379334265</v>
      </c>
      <c r="I102" s="40">
        <f t="shared" si="38"/>
        <v>4.1609460148797446</v>
      </c>
      <c r="J102" s="21">
        <f>-(Données!I$44*1E-24*H102+Données!F$44)*I102</f>
        <v>-2.3898240908462497E-8</v>
      </c>
      <c r="K102" s="42">
        <f t="shared" si="39"/>
        <v>2814.657968917692</v>
      </c>
      <c r="L102" s="23">
        <f>-(Données!I$45*1E-24*H102+Données!F$45)*K102+(I102*Données!H$44*1E-24*H102)+(Données!H$51*1E-24*H102)*Y102</f>
        <v>-2.5489246405886505E-6</v>
      </c>
      <c r="M102" s="40">
        <f t="shared" si="40"/>
        <v>1406.1293552686211</v>
      </c>
      <c r="N102" s="21">
        <f>-(Données!I$46*1E-24*H102+Données!F$46)*M102+Données!H$45*1E-24*H102*K102</f>
        <v>2.2369901658436369E-7</v>
      </c>
      <c r="O102" s="42">
        <f t="shared" si="41"/>
        <v>187.57853135326764</v>
      </c>
      <c r="P102" s="23">
        <f>-(Données!I$47*1E-24*H102+Données!F$47)*O102+(Données!H$46*1E-24*H102)*M102</f>
        <v>2.5741722979779491E-8</v>
      </c>
      <c r="Q102" s="40">
        <f t="shared" si="42"/>
        <v>106.68779293713662</v>
      </c>
      <c r="R102" s="43">
        <f>-(Données!I$48*1E-24*H102+Données!F$48)*Q102+Données!H$47*1E-24*H102*O102+(Données!I$49*1E-24*H102*S102)*0.85*0.16</f>
        <v>5.4705669154949058E-8</v>
      </c>
      <c r="S102" s="42">
        <f t="shared" si="43"/>
        <v>47.891879593433558</v>
      </c>
      <c r="T102" s="22">
        <f>-(Données!I$49*1E-24*H102+Données!F$49)*S102+Données!F$47*O102</f>
        <v>-1.3087365357372773E-8</v>
      </c>
      <c r="U102" s="28">
        <f t="shared" si="44"/>
        <v>4567.1064740850306</v>
      </c>
      <c r="V102" s="19"/>
      <c r="W102" s="40">
        <f t="shared" si="45"/>
        <v>20.024804636485474</v>
      </c>
      <c r="X102" s="21">
        <f>-(Données!I$50*1E-24*H102+Données!F$50)*W102+Données!F$45*K102</f>
        <v>-1.4485202949599034E-7</v>
      </c>
      <c r="Y102" s="42">
        <f t="shared" si="46"/>
        <v>20537.926775294814</v>
      </c>
      <c r="Z102" s="23">
        <f>-(Données!I$51*1E-24*H102+Données!F$51)*Y102+Données!F$48*Q102</f>
        <v>-2.0147361687983216E-5</v>
      </c>
      <c r="AA102" s="15">
        <f t="shared" si="47"/>
        <v>20557.951579931301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3125923379334265</v>
      </c>
      <c r="I103" s="40">
        <f t="shared" si="38"/>
        <v>4.0981414377723056</v>
      </c>
      <c r="J103" s="21">
        <f>-(Données!I$44*1E-24*H103+Données!F$44)*I103</f>
        <v>-2.353752512207634E-8</v>
      </c>
      <c r="K103" s="42">
        <f t="shared" si="39"/>
        <v>2807.9593949622249</v>
      </c>
      <c r="L103" s="23">
        <f>-(Données!I$45*1E-24*H103+Données!F$45)*K103+(I103*Données!H$44*1E-24*H103)+(Données!H$51*1E-24*H103)*Y103</f>
        <v>-2.5463023137546495E-6</v>
      </c>
      <c r="M103" s="40">
        <f t="shared" si="40"/>
        <v>1406.7172362842048</v>
      </c>
      <c r="N103" s="21">
        <f>-(Données!I$46*1E-24*H103+Données!F$46)*M103+Données!H$45*1E-24*H103*K103</f>
        <v>2.1246716579818655E-7</v>
      </c>
      <c r="O103" s="42">
        <f t="shared" si="41"/>
        <v>187.64618060125849</v>
      </c>
      <c r="P103" s="23">
        <f>-(Données!I$47*1E-24*H103+Données!F$47)*O103+(Données!H$46*1E-24*H103)*M103</f>
        <v>2.5866268222410173E-8</v>
      </c>
      <c r="Q103" s="40">
        <f t="shared" si="42"/>
        <v>106.83155943567583</v>
      </c>
      <c r="R103" s="43">
        <f>-(Données!I$48*1E-24*H103+Données!F$48)*Q103+Données!H$47*1E-24*H103*O103+(Données!I$49*1E-24*H103*S103)*0.85*0.16</f>
        <v>5.4435424213661487E-8</v>
      </c>
      <c r="S103" s="42">
        <f t="shared" si="43"/>
        <v>47.857485997274381</v>
      </c>
      <c r="T103" s="22">
        <f>-(Données!I$49*1E-24*H103+Données!F$49)*S103+Données!F$47*O103</f>
        <v>-1.27674773708021E-8</v>
      </c>
      <c r="U103" s="28">
        <f t="shared" si="44"/>
        <v>4561.1099987184107</v>
      </c>
      <c r="V103" s="19"/>
      <c r="W103" s="40">
        <f t="shared" si="45"/>
        <v>19.644133502970011</v>
      </c>
      <c r="X103" s="21">
        <f>-(Données!I$50*1E-24*H103+Données!F$50)*W103+Données!F$45*K103</f>
        <v>-1.4205572343654211E-7</v>
      </c>
      <c r="Y103" s="42">
        <f t="shared" si="46"/>
        <v>20484.979508778793</v>
      </c>
      <c r="Z103" s="23">
        <f>-(Données!I$51*1E-24*H103+Données!F$51)*Y103+Données!F$48*Q103</f>
        <v>-2.009542128305766E-5</v>
      </c>
      <c r="AA103" s="15">
        <f t="shared" si="47"/>
        <v>20504.623642281764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3125923379334265</v>
      </c>
      <c r="I104" s="40">
        <f t="shared" si="38"/>
        <v>4.0362848217514893</v>
      </c>
      <c r="J104" s="21">
        <f>-(Données!I$44*1E-24*H104+Données!F$44)*I104</f>
        <v>-2.3182253915441747E-8</v>
      </c>
      <c r="K104" s="42">
        <f t="shared" si="39"/>
        <v>2801.2677124816778</v>
      </c>
      <c r="L104" s="23">
        <f>-(Données!I$45*1E-24*H104+Données!F$45)*K104+(I104*Données!H$44*1E-24*H104)+(Données!H$51*1E-24*H104)*Y104</f>
        <v>-2.5436135508586812E-6</v>
      </c>
      <c r="M104" s="40">
        <f t="shared" si="40"/>
        <v>1407.2755999959224</v>
      </c>
      <c r="N104" s="21">
        <f>-(Données!I$46*1E-24*H104+Données!F$46)*M104+Données!H$45*1E-24*H104*K104</f>
        <v>2.0132549862736516E-7</v>
      </c>
      <c r="O104" s="42">
        <f t="shared" si="41"/>
        <v>187.71415715414699</v>
      </c>
      <c r="P104" s="23">
        <f>-(Données!I$47*1E-24*H104+Données!F$47)*O104+(Données!H$46*1E-24*H104)*M104</f>
        <v>2.5945233487978338E-8</v>
      </c>
      <c r="Q104" s="40">
        <f t="shared" si="42"/>
        <v>106.97461573050933</v>
      </c>
      <c r="R104" s="43">
        <f>-(Données!I$48*1E-24*H104+Données!F$48)*Q104+Données!H$47*1E-24*H104*O104+(Données!I$49*1E-24*H104*S104)*0.85*0.16</f>
        <v>5.4168012250695881E-8</v>
      </c>
      <c r="S104" s="42">
        <f t="shared" si="43"/>
        <v>47.823933066743912</v>
      </c>
      <c r="T104" s="22">
        <f>-(Données!I$49*1E-24*H104+Données!F$49)*S104+Données!F$47*O104</f>
        <v>-1.2452368975127513E-8</v>
      </c>
      <c r="U104" s="28">
        <f t="shared" si="44"/>
        <v>4555.0923032507517</v>
      </c>
      <c r="V104" s="19"/>
      <c r="W104" s="40">
        <f t="shared" si="45"/>
        <v>19.27081106177878</v>
      </c>
      <c r="X104" s="21">
        <f>-(Données!I$50*1E-24*H104+Données!F$50)*W104+Données!F$45*K104</f>
        <v>-1.3931351046553934E-7</v>
      </c>
      <c r="Y104" s="42">
        <f t="shared" si="46"/>
        <v>20432.168741646918</v>
      </c>
      <c r="Z104" s="23">
        <f>-(Données!I$51*1E-24*H104+Données!F$51)*Y104+Données!F$48*Q104</f>
        <v>-2.004361478182166E-5</v>
      </c>
      <c r="AA104" s="15">
        <f t="shared" si="47"/>
        <v>20451.439552708696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3125923379334265</v>
      </c>
      <c r="I105" s="40">
        <f t="shared" si="38"/>
        <v>3.9753618584617083</v>
      </c>
      <c r="J105" s="21">
        <f>-(Données!I$44*1E-24*H105+Données!F$44)*I105</f>
        <v>-2.2832345109042902E-8</v>
      </c>
      <c r="K105" s="42">
        <f t="shared" si="39"/>
        <v>2794.5830960700214</v>
      </c>
      <c r="L105" s="23">
        <f>-(Données!I$45*1E-24*H105+Données!F$45)*K105+(I105*Données!H$44*1E-24*H105)+(Données!H$51*1E-24*H105)*Y105</f>
        <v>-2.5408598757243003E-6</v>
      </c>
      <c r="M105" s="40">
        <f t="shared" si="40"/>
        <v>1407.8046834063152</v>
      </c>
      <c r="N105" s="21">
        <f>-(Données!I$46*1E-24*H105+Données!F$46)*M105+Données!H$45*1E-24*H105*K105</f>
        <v>1.902736216172791E-7</v>
      </c>
      <c r="O105" s="42">
        <f t="shared" si="41"/>
        <v>187.78234122775339</v>
      </c>
      <c r="P105" s="23">
        <f>-(Données!I$47*1E-24*H105+Données!F$47)*O105+(Données!H$46*1E-24*H105)*M105</f>
        <v>2.5980221972749557E-8</v>
      </c>
      <c r="Q105" s="40">
        <f t="shared" si="42"/>
        <v>107.11696926670416</v>
      </c>
      <c r="R105" s="43">
        <f>-(Données!I$48*1E-24*H105+Données!F$48)*Q105+Données!H$47*1E-24*H105*O105+(Données!I$49*1E-24*H105*S105)*0.85*0.16</f>
        <v>5.3903236903266782E-8</v>
      </c>
      <c r="S105" s="42">
        <f t="shared" si="43"/>
        <v>47.791208241077278</v>
      </c>
      <c r="T105" s="22">
        <f>-(Données!I$49*1E-24*H105+Données!F$49)*S105+Données!F$47*O105</f>
        <v>-1.2142145043490748E-8</v>
      </c>
      <c r="U105" s="28">
        <f t="shared" si="44"/>
        <v>4549.0536600703335</v>
      </c>
      <c r="V105" s="19"/>
      <c r="W105" s="40">
        <f t="shared" si="45"/>
        <v>18.904695156275341</v>
      </c>
      <c r="X105" s="21">
        <f>-(Données!I$50*1E-24*H105+Données!F$50)*W105+Données!F$45*K105</f>
        <v>-1.3662434389958122E-7</v>
      </c>
      <c r="Y105" s="42">
        <f t="shared" si="46"/>
        <v>20379.494122000291</v>
      </c>
      <c r="Z105" s="23">
        <f>-(Données!I$51*1E-24*H105+Données!F$51)*Y105+Données!F$48*Q105</f>
        <v>-1.9991941839067761E-5</v>
      </c>
      <c r="AA105" s="15">
        <f t="shared" si="47"/>
        <v>20398.398817156565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3125923379334265</v>
      </c>
      <c r="I106" s="40">
        <f t="shared" si="38"/>
        <v>3.9153584555151437</v>
      </c>
      <c r="J106" s="21">
        <f>-(Données!I$44*1E-24*H106+Données!F$44)*I106</f>
        <v>-2.2487717763766953E-8</v>
      </c>
      <c r="K106" s="42">
        <f t="shared" si="39"/>
        <v>2787.9057163166181</v>
      </c>
      <c r="L106" s="23">
        <f>-(Données!I$45*1E-24*H106+Données!F$45)*K106+(I106*Données!H$44*1E-24*H106)+(Données!H$51*1E-24*H106)*Y106</f>
        <v>-2.5380427833164828E-6</v>
      </c>
      <c r="M106" s="40">
        <f t="shared" si="40"/>
        <v>1408.3047224839254</v>
      </c>
      <c r="N106" s="21">
        <f>-(Données!I$46*1E-24*H106+Données!F$46)*M106+Données!H$45*1E-24*H106*K106</f>
        <v>1.7931113836635242E-7</v>
      </c>
      <c r="O106" s="42">
        <f t="shared" si="41"/>
        <v>187.85061725109779</v>
      </c>
      <c r="P106" s="23">
        <f>-(Données!I$47*1E-24*H106+Données!F$47)*O106+(Données!H$46*1E-24*H106)*M106</f>
        <v>2.5972790904093768E-8</v>
      </c>
      <c r="Q106" s="40">
        <f t="shared" si="42"/>
        <v>107.25862697328594</v>
      </c>
      <c r="R106" s="43">
        <f>-(Données!I$48*1E-24*H106+Données!F$48)*Q106+Données!H$47*1E-24*H106*O106+(Données!I$49*1E-24*H106*S106)*0.85*0.16</f>
        <v>5.3640908701558692E-8</v>
      </c>
      <c r="S106" s="42">
        <f t="shared" si="43"/>
        <v>47.759298683902983</v>
      </c>
      <c r="T106" s="22">
        <f>-(Données!I$49*1E-24*H106+Données!F$49)*S106+Données!F$47*O106</f>
        <v>-1.1836902252913679E-8</v>
      </c>
      <c r="U106" s="28">
        <f t="shared" si="44"/>
        <v>4542.994340164345</v>
      </c>
      <c r="V106" s="19"/>
      <c r="W106" s="40">
        <f t="shared" si="45"/>
        <v>18.545646380507243</v>
      </c>
      <c r="X106" s="21">
        <f>-(Données!I$50*1E-24*H106+Données!F$50)*W106+Données!F$45*K106</f>
        <v>-1.3398719730881619E-7</v>
      </c>
      <c r="Y106" s="42">
        <f t="shared" si="46"/>
        <v>20326.955298847221</v>
      </c>
      <c r="Z106" s="23">
        <f>-(Données!I$51*1E-24*H106+Données!F$51)*Y106+Données!F$48*Q106</f>
        <v>-1.9940402110478475E-5</v>
      </c>
      <c r="AA106" s="15">
        <f t="shared" si="47"/>
        <v>20345.500945227726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3125923379334265</v>
      </c>
      <c r="I107" s="40">
        <f t="shared" si="38"/>
        <v>3.8562607332319643</v>
      </c>
      <c r="J107" s="21">
        <f>-(Données!I$44*1E-24*H107+Données!F$44)*I107</f>
        <v>-2.2148292162181575E-8</v>
      </c>
      <c r="K107" s="42">
        <f t="shared" si="39"/>
        <v>2781.2357398820623</v>
      </c>
      <c r="L107" s="23">
        <f>-(Données!I$45*1E-24*H107+Données!F$45)*K107+(I107*Données!H$44*1E-24*H107)+(Données!H$51*1E-24*H107)*Y107</f>
        <v>-2.5351637402745319E-6</v>
      </c>
      <c r="M107" s="40">
        <f t="shared" si="40"/>
        <v>1408.7759521555522</v>
      </c>
      <c r="N107" s="21">
        <f>-(Données!I$46*1E-24*H107+Données!F$46)*M107+Données!H$45*1E-24*H107*K107</f>
        <v>1.6843764965616216E-7</v>
      </c>
      <c r="O107" s="42">
        <f t="shared" si="41"/>
        <v>187.91887374559374</v>
      </c>
      <c r="P107" s="23">
        <f>-(Données!I$47*1E-24*H107+Données!F$47)*O107+(Données!H$46*1E-24*H107)*M107</f>
        <v>2.5924452805202873E-8</v>
      </c>
      <c r="Q107" s="40">
        <f t="shared" si="42"/>
        <v>107.39959528135364</v>
      </c>
      <c r="R107" s="43">
        <f>-(Données!I$48*1E-24*H107+Données!F$48)*Q107+Données!H$47*1E-24*H107*O107+(Données!I$49*1E-24*H107*S107)*0.85*0.16</f>
        <v>5.3380844874881091E-8</v>
      </c>
      <c r="S107" s="42">
        <f t="shared" si="43"/>
        <v>47.728191304782328</v>
      </c>
      <c r="T107" s="22">
        <f>-(Données!I$49*1E-24*H107+Données!F$49)*S107+Données!F$47*O107</f>
        <v>-1.1536729404986571E-8</v>
      </c>
      <c r="U107" s="28">
        <f t="shared" si="44"/>
        <v>4536.9146131025764</v>
      </c>
      <c r="V107" s="19"/>
      <c r="W107" s="40">
        <f t="shared" si="45"/>
        <v>18.193528025979674</v>
      </c>
      <c r="X107" s="21">
        <f>-(Données!I$50*1E-24*H107+Données!F$50)*W107+Données!F$45*K107</f>
        <v>-1.3140106412503267E-7</v>
      </c>
      <c r="Y107" s="42">
        <f t="shared" si="46"/>
        <v>20274.551922100884</v>
      </c>
      <c r="Z107" s="23">
        <f>-(Données!I$51*1E-24*H107+Données!F$51)*Y107+Données!F$48*Q107</f>
        <v>-1.9888995252624031E-5</v>
      </c>
      <c r="AA107" s="15">
        <f t="shared" si="47"/>
        <v>20292.745450126862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3125923379334265</v>
      </c>
      <c r="I108" s="40">
        <f t="shared" si="38"/>
        <v>3.798055021429751</v>
      </c>
      <c r="J108" s="21">
        <f>-(Données!I$44*1E-24*H108+Données!F$44)*I108</f>
        <v>-2.1813989790095157E-8</v>
      </c>
      <c r="K108" s="42">
        <f t="shared" si="39"/>
        <v>2774.5733295726209</v>
      </c>
      <c r="L108" s="23">
        <f>-(Données!I$45*1E-24*H108+Données!F$45)*K108+(I108*Données!H$44*1E-24*H108)+(Données!H$51*1E-24*H108)*Y108</f>
        <v>-2.5322241854353411E-6</v>
      </c>
      <c r="M108" s="40">
        <f t="shared" si="40"/>
        <v>1409.2186062988485</v>
      </c>
      <c r="N108" s="21">
        <f>-(Données!I$46*1E-24*H108+Données!F$46)*M108+Données!H$45*1E-24*H108*K108</f>
        <v>1.5765275357864062E-7</v>
      </c>
      <c r="O108" s="42">
        <f t="shared" si="41"/>
        <v>187.98700320756581</v>
      </c>
      <c r="P108" s="23">
        <f>-(Données!I$47*1E-24*H108+Données!F$47)*O108+(Données!H$46*1E-24*H108)*M108</f>
        <v>2.5836676725196454E-8</v>
      </c>
      <c r="Q108" s="40">
        <f t="shared" si="42"/>
        <v>107.53988014168483</v>
      </c>
      <c r="R108" s="43">
        <f>-(Données!I$48*1E-24*H108+Données!F$48)*Q108+Données!H$47*1E-24*H108*O108+(Données!I$49*1E-24*H108*S108)*0.85*0.16</f>
        <v>5.3122869162971839E-8</v>
      </c>
      <c r="S108" s="42">
        <f t="shared" si="43"/>
        <v>47.697872779906021</v>
      </c>
      <c r="T108" s="22">
        <f>-(Données!I$49*1E-24*H108+Données!F$49)*S108+Données!F$47*O108</f>
        <v>-1.1241707736161613E-8</v>
      </c>
      <c r="U108" s="28">
        <f t="shared" si="44"/>
        <v>4530.8147470220556</v>
      </c>
      <c r="V108" s="19"/>
      <c r="W108" s="40">
        <f t="shared" si="45"/>
        <v>17.848206029459089</v>
      </c>
      <c r="X108" s="21">
        <f>-(Données!I$50*1E-24*H108+Données!F$50)*W108+Données!F$45*K108</f>
        <v>-1.2886495725733365E-7</v>
      </c>
      <c r="Y108" s="42">
        <f t="shared" si="46"/>
        <v>20222.283642576989</v>
      </c>
      <c r="Z108" s="23">
        <f>-(Données!I$51*1E-24*H108+Données!F$51)*Y108+Données!F$48*Q108</f>
        <v>-1.9837720922960035E-5</v>
      </c>
      <c r="AA108" s="15">
        <f t="shared" si="47"/>
        <v>20240.131848606448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3125923379334265</v>
      </c>
      <c r="I109" s="40">
        <f t="shared" si="38"/>
        <v>3.740727856261381</v>
      </c>
      <c r="J109" s="21">
        <f>-(Données!I$44*1E-24*H109+Données!F$44)*I109</f>
        <v>-2.1484733318395292E-8</v>
      </c>
      <c r="K109" s="42">
        <f t="shared" si="39"/>
        <v>2767.918644413297</v>
      </c>
      <c r="L109" s="23">
        <f>-(Données!I$45*1E-24*H109+Données!F$45)*K109+(I109*Données!H$44*1E-24*H109)+(Données!H$51*1E-24*H109)*Y109</f>
        <v>-2.5292255303468756E-6</v>
      </c>
      <c r="M109" s="40">
        <f t="shared" si="40"/>
        <v>1409.6329177352532</v>
      </c>
      <c r="N109" s="21">
        <f>-(Données!I$46*1E-24*H109+Données!F$46)*M109+Données!H$45*1E-24*H109*K109</f>
        <v>1.4695604566035211E-7</v>
      </c>
      <c r="O109" s="42">
        <f t="shared" si="41"/>
        <v>188.05490199399964</v>
      </c>
      <c r="P109" s="23">
        <f>-(Données!I$47*1E-24*H109+Données!F$47)*O109+(Données!H$46*1E-24*H109)*M109</f>
        <v>2.5710889435563008E-8</v>
      </c>
      <c r="Q109" s="40">
        <f t="shared" si="42"/>
        <v>107.67948704184512</v>
      </c>
      <c r="R109" s="43">
        <f>-(Données!I$48*1E-24*H109+Données!F$48)*Q109+Données!H$47*1E-24*H109*O109+(Données!I$49*1E-24*H109*S109)*0.85*0.16</f>
        <v>5.2866811632309978E-8</v>
      </c>
      <c r="S109" s="42">
        <f t="shared" si="43"/>
        <v>47.668329571975391</v>
      </c>
      <c r="T109" s="22">
        <f>-(Données!I$49*1E-24*H109+Données!F$49)*S109+Données!F$47*O109</f>
        <v>-1.0951911217963043E-8</v>
      </c>
      <c r="U109" s="28">
        <f t="shared" si="44"/>
        <v>4524.6950086126326</v>
      </c>
      <c r="V109" s="19"/>
      <c r="W109" s="40">
        <f t="shared" si="45"/>
        <v>17.509548921786816</v>
      </c>
      <c r="X109" s="21">
        <f>-(Données!I$50*1E-24*H109+Données!F$50)*W109+Données!F$45*K109</f>
        <v>-1.2637790871524781E-7</v>
      </c>
      <c r="Y109" s="42">
        <f t="shared" si="46"/>
        <v>20170.15011199145</v>
      </c>
      <c r="Z109" s="23">
        <f>-(Données!I$51*1E-24*H109+Données!F$51)*Y109+Données!F$48*Q109</f>
        <v>-1.9786578779825214E-5</v>
      </c>
      <c r="AA109" s="15">
        <f t="shared" si="47"/>
        <v>20187.659660913236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3125923379334265</v>
      </c>
      <c r="I110" s="40">
        <f t="shared" si="38"/>
        <v>3.6842659771006381</v>
      </c>
      <c r="J110" s="21">
        <f>-(Données!I$44*1E-24*H110+Données!F$44)*I110</f>
        <v>-2.1160446585161398E-8</v>
      </c>
      <c r="K110" s="42">
        <f t="shared" si="39"/>
        <v>2761.2718397195454</v>
      </c>
      <c r="L110" s="23">
        <f>-(Données!I$45*1E-24*H110+Données!F$45)*K110+(I110*Données!H$44*1E-24*H110)+(Données!H$51*1E-24*H110)*Y110</f>
        <v>-2.5261691597723806E-6</v>
      </c>
      <c r="M110" s="40">
        <f t="shared" si="40"/>
        <v>1410.0191182232486</v>
      </c>
      <c r="N110" s="21">
        <f>-(Données!I$46*1E-24*H110+Données!F$46)*M110+Données!H$45*1E-24*H110*K110</f>
        <v>1.3634711898397266E-7</v>
      </c>
      <c r="O110" s="42">
        <f t="shared" si="41"/>
        <v>188.12247021143631</v>
      </c>
      <c r="P110" s="23">
        <f>-(Données!I$47*1E-24*H110+Données!F$47)*O110+(Données!H$46*1E-24*H110)*M110</f>
        <v>2.5548476593865061E-8</v>
      </c>
      <c r="Q110" s="40">
        <f t="shared" si="42"/>
        <v>107.81842102281483</v>
      </c>
      <c r="R110" s="43">
        <f>-(Données!I$48*1E-24*H110+Données!F$48)*Q110+Données!H$47*1E-24*H110*O110+(Données!I$49*1E-24*H110*S110)*0.85*0.16</f>
        <v>5.2612508497307077E-8</v>
      </c>
      <c r="S110" s="42">
        <f t="shared" si="43"/>
        <v>47.639547949294581</v>
      </c>
      <c r="T110" s="22">
        <f>-(Données!I$49*1E-24*H110+Données!F$49)*S110+Données!F$47*O110</f>
        <v>-1.0667406847415584E-8</v>
      </c>
      <c r="U110" s="28">
        <f t="shared" si="44"/>
        <v>4518.5556631034397</v>
      </c>
      <c r="V110" s="19"/>
      <c r="W110" s="40">
        <f t="shared" si="45"/>
        <v>17.177427777683146</v>
      </c>
      <c r="X110" s="21">
        <f>-(Données!I$50*1E-24*H110+Données!F$50)*W110+Données!F$45*K110</f>
        <v>-1.2393896923913315E-7</v>
      </c>
      <c r="Y110" s="42">
        <f t="shared" si="46"/>
        <v>20118.150982958068</v>
      </c>
      <c r="Z110" s="23">
        <f>-(Données!I$51*1E-24*H110+Données!F$51)*Y110+Données!F$48*Q110</f>
        <v>-1.9735568482439128E-5</v>
      </c>
      <c r="AA110" s="15">
        <f t="shared" si="47"/>
        <v>20135.32841073575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3125923379334265</v>
      </c>
      <c r="I111" s="40">
        <f t="shared" si="38"/>
        <v>3.6286563234748339</v>
      </c>
      <c r="J111" s="21">
        <f>-(Données!I$44*1E-24*H111+Données!F$44)*I111</f>
        <v>-2.0841054578047356E-8</v>
      </c>
      <c r="K111" s="42">
        <f t="shared" si="39"/>
        <v>2754.6330671676637</v>
      </c>
      <c r="L111" s="23">
        <f>-(Données!I$45*1E-24*H111+Données!F$45)*K111+(I111*Données!H$44*1E-24*H111)+(Données!H$51*1E-24*H111)*Y111</f>
        <v>-2.5230564321851605E-6</v>
      </c>
      <c r="M111" s="40">
        <f t="shared" si="40"/>
        <v>1410.3774384519386</v>
      </c>
      <c r="N111" s="21">
        <f>-(Données!I$46*1E-24*H111+Données!F$46)*M111+Données!H$45*1E-24*H111*K111</f>
        <v>1.2582556430697883E-7</v>
      </c>
      <c r="O111" s="42">
        <f t="shared" si="41"/>
        <v>188.18961160792497</v>
      </c>
      <c r="P111" s="23">
        <f>-(Données!I$47*1E-24*H111+Données!F$47)*O111+(Données!H$46*1E-24*H111)*M111</f>
        <v>2.5350783875605149E-8</v>
      </c>
      <c r="Q111" s="40">
        <f t="shared" si="42"/>
        <v>107.95668669514575</v>
      </c>
      <c r="R111" s="43">
        <f>-(Données!I$48*1E-24*H111+Données!F$48)*Q111+Données!H$47*1E-24*H111*O111+(Données!I$49*1E-24*H111*S111)*0.85*0.16</f>
        <v>5.2359801946247544E-8</v>
      </c>
      <c r="S111" s="42">
        <f t="shared" si="43"/>
        <v>47.611514004099575</v>
      </c>
      <c r="T111" s="22">
        <f>-(Données!I$49*1E-24*H111+Données!F$49)*S111+Données!F$47*O111</f>
        <v>-1.0388254927986105E-8</v>
      </c>
      <c r="U111" s="28">
        <f t="shared" si="44"/>
        <v>4512.3969742502468</v>
      </c>
      <c r="V111" s="19"/>
      <c r="W111" s="40">
        <f t="shared" si="45"/>
        <v>16.851716166522703</v>
      </c>
      <c r="X111" s="21">
        <f>-(Données!I$50*1E-24*H111+Données!F$50)*W111+Données!F$45*K111</f>
        <v>-1.2154720793773292E-7</v>
      </c>
      <c r="Y111" s="42">
        <f t="shared" si="46"/>
        <v>20066.285908986218</v>
      </c>
      <c r="Z111" s="23">
        <f>-(Données!I$51*1E-24*H111+Données!F$51)*Y111+Données!F$48*Q111</f>
        <v>-1.9684689690899911E-5</v>
      </c>
      <c r="AA111" s="15">
        <f t="shared" si="47"/>
        <v>20083.13762515274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3125923379334265</v>
      </c>
      <c r="I112" s="40">
        <f t="shared" si="38"/>
        <v>3.5738860320437253</v>
      </c>
      <c r="J112" s="21">
        <f>-(Données!I$44*1E-24*H112+Données!F$44)*I112</f>
        <v>-2.0526483416930005E-8</v>
      </c>
      <c r="K112" s="42">
        <f t="shared" si="39"/>
        <v>2748.0024748638812</v>
      </c>
      <c r="L112" s="23">
        <f>-(Données!I$45*1E-24*H112+Données!F$45)*K112+(I112*Données!H$44*1E-24*H112)+(Données!H$51*1E-24*H112)*Y112</f>
        <v>-2.5198886802544129E-6</v>
      </c>
      <c r="M112" s="40">
        <f t="shared" si="40"/>
        <v>1410.7081080349374</v>
      </c>
      <c r="N112" s="21">
        <f>-(Données!I$46*1E-24*H112+Données!F$46)*M112+Données!H$45*1E-24*H112*K112</f>
        <v>1.1539097017762519E-7</v>
      </c>
      <c r="O112" s="42">
        <f t="shared" si="41"/>
        <v>188.25623346795007</v>
      </c>
      <c r="P112" s="23">
        <f>-(Données!I$47*1E-24*H112+Données!F$47)*O112+(Données!H$46*1E-24*H112)*M112</f>
        <v>2.5119118075119626E-8</v>
      </c>
      <c r="Q112" s="40">
        <f t="shared" si="42"/>
        <v>108.09428825466048</v>
      </c>
      <c r="R112" s="43">
        <f>-(Données!I$48*1E-24*H112+Données!F$48)*Q112+Données!H$47*1E-24*H112*O112+(Données!I$49*1E-24*H112*S112)*0.85*0.16</f>
        <v>5.2108539971852003E-8</v>
      </c>
      <c r="S112" s="42">
        <f t="shared" si="43"/>
        <v>47.584213670148827</v>
      </c>
      <c r="T112" s="22">
        <f>-(Données!I$49*1E-24*H112+Données!F$49)*S112+Données!F$47*O112</f>
        <v>-1.0114509341321112E-8</v>
      </c>
      <c r="U112" s="28">
        <f t="shared" si="44"/>
        <v>4506.2192043236209</v>
      </c>
      <c r="V112" s="19"/>
      <c r="W112" s="40">
        <f t="shared" si="45"/>
        <v>16.532290104062341</v>
      </c>
      <c r="X112" s="21">
        <f>-(Données!I$50*1E-24*H112+Données!F$50)*W112+Données!F$45*K112</f>
        <v>-1.1920171193274423E-7</v>
      </c>
      <c r="Y112" s="42">
        <f t="shared" si="46"/>
        <v>20014.554544478531</v>
      </c>
      <c r="Z112" s="23">
        <f>-(Données!I$51*1E-24*H112+Données!F$51)*Y112+Données!F$48*Q112</f>
        <v>-1.9633942066181994E-5</v>
      </c>
      <c r="AA112" s="15">
        <f t="shared" si="47"/>
        <v>20031.086834582595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3125923379334265</v>
      </c>
      <c r="I113" s="40">
        <f t="shared" si="38"/>
        <v>3.5199424336240335</v>
      </c>
      <c r="J113" s="21">
        <f>-(Données!I$44*1E-24*H113+Données!F$44)*I113</f>
        <v>-2.02166603368196E-8</v>
      </c>
      <c r="K113" s="42">
        <f t="shared" si="39"/>
        <v>2741.3802074121727</v>
      </c>
      <c r="L113" s="23">
        <f>-(Données!I$45*1E-24*H113+Données!F$45)*K113+(I113*Données!H$44*1E-24*H113)+(Données!H$51*1E-24*H113)*Y113</f>
        <v>-2.5166672113220137E-6</v>
      </c>
      <c r="M113" s="40">
        <f t="shared" si="40"/>
        <v>1411.0113555045641</v>
      </c>
      <c r="N113" s="21">
        <f>-(Données!I$46*1E-24*H113+Données!F$46)*M113+Données!H$45*1E-24*H113*K113</f>
        <v>1.0504292304824849E-7</v>
      </c>
      <c r="O113" s="42">
        <f t="shared" si="41"/>
        <v>188.32224651025149</v>
      </c>
      <c r="P113" s="23">
        <f>-(Données!I$47*1E-24*H113+Données!F$47)*O113+(Données!H$46*1E-24*H113)*M113</f>
        <v>2.4854748176358327E-8</v>
      </c>
      <c r="Q113" s="40">
        <f t="shared" si="42"/>
        <v>108.23122949770651</v>
      </c>
      <c r="R113" s="43">
        <f>-(Données!I$48*1E-24*H113+Données!F$48)*Q113+Données!H$47*1E-24*H113*O113+(Données!I$49*1E-24*H113*S113)*0.85*0.16</f>
        <v>5.1858576206342049E-8</v>
      </c>
      <c r="S113" s="42">
        <f t="shared" si="43"/>
        <v>47.557632739599832</v>
      </c>
      <c r="T113" s="22">
        <f>-(Données!I$49*1E-24*H113+Données!F$49)*S113+Données!F$47*O113</f>
        <v>-9.8462178100598406E-9</v>
      </c>
      <c r="U113" s="28">
        <f t="shared" si="44"/>
        <v>4500.0226140979194</v>
      </c>
      <c r="V113" s="19"/>
      <c r="W113" s="40">
        <f t="shared" si="45"/>
        <v>16.219028005103088</v>
      </c>
      <c r="X113" s="21">
        <f>-(Données!I$50*1E-24*H113+Données!F$50)*W113+Données!F$45*K113</f>
        <v>-1.1690158601026468E-7</v>
      </c>
      <c r="Y113" s="42">
        <f t="shared" si="46"/>
        <v>19962.956544728604</v>
      </c>
      <c r="Z113" s="23">
        <f>-(Données!I$51*1E-24*H113+Données!F$51)*Y113+Données!F$48*Q113</f>
        <v>-1.9583325270133851E-5</v>
      </c>
      <c r="AA113" s="15">
        <f t="shared" si="47"/>
        <v>19979.175572733708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3125923379334265</v>
      </c>
      <c r="I114" s="40">
        <f t="shared" si="38"/>
        <v>3.4668130502588714</v>
      </c>
      <c r="J114" s="21">
        <f>-(Données!I$44*1E-24*H114+Données!F$44)*I114</f>
        <v>-1.991151367102817E-8</v>
      </c>
      <c r="K114" s="42">
        <f t="shared" si="39"/>
        <v>2734.7664059808185</v>
      </c>
      <c r="L114" s="23">
        <f>-(Données!I$45*1E-24*H114+Données!F$45)*K114+(I114*Données!H$44*1E-24*H114)+(Données!H$51*1E-24*H114)*Y114</f>
        <v>-2.5133933078706041E-6</v>
      </c>
      <c r="M114" s="40">
        <f t="shared" si="40"/>
        <v>1411.287408306335</v>
      </c>
      <c r="N114" s="21">
        <f>-(Données!I$46*1E-24*H114+Données!F$46)*M114+Données!H$45*1E-24*H114*K114</f>
        <v>9.4781007385969785E-8</v>
      </c>
      <c r="O114" s="42">
        <f t="shared" si="41"/>
        <v>188.38756478845895</v>
      </c>
      <c r="P114" s="23">
        <f>-(Données!I$47*1E-24*H114+Données!F$47)*O114+(Données!H$46*1E-24*H114)*M114</f>
        <v>2.4558906394372986E-8</v>
      </c>
      <c r="Q114" s="40">
        <f t="shared" si="42"/>
        <v>108.36751383597678</v>
      </c>
      <c r="R114" s="43">
        <f>-(Données!I$48*1E-24*H114+Données!F$48)*Q114+Données!H$47*1E-24*H114*O114+(Données!I$49*1E-24*H114*S114)*0.85*0.16</f>
        <v>5.1609769760886738E-8</v>
      </c>
      <c r="S114" s="42">
        <f t="shared" si="43"/>
        <v>47.531756879194994</v>
      </c>
      <c r="T114" s="22">
        <f>-(Données!I$49*1E-24*H114+Données!F$49)*S114+Données!F$47*O114</f>
        <v>-9.5834221519895102E-9</v>
      </c>
      <c r="U114" s="28">
        <f t="shared" si="44"/>
        <v>4493.8074628410432</v>
      </c>
      <c r="V114" s="19"/>
      <c r="W114" s="40">
        <f t="shared" si="45"/>
        <v>15.911810637068111</v>
      </c>
      <c r="X114" s="21">
        <f>-(Données!I$50*1E-24*H114+Données!F$50)*W114+Données!F$45*K114</f>
        <v>-1.1464595227898321E-7</v>
      </c>
      <c r="Y114" s="42">
        <f t="shared" si="46"/>
        <v>19911.491565918692</v>
      </c>
      <c r="Z114" s="23">
        <f>-(Données!I$51*1E-24*H114+Données!F$51)*Y114+Données!F$48*Q114</f>
        <v>-1.9532838965475727E-5</v>
      </c>
      <c r="AA114" s="15">
        <f t="shared" si="47"/>
        <v>19927.403376555761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3125923379334265</v>
      </c>
      <c r="I115" s="40">
        <f t="shared" si="38"/>
        <v>3.4144855923314092</v>
      </c>
      <c r="J115" s="21">
        <f>-(Données!I$44*1E-24*H115+Données!F$44)*I115</f>
        <v>-1.9610972834591946E-8</v>
      </c>
      <c r="K115" s="42">
        <f t="shared" si="39"/>
        <v>2728.1612083677346</v>
      </c>
      <c r="L115" s="23">
        <f>-(Données!I$45*1E-24*H115+Données!F$45)*K115+(I115*Données!H$44*1E-24*H115)+(Données!H$51*1E-24*H115)*Y115</f>
        <v>-2.5100682279830655E-6</v>
      </c>
      <c r="M115" s="40">
        <f t="shared" si="40"/>
        <v>1411.5364927937453</v>
      </c>
      <c r="N115" s="21">
        <f>-(Données!I$46*1E-24*H115+Données!F$46)*M115+Données!H$45*1E-24*H115*K115</f>
        <v>8.4604805780835168E-8</v>
      </c>
      <c r="O115" s="42">
        <f t="shared" si="41"/>
        <v>188.45210559446335</v>
      </c>
      <c r="P115" s="23">
        <f>-(Données!I$47*1E-24*H115+Données!F$47)*O115+(Données!H$46*1E-24*H115)*M115</f>
        <v>2.4232789188310623E-8</v>
      </c>
      <c r="Q115" s="40">
        <f t="shared" si="42"/>
        <v>108.5031443109084</v>
      </c>
      <c r="R115" s="43">
        <f>-(Données!I$48*1E-24*H115+Données!F$48)*Q115+Données!H$47*1E-24*H115*O115+(Données!I$49*1E-24*H115*S115)*0.85*0.16</f>
        <v>5.1361985069315378E-8</v>
      </c>
      <c r="S115" s="42">
        <f t="shared" si="43"/>
        <v>47.506571645779566</v>
      </c>
      <c r="T115" s="22">
        <f>-(Données!I$49*1E-24*H115+Données!F$49)*S115+Données!F$47*O115</f>
        <v>-9.3261585258043619E-9</v>
      </c>
      <c r="U115" s="28">
        <f t="shared" si="44"/>
        <v>4487.5740083049623</v>
      </c>
      <c r="V115" s="19"/>
      <c r="W115" s="40">
        <f t="shared" si="45"/>
        <v>15.610521074478942</v>
      </c>
      <c r="X115" s="21">
        <f>-(Données!I$50*1E-24*H115+Données!F$50)*W115+Données!F$45*K115</f>
        <v>-1.1243394983498519E-7</v>
      </c>
      <c r="Y115" s="42">
        <f t="shared" si="46"/>
        <v>19860.159265117421</v>
      </c>
      <c r="Z115" s="23">
        <f>-(Données!I$51*1E-24*H115+Données!F$51)*Y115+Données!F$48*Q115</f>
        <v>-1.9482482815797421E-5</v>
      </c>
      <c r="AA115" s="15">
        <f t="shared" si="47"/>
        <v>19875.7697861919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3125923379334265</v>
      </c>
      <c r="I116" s="40">
        <f t="shared" si="38"/>
        <v>3.3629479557221016</v>
      </c>
      <c r="J116" s="21">
        <f>-(Données!I$44*1E-24*H116+Données!F$44)*I116</f>
        <v>-1.9314968307944024E-8</v>
      </c>
      <c r="K116" s="42">
        <f t="shared" si="39"/>
        <v>2721.5647490645952</v>
      </c>
      <c r="L116" s="23">
        <f>-(Données!I$45*1E-24*H116+Données!F$45)*K116+(I116*Données!H$44*1E-24*H116)+(Données!H$51*1E-24*H116)*Y116</f>
        <v>-2.5066932057935275E-6</v>
      </c>
      <c r="M116" s="40">
        <f t="shared" si="40"/>
        <v>1411.7588342233373</v>
      </c>
      <c r="N116" s="21">
        <f>-(Données!I$46*1E-24*H116+Données!F$46)*M116+Données!H$45*1E-24*H116*K116</f>
        <v>7.4513899051439893E-8</v>
      </c>
      <c r="O116" s="42">
        <f t="shared" si="41"/>
        <v>188.51578936445023</v>
      </c>
      <c r="P116" s="23">
        <f>-(Données!I$47*1E-24*H116+Données!F$47)*O116+(Données!H$46*1E-24*H116)*M116</f>
        <v>2.3877558246704707E-8</v>
      </c>
      <c r="Q116" s="40">
        <f t="shared" si="42"/>
        <v>108.63812360767055</v>
      </c>
      <c r="R116" s="43">
        <f>-(Données!I$48*1E-24*H116+Données!F$48)*Q116+Données!H$47*1E-24*H116*O116+(Données!I$49*1E-24*H116*S116)*0.85*0.16</f>
        <v>5.1115091735984252E-8</v>
      </c>
      <c r="S116" s="42">
        <f t="shared" si="43"/>
        <v>47.48206250117375</v>
      </c>
      <c r="T116" s="22">
        <f>-(Données!I$49*1E-24*H116+Données!F$49)*S116+Données!F$47*O116</f>
        <v>-9.0744576687227536E-9</v>
      </c>
      <c r="U116" s="28">
        <f t="shared" si="44"/>
        <v>4481.3225067169487</v>
      </c>
      <c r="V116" s="19"/>
      <c r="W116" s="40">
        <f t="shared" si="45"/>
        <v>15.315044654312601</v>
      </c>
      <c r="X116" s="21">
        <f>-(Données!I$50*1E-24*H116+Données!F$50)*W116+Données!F$45*K116</f>
        <v>-1.1026473443304343E-7</v>
      </c>
      <c r="Y116" s="42">
        <f t="shared" si="46"/>
        <v>19808.959300277507</v>
      </c>
      <c r="Z116" s="23">
        <f>-(Données!I$51*1E-24*H116+Données!F$51)*Y116+Données!F$48*Q116</f>
        <v>-1.9432256485556019E-5</v>
      </c>
      <c r="AA116" s="15">
        <f t="shared" si="47"/>
        <v>19824.274344931819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3125923379334265</v>
      </c>
      <c r="I117" s="40">
        <f t="shared" si="38"/>
        <v>3.3121882190088248</v>
      </c>
      <c r="J117" s="21">
        <f>-(Données!I$44*1E-24*H117+Données!F$44)*I117</f>
        <v>-1.9023431620833443E-8</v>
      </c>
      <c r="K117" s="42">
        <f t="shared" si="39"/>
        <v>2714.9771593197697</v>
      </c>
      <c r="L117" s="23">
        <f>-(Données!I$45*1E-24*H117+Données!F$45)*K117+(I117*Données!H$44*1E-24*H117)+(Données!H$51*1E-24*H117)*Y117</f>
        <v>-2.503269451930074E-6</v>
      </c>
      <c r="M117" s="40">
        <f t="shared" si="40"/>
        <v>1411.9546567500445</v>
      </c>
      <c r="N117" s="21">
        <f>-(Données!I$46*1E-24*H117+Données!F$46)*M117+Données!H$45*1E-24*H117*K117</f>
        <v>6.4507866348099546E-8</v>
      </c>
      <c r="O117" s="42">
        <f t="shared" si="41"/>
        <v>188.57853958752256</v>
      </c>
      <c r="P117" s="23">
        <f>-(Données!I$47*1E-24*H117+Données!F$47)*O117+(Données!H$46*1E-24*H117)*M117</f>
        <v>2.3494341445817559E-8</v>
      </c>
      <c r="Q117" s="40">
        <f t="shared" si="42"/>
        <v>108.77245406875272</v>
      </c>
      <c r="R117" s="43">
        <f>-(Données!I$48*1E-24*H117+Données!F$48)*Q117+Données!H$47*1E-24*H117*O117+(Données!I$49*1E-24*H117*S117)*0.85*0.16</f>
        <v>5.0868964387686363E-8</v>
      </c>
      <c r="S117" s="42">
        <f t="shared" si="43"/>
        <v>47.458214826420345</v>
      </c>
      <c r="T117" s="22">
        <f>-(Données!I$49*1E-24*H117+Données!F$49)*S117+Données!F$47*O117</f>
        <v>-8.8283451262077359E-9</v>
      </c>
      <c r="U117" s="28">
        <f t="shared" si="44"/>
        <v>4475.0532127715187</v>
      </c>
      <c r="V117" s="19"/>
      <c r="W117" s="40">
        <f t="shared" si="45"/>
        <v>15.025268932222563</v>
      </c>
      <c r="X117" s="21">
        <f>-(Données!I$50*1E-24*H117+Données!F$50)*W117+Données!F$45*K117</f>
        <v>-1.0813747816426968E-7</v>
      </c>
      <c r="Y117" s="42">
        <f t="shared" si="46"/>
        <v>19757.891330233466</v>
      </c>
      <c r="Z117" s="23">
        <f>-(Données!I$51*1E-24*H117+Données!F$51)*Y117+Données!F$48*Q117</f>
        <v>-1.9382159640073664E-5</v>
      </c>
      <c r="AA117" s="15">
        <f t="shared" si="47"/>
        <v>19772.916599165688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3125923379334265</v>
      </c>
      <c r="I118" s="40">
        <f t="shared" si="38"/>
        <v>3.2621946407092746</v>
      </c>
      <c r="J118" s="21">
        <f>-(Données!I$44*1E-24*H118+Données!F$44)*I118</f>
        <v>-1.8736295336486993E-8</v>
      </c>
      <c r="K118" s="42">
        <f t="shared" si="39"/>
        <v>2708.3985672000977</v>
      </c>
      <c r="L118" s="23">
        <f>-(Données!I$45*1E-24*H118+Données!F$45)*K118+(I118*Données!H$44*1E-24*H118)+(Données!H$51*1E-24*H118)*Y118</f>
        <v>-2.4997981539493737E-6</v>
      </c>
      <c r="M118" s="40">
        <f t="shared" si="40"/>
        <v>1412.1241834228074</v>
      </c>
      <c r="N118" s="21">
        <f>-(Données!I$46*1E-24*H118+Données!F$46)*M118+Données!H$45*1E-24*H118*K118</f>
        <v>5.4586285253608849E-8</v>
      </c>
      <c r="O118" s="42">
        <f t="shared" si="41"/>
        <v>188.64028271684217</v>
      </c>
      <c r="P118" s="23">
        <f>-(Données!I$47*1E-24*H118+Données!F$47)*O118+(Données!H$46*1E-24*H118)*M118</f>
        <v>2.3084233781767915E-8</v>
      </c>
      <c r="Q118" s="40">
        <f t="shared" si="42"/>
        <v>108.90613770716357</v>
      </c>
      <c r="R118" s="43">
        <f>-(Données!I$48*1E-24*H118+Données!F$48)*Q118+Données!H$47*1E-24*H118*O118+(Données!I$49*1E-24*H118*S118)*0.85*0.16</f>
        <v>5.0623482529499146E-8</v>
      </c>
      <c r="S118" s="42">
        <f t="shared" si="43"/>
        <v>47.435013935428671</v>
      </c>
      <c r="T118" s="22">
        <f>-(Données!I$49*1E-24*H118+Données!F$49)*S118+Données!F$47*O118</f>
        <v>-8.5878414740301862E-9</v>
      </c>
      <c r="U118" s="28">
        <f t="shared" si="44"/>
        <v>4468.766379623049</v>
      </c>
      <c r="V118" s="19"/>
      <c r="W118" s="40">
        <f t="shared" si="45"/>
        <v>14.741083639606861</v>
      </c>
      <c r="X118" s="21">
        <f>-(Données!I$50*1E-24*H118+Données!F$50)*W118+Données!F$45*K118</f>
        <v>-1.060513691400036E-7</v>
      </c>
      <c r="Y118" s="42">
        <f t="shared" si="46"/>
        <v>19706.955014699353</v>
      </c>
      <c r="Z118" s="23">
        <f>-(Données!I$51*1E-24*H118+Données!F$51)*Y118+Données!F$48*Q118</f>
        <v>-1.9332191945535333E-5</v>
      </c>
      <c r="AA118" s="15">
        <f t="shared" si="47"/>
        <v>19721.696098338962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3125923379334265</v>
      </c>
      <c r="I119" s="40">
        <f t="shared" si="38"/>
        <v>3.2129556565649868</v>
      </c>
      <c r="J119" s="21">
        <f>-(Données!I$44*1E-24*H119+Données!F$44)*I119</f>
        <v>-1.8453493036010102E-8</v>
      </c>
      <c r="K119" s="42">
        <f t="shared" si="39"/>
        <v>2701.8290976515186</v>
      </c>
      <c r="L119" s="23">
        <f>-(Données!I$45*1E-24*H119+Données!F$45)*K119+(I119*Données!H$44*1E-24*H119)+(Données!H$51*1E-24*H119)*Y119</f>
        <v>-2.4962804767632216E-6</v>
      </c>
      <c r="M119" s="40">
        <f t="shared" si="40"/>
        <v>1412.2676361804538</v>
      </c>
      <c r="N119" s="21">
        <f>-(Données!I$46*1E-24*H119+Données!F$46)*M119+Données!H$45*1E-24*H119*K119</f>
        <v>4.4748731881639778E-8</v>
      </c>
      <c r="O119" s="42">
        <f t="shared" si="41"/>
        <v>188.70094808322065</v>
      </c>
      <c r="P119" s="23">
        <f>-(Données!I$47*1E-24*H119+Données!F$47)*O119+(Données!H$46*1E-24*H119)*M119</f>
        <v>2.2648298277172978E-8</v>
      </c>
      <c r="Q119" s="40">
        <f t="shared" si="42"/>
        <v>109.03917621925109</v>
      </c>
      <c r="R119" s="43">
        <f>-(Données!I$48*1E-24*H119+Données!F$48)*Q119+Données!H$47*1E-24*H119*O119+(Données!I$49*1E-24*H119*S119)*0.85*0.16</f>
        <v>5.0378530404464863E-8</v>
      </c>
      <c r="S119" s="42">
        <f t="shared" si="43"/>
        <v>47.412445088034922</v>
      </c>
      <c r="T119" s="22">
        <f>-(Données!I$49*1E-24*H119+Données!F$49)*S119+Données!F$47*O119</f>
        <v>-8.3529625329069041E-9</v>
      </c>
      <c r="U119" s="28">
        <f t="shared" si="44"/>
        <v>4462.4622588790435</v>
      </c>
      <c r="V119" s="19"/>
      <c r="W119" s="40">
        <f t="shared" si="45"/>
        <v>14.462380641506932</v>
      </c>
      <c r="X119" s="21">
        <f>-(Données!I$50*1E-24*H119+Données!F$50)*W119+Données!F$45*K119</f>
        <v>-1.0400561118181859E-7</v>
      </c>
      <c r="Y119" s="42">
        <f t="shared" si="46"/>
        <v>19656.150014266488</v>
      </c>
      <c r="Z119" s="23">
        <f>-(Données!I$51*1E-24*H119+Données!F$51)*Y119+Données!F$48*Q119</f>
        <v>-1.9282353068986597E-5</v>
      </c>
      <c r="AA119" s="15">
        <f t="shared" si="47"/>
        <v>19670.612394907996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3125923379334265</v>
      </c>
      <c r="I120" s="40">
        <f t="shared" si="38"/>
        <v>3.1644598768663523</v>
      </c>
      <c r="J120" s="21">
        <f>-(Données!I$44*1E-24*H120+Données!F$44)*I120</f>
        <v>-1.8174959303023134E-8</v>
      </c>
      <c r="K120" s="42">
        <f t="shared" si="39"/>
        <v>2695.2688725585849</v>
      </c>
      <c r="L120" s="23">
        <f>-(Données!I$45*1E-24*H120+Données!F$45)*K120+(I120*Données!H$44*1E-24*H120)+(Données!H$51*1E-24*H120)*Y120</f>
        <v>-2.4927175630573528E-6</v>
      </c>
      <c r="M120" s="40">
        <f t="shared" si="40"/>
        <v>1412.3852358478387</v>
      </c>
      <c r="N120" s="21">
        <f>-(Données!I$46*1E-24*H120+Données!F$46)*M120+Données!H$45*1E-24*H120*K120</f>
        <v>3.4994780972819669E-8</v>
      </c>
      <c r="O120" s="42">
        <f t="shared" si="41"/>
        <v>188.76046781109306</v>
      </c>
      <c r="P120" s="23">
        <f>-(Données!I$47*1E-24*H120+Données!F$47)*O120+(Données!H$46*1E-24*H120)*M120</f>
        <v>2.2187566862993987E-8</v>
      </c>
      <c r="Q120" s="40">
        <f t="shared" si="42"/>
        <v>109.17157099715402</v>
      </c>
      <c r="R120" s="43">
        <f>-(Données!I$48*1E-24*H120+Données!F$48)*Q120+Données!H$47*1E-24*H120*O120+(Données!I$49*1E-24*H120*S120)*0.85*0.16</f>
        <v>5.0133996857002733E-8</v>
      </c>
      <c r="S120" s="42">
        <f t="shared" si="43"/>
        <v>47.390493502498444</v>
      </c>
      <c r="T120" s="22">
        <f>-(Données!I$49*1E-24*H120+Données!F$49)*S120+Données!F$47*O120</f>
        <v>-8.1237195759387689E-9</v>
      </c>
      <c r="U120" s="28">
        <f t="shared" si="44"/>
        <v>4456.1411005940354</v>
      </c>
      <c r="V120" s="19"/>
      <c r="W120" s="40">
        <f t="shared" si="45"/>
        <v>14.189053895321113</v>
      </c>
      <c r="X120" s="21">
        <f>-(Données!I$50*1E-24*H120+Données!F$50)*W120+Données!F$45*K120</f>
        <v>-1.0199942351752584E-7</v>
      </c>
      <c r="Y120" s="42">
        <f t="shared" si="46"/>
        <v>19605.475990401192</v>
      </c>
      <c r="Z120" s="23">
        <f>-(Données!I$51*1E-24*H120+Données!F$51)*Y120+Données!F$48*Q120</f>
        <v>-1.9232642678331409E-5</v>
      </c>
      <c r="AA120" s="15">
        <f t="shared" si="47"/>
        <v>19619.665044296511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3125923379334265</v>
      </c>
      <c r="I121" s="40">
        <f t="shared" si="38"/>
        <v>3.1166960838180073</v>
      </c>
      <c r="J121" s="21">
        <f>-(Données!I$44*1E-24*H121+Données!F$44)*I121</f>
        <v>-1.7900629708529637E-8</v>
      </c>
      <c r="K121" s="42">
        <f t="shared" si="39"/>
        <v>2688.7180108028701</v>
      </c>
      <c r="L121" s="23">
        <f>-(Données!I$45*1E-24*H121+Données!F$45)*K121+(I121*Données!H$44*1E-24*H121)+(Données!H$51*1E-24*H121)*Y121</f>
        <v>-2.489110533702433E-6</v>
      </c>
      <c r="M121" s="40">
        <f t="shared" si="40"/>
        <v>1412.4772021322353</v>
      </c>
      <c r="N121" s="21">
        <f>-(Données!I$46*1E-24*H121+Données!F$46)*M121+Données!H$45*1E-24*H121*K121</f>
        <v>2.5324005988540112E-8</v>
      </c>
      <c r="O121" s="42">
        <f t="shared" si="41"/>
        <v>188.81877673680901</v>
      </c>
      <c r="P121" s="23">
        <f>-(Données!I$47*1E-24*H121+Données!F$47)*O121+(Données!H$46*1E-24*H121)*M121</f>
        <v>2.1703041236271856E-8</v>
      </c>
      <c r="Q121" s="40">
        <f t="shared" si="42"/>
        <v>109.30332314089422</v>
      </c>
      <c r="R121" s="43">
        <f>-(Données!I$48*1E-24*H121+Données!F$48)*Q121+Données!H$47*1E-24*H121*O121+(Données!I$49*1E-24*H121*S121)*0.85*0.16</f>
        <v>4.9889775199955332E-8</v>
      </c>
      <c r="S121" s="42">
        <f t="shared" si="43"/>
        <v>47.369144367452876</v>
      </c>
      <c r="T121" s="22">
        <f>-(Données!I$49*1E-24*H121+Données!F$49)*S121+Données!F$47*O121</f>
        <v>-7.900119529068392E-9</v>
      </c>
      <c r="U121" s="28">
        <f t="shared" si="44"/>
        <v>4449.8031532640798</v>
      </c>
      <c r="V121" s="19"/>
      <c r="W121" s="40">
        <f t="shared" si="45"/>
        <v>13.920999410317055</v>
      </c>
      <c r="X121" s="21">
        <f>-(Données!I$50*1E-24*H121+Données!F$50)*W121+Données!F$45*K121</f>
        <v>-1.0003204048306084E-7</v>
      </c>
      <c r="Y121" s="42">
        <f t="shared" si="46"/>
        <v>19554.932605442536</v>
      </c>
      <c r="Z121" s="23">
        <f>-(Données!I$51*1E-24*H121+Données!F$51)*Y121+Données!F$48*Q121</f>
        <v>-1.9183060442329899E-5</v>
      </c>
      <c r="AA121" s="15">
        <f t="shared" si="47"/>
        <v>19568.853604852855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3125923379334265</v>
      </c>
      <c r="I122" s="40">
        <f t="shared" si="38"/>
        <v>3.0696532289439915</v>
      </c>
      <c r="J122" s="21">
        <f>-(Données!I$44*1E-24*H122+Données!F$44)*I122</f>
        <v>-1.7630440796012934E-8</v>
      </c>
      <c r="K122" s="42">
        <f t="shared" si="39"/>
        <v>2682.1766283203001</v>
      </c>
      <c r="L122" s="23">
        <f>-(Données!I$45*1E-24*H122+Données!F$45)*K122+(I122*Données!H$44*1E-24*H122)+(Données!H$51*1E-24*H122)*Y122</f>
        <v>-2.4854604881575956E-6</v>
      </c>
      <c r="M122" s="40">
        <f t="shared" si="40"/>
        <v>1412.5437536199731</v>
      </c>
      <c r="N122" s="21">
        <f>-(Données!I$46*1E-24*H122+Données!F$46)*M122+Données!H$45*1E-24*H122*K122</f>
        <v>1.5735979202555944E-8</v>
      </c>
      <c r="O122" s="42">
        <f t="shared" si="41"/>
        <v>188.87581232917793</v>
      </c>
      <c r="P122" s="23">
        <f>-(Données!I$47*1E-24*H122+Données!F$47)*O122+(Données!H$46*1E-24*H122)*M122</f>
        <v>2.1195693694402532E-8</v>
      </c>
      <c r="Q122" s="40">
        <f t="shared" si="42"/>
        <v>109.4344334701197</v>
      </c>
      <c r="R122" s="43">
        <f>-(Données!I$48*1E-24*H122+Données!F$48)*Q122+Données!H$47*1E-24*H122*O122+(Données!I$49*1E-24*H122*S122)*0.85*0.16</f>
        <v>4.9645763085172188E-8</v>
      </c>
      <c r="S122" s="42">
        <f t="shared" si="43"/>
        <v>47.348382853330484</v>
      </c>
      <c r="T122" s="22">
        <f>-(Données!I$49*1E-24*H122+Données!F$49)*S122+Données!F$47*O122</f>
        <v>-7.6821651647685466E-9</v>
      </c>
      <c r="U122" s="28">
        <f t="shared" si="44"/>
        <v>4443.4486638218459</v>
      </c>
      <c r="V122" s="19"/>
      <c r="W122" s="40">
        <f t="shared" si="45"/>
        <v>13.658115207927571</v>
      </c>
      <c r="X122" s="21">
        <f>-(Données!I$50*1E-24*H122+Données!F$50)*W122+Données!F$45*K122</f>
        <v>-9.8102711230138387E-8</v>
      </c>
      <c r="Y122" s="42">
        <f t="shared" si="46"/>
        <v>19504.519522600094</v>
      </c>
      <c r="Z122" s="23">
        <f>-(Données!I$51*1E-24*H122+Données!F$51)*Y122+Données!F$48*Q122</f>
        <v>-1.913360603059615E-5</v>
      </c>
      <c r="AA122" s="15">
        <f t="shared" si="47"/>
        <v>19518.177637808021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3125923379334265</v>
      </c>
      <c r="I123" s="40">
        <f t="shared" si="38"/>
        <v>3.0233204305320696</v>
      </c>
      <c r="J123" s="21">
        <f>-(Données!I$44*1E-24*H123+Données!F$44)*I123</f>
        <v>-1.7364330066757693E-8</v>
      </c>
      <c r="K123" s="42">
        <f t="shared" si="39"/>
        <v>2675.6448381574219</v>
      </c>
      <c r="L123" s="23">
        <f>-(Données!I$45*1E-24*H123+Données!F$45)*K123+(I123*Données!H$44*1E-24*H123)+(Données!H$51*1E-24*H123)*Y123</f>
        <v>-2.4817685048665069E-6</v>
      </c>
      <c r="M123" s="40">
        <f t="shared" si="40"/>
        <v>1412.5851077733175</v>
      </c>
      <c r="N123" s="21">
        <f>-(Données!I$46*1E-24*H123+Données!F$46)*M123+Données!H$45*1E-24*H123*K123</f>
        <v>6.2302717903794138E-9</v>
      </c>
      <c r="O123" s="42">
        <f t="shared" si="41"/>
        <v>188.93151461220683</v>
      </c>
      <c r="P123" s="23">
        <f>-(Données!I$47*1E-24*H123+Données!F$47)*O123+(Données!H$46*1E-24*H123)*M123</f>
        <v>2.0666467946613616E-8</v>
      </c>
      <c r="Q123" s="40">
        <f t="shared" si="42"/>
        <v>109.56490253550753</v>
      </c>
      <c r="R123" s="43">
        <f>-(Données!I$48*1E-24*H123+Données!F$48)*Q123+Données!H$47*1E-24*H123*O123+(Données!I$49*1E-24*H123*S123)*0.85*0.16</f>
        <v>4.9401862377537934E-8</v>
      </c>
      <c r="S123" s="42">
        <f t="shared" si="43"/>
        <v>47.32819412327747</v>
      </c>
      <c r="T123" s="22">
        <f>-(Données!I$49*1E-24*H123+Données!F$49)*S123+Données!F$47*O123</f>
        <v>-7.4698552891694284E-9</v>
      </c>
      <c r="U123" s="28">
        <f t="shared" si="44"/>
        <v>4437.0778776322641</v>
      </c>
      <c r="V123" s="19"/>
      <c r="W123" s="40">
        <f t="shared" si="45"/>
        <v>13.400301282814768</v>
      </c>
      <c r="X123" s="21">
        <f>-(Données!I$50*1E-24*H123+Données!F$50)*W123+Données!F$45*K123</f>
        <v>-9.6210699439564367E-8</v>
      </c>
      <c r="Y123" s="42">
        <f t="shared" si="46"/>
        <v>19454.236405951688</v>
      </c>
      <c r="Z123" s="23">
        <f>-(Données!I$51*1E-24*H123+Données!F$51)*Y123+Données!F$48*Q123</f>
        <v>-1.9084279113596014E-5</v>
      </c>
      <c r="AA123" s="15">
        <f t="shared" si="47"/>
        <v>19467.636707234502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3125923379334265</v>
      </c>
      <c r="I124" s="40">
        <f t="shared" si="38"/>
        <v>2.9776869711166305</v>
      </c>
      <c r="J124" s="21">
        <f>-(Données!I$44*1E-24*H124+Données!F$44)*I124</f>
        <v>-1.7102235965393049E-8</v>
      </c>
      <c r="K124" s="42">
        <f t="shared" si="39"/>
        <v>2669.1227505266329</v>
      </c>
      <c r="L124" s="23">
        <f>-(Données!I$45*1E-24*H124+Données!F$45)*K124+(I124*Données!H$44*1E-24*H124)+(Données!H$51*1E-24*H124)*Y124</f>
        <v>-2.4780356416461445E-6</v>
      </c>
      <c r="M124" s="40">
        <f t="shared" si="40"/>
        <v>1412.6014809275825</v>
      </c>
      <c r="N124" s="21">
        <f>-(Données!I$46*1E-24*H124+Données!F$46)*M124+Données!H$45*1E-24*H124*K124</f>
        <v>-3.1935460834373142E-9</v>
      </c>
      <c r="O124" s="42">
        <f t="shared" si="41"/>
        <v>188.98582608997052</v>
      </c>
      <c r="P124" s="23">
        <f>-(Données!I$47*1E-24*H124+Données!F$47)*O124+(Données!H$46*1E-24*H124)*M124</f>
        <v>2.0116279903244488E-8</v>
      </c>
      <c r="Q124" s="40">
        <f t="shared" si="42"/>
        <v>109.6947306298357</v>
      </c>
      <c r="R124" s="43">
        <f>-(Données!I$48*1E-24*H124+Données!F$48)*Q124+Données!H$47*1E-24*H124*O124+(Données!I$49*1E-24*H124*S124)*0.85*0.16</f>
        <v>4.9157979032354103E-8</v>
      </c>
      <c r="S124" s="42">
        <f t="shared" si="43"/>
        <v>47.308563343577532</v>
      </c>
      <c r="T124" s="22">
        <f>-(Données!I$49*1E-24*H124+Données!F$49)*S124+Données!F$47*O124</f>
        <v>-7.2631849228233735E-9</v>
      </c>
      <c r="U124" s="28">
        <f t="shared" si="44"/>
        <v>4430.6910384887169</v>
      </c>
      <c r="V124" s="19"/>
      <c r="W124" s="40">
        <f t="shared" si="45"/>
        <v>13.147459564687592</v>
      </c>
      <c r="X124" s="21">
        <f>-(Données!I$50*1E-24*H124+Données!F$50)*W124+Données!F$45*K124</f>
        <v>-9.435528304009508E-8</v>
      </c>
      <c r="Y124" s="42">
        <f t="shared" si="46"/>
        <v>19404.082920441157</v>
      </c>
      <c r="Z124" s="23">
        <f>-(Données!I$51*1E-24*H124+Données!F$51)*Y124+Données!F$48*Q124</f>
        <v>-1.9035079362644894E-5</v>
      </c>
      <c r="AA124" s="15">
        <f t="shared" si="47"/>
        <v>19417.230380005843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3125923379334265</v>
      </c>
      <c r="I125" s="40">
        <f t="shared" si="38"/>
        <v>2.9327422949995774</v>
      </c>
      <c r="J125" s="21">
        <f>-(Données!I$44*1E-24*H125+Données!F$44)*I125</f>
        <v>-1.6844097865653921E-8</v>
      </c>
      <c r="K125" s="42">
        <f t="shared" si="39"/>
        <v>2662.6104728603868</v>
      </c>
      <c r="L125" s="23">
        <f>-(Données!I$45*1E-24*H125+Données!F$45)*K125+(I125*Données!H$44*1E-24*H125)+(Données!H$51*1E-24*H125)*Y125</f>
        <v>-2.4742629360684466E-6</v>
      </c>
      <c r="M125" s="40">
        <f t="shared" si="40"/>
        <v>1412.5930882884752</v>
      </c>
      <c r="N125" s="21">
        <f>-(Données!I$46*1E-24*H125+Données!F$46)*M125+Données!H$45*1E-24*H125*K125</f>
        <v>-1.2535905180129603E-8</v>
      </c>
      <c r="O125" s="42">
        <f t="shared" si="41"/>
        <v>189.03869167355623</v>
      </c>
      <c r="P125" s="23">
        <f>-(Données!I$47*1E-24*H125+Données!F$47)*O125+(Données!H$46*1E-24*H125)*M125</f>
        <v>1.9546018443455888E-8</v>
      </c>
      <c r="Q125" s="40">
        <f t="shared" si="42"/>
        <v>109.82391779873274</v>
      </c>
      <c r="R125" s="43">
        <f>-(Données!I$48*1E-24*H125+Données!F$48)*Q125+Données!H$47*1E-24*H125*O125+(Données!I$49*1E-24*H125*S125)*0.85*0.16</f>
        <v>4.8914022975986783E-8</v>
      </c>
      <c r="S125" s="42">
        <f t="shared" si="43"/>
        <v>47.289475693600352</v>
      </c>
      <c r="T125" s="22">
        <f>-(Données!I$49*1E-24*H125+Données!F$49)*S125+Données!F$47*O125</f>
        <v>-7.0621454753026491E-9</v>
      </c>
      <c r="U125" s="28">
        <f t="shared" si="44"/>
        <v>4424.2883886097507</v>
      </c>
      <c r="V125" s="19"/>
      <c r="W125" s="40">
        <f t="shared" si="45"/>
        <v>12.899493880858222</v>
      </c>
      <c r="X125" s="21">
        <f>-(Données!I$50*1E-24*H125+Données!F$50)*W125+Données!F$45*K125</f>
        <v>-9.2535753932736647E-8</v>
      </c>
      <c r="Y125" s="42">
        <f t="shared" si="46"/>
        <v>19354.058731876125</v>
      </c>
      <c r="Z125" s="23">
        <f>-(Données!I$51*1E-24*H125+Données!F$51)*Y125+Données!F$48*Q125</f>
        <v>-1.8986006449905565E-5</v>
      </c>
      <c r="AA125" s="15">
        <f t="shared" si="47"/>
        <v>19366.958225756982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3125923379334265</v>
      </c>
      <c r="I126" s="40">
        <f t="shared" si="38"/>
        <v>2.8884760058086387</v>
      </c>
      <c r="J126" s="21">
        <f>-(Données!I$44*1E-24*H126+Données!F$44)*I126</f>
        <v>-1.6589856056357266E-8</v>
      </c>
      <c r="K126" s="42">
        <f t="shared" si="39"/>
        <v>2656.108109864399</v>
      </c>
      <c r="L126" s="23">
        <f>-(Données!I$45*1E-24*H126+Données!F$45)*K126+(I126*Données!H$44*1E-24*H126)+(Données!H$51*1E-24*H126)*Y126</f>
        <v>-2.4704514058349374E-6</v>
      </c>
      <c r="M126" s="40">
        <f t="shared" si="40"/>
        <v>1412.5601439296618</v>
      </c>
      <c r="N126" s="21">
        <f>-(Données!I$46*1E-24*H126+Données!F$46)*M126+Données!H$45*1E-24*H126*K126</f>
        <v>-2.1797237103588297E-8</v>
      </c>
      <c r="O126" s="42">
        <f t="shared" si="41"/>
        <v>189.09005861002564</v>
      </c>
      <c r="P126" s="23">
        <f>-(Données!I$47*1E-24*H126+Données!F$47)*O126+(Données!H$46*1E-24*H126)*M126</f>
        <v>1.8956546161950446E-8</v>
      </c>
      <c r="Q126" s="40">
        <f t="shared" si="42"/>
        <v>109.95246385111363</v>
      </c>
      <c r="R126" s="43">
        <f>-(Données!I$48*1E-24*H126+Données!F$48)*Q126+Données!H$47*1E-24*H126*O126+(Données!I$49*1E-24*H126*S126)*0.85*0.16</f>
        <v>4.8669907989692736E-8</v>
      </c>
      <c r="S126" s="42">
        <f t="shared" si="43"/>
        <v>47.270916375291257</v>
      </c>
      <c r="T126" s="22">
        <f>-(Données!I$49*1E-24*H126+Données!F$49)*S126+Données!F$47*O126</f>
        <v>-6.8667249138186191E-9</v>
      </c>
      <c r="U126" s="28">
        <f t="shared" si="44"/>
        <v>4417.8701686363011</v>
      </c>
      <c r="V126" s="19"/>
      <c r="W126" s="40">
        <f t="shared" si="45"/>
        <v>12.65630991952299</v>
      </c>
      <c r="X126" s="21">
        <f>-(Données!I$50*1E-24*H126+Données!F$50)*W126+Données!F$45*K126</f>
        <v>-9.0751417720379148E-8</v>
      </c>
      <c r="Y126" s="42">
        <f t="shared" si="46"/>
        <v>19304.163506925772</v>
      </c>
      <c r="Z126" s="23">
        <f>-(Données!I$51*1E-24*H126+Données!F$51)*Y126+Données!F$48*Q126</f>
        <v>-1.8937060048386004E-5</v>
      </c>
      <c r="AA126" s="15">
        <f t="shared" si="47"/>
        <v>19316.819816845295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3125923379334265</v>
      </c>
      <c r="I127" s="40">
        <f t="shared" si="38"/>
        <v>2.8448778640925316</v>
      </c>
      <c r="J127" s="21">
        <f>-(Données!I$44*1E-24*H127+Données!F$44)*I127</f>
        <v>-1.6339451727589996E-8</v>
      </c>
      <c r="K127" s="42">
        <f t="shared" si="39"/>
        <v>2649.6157635698646</v>
      </c>
      <c r="L127" s="23">
        <f>-(Données!I$45*1E-24*H127+Données!F$45)*K127+(I127*Données!H$44*1E-24*H127)+(Données!H$51*1E-24*H127)*Y127</f>
        <v>-2.4666020491444449E-6</v>
      </c>
      <c r="M127" s="40">
        <f t="shared" si="40"/>
        <v>1412.5028607905535</v>
      </c>
      <c r="N127" s="21">
        <f>-(Données!I$46*1E-24*H127+Données!F$46)*M127+Données!H$45*1E-24*H127*K127</f>
        <v>-3.0977974219242342E-8</v>
      </c>
      <c r="O127" s="42">
        <f t="shared" si="41"/>
        <v>189.13987641333924</v>
      </c>
      <c r="P127" s="23">
        <f>-(Données!I$47*1E-24*H127+Données!F$47)*O127+(Données!H$46*1E-24*H127)*M127</f>
        <v>1.8348700095283105E-8</v>
      </c>
      <c r="Q127" s="40">
        <f t="shared" si="42"/>
        <v>110.08036836931055</v>
      </c>
      <c r="R127" s="43">
        <f>-(Données!I$48*1E-24*H127+Données!F$48)*Q127+Données!H$47*1E-24*H127*O127+(Données!I$49*1E-24*H127*S127)*0.85*0.16</f>
        <v>4.8425551596541964E-8</v>
      </c>
      <c r="S127" s="42">
        <f t="shared" si="43"/>
        <v>47.252870622217742</v>
      </c>
      <c r="T127" s="22">
        <f>-(Données!I$49*1E-24*H127+Données!F$49)*S127+Données!F$47*O127</f>
        <v>-6.6769079260461469E-9</v>
      </c>
      <c r="U127" s="28">
        <f t="shared" si="44"/>
        <v>4411.4366176293779</v>
      </c>
      <c r="V127" s="19"/>
      <c r="W127" s="40">
        <f t="shared" si="45"/>
        <v>12.417815193753833</v>
      </c>
      <c r="X127" s="21">
        <f>-(Données!I$50*1E-24*H127+Données!F$50)*W127+Données!F$45*K127</f>
        <v>-8.9001593442662434E-8</v>
      </c>
      <c r="Y127" s="42">
        <f t="shared" si="46"/>
        <v>19254.396913118613</v>
      </c>
      <c r="Z127" s="23">
        <f>-(Données!I$51*1E-24*H127+Données!F$51)*Y127+Données!F$48*Q127</f>
        <v>-1.8888239831937173E-5</v>
      </c>
      <c r="AA127" s="15">
        <f t="shared" si="47"/>
        <v>19266.814728312365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3125923379334265</v>
      </c>
      <c r="I128" s="40">
        <f t="shared" si="38"/>
        <v>2.801937784952425</v>
      </c>
      <c r="J128" s="21">
        <f>-(Données!I$44*1E-24*H128+Données!F$44)*I128</f>
        <v>-1.609282695710535E-8</v>
      </c>
      <c r="K128" s="42">
        <f t="shared" si="39"/>
        <v>2643.1335333847128</v>
      </c>
      <c r="L128" s="23">
        <f>-(Données!I$45*1E-24*H128+Données!F$45)*K128+(I128*Données!H$44*1E-24*H128)+(Données!H$51*1E-24*H128)*Y128</f>
        <v>-2.4627158450541025E-6</v>
      </c>
      <c r="M128" s="40">
        <f t="shared" si="40"/>
        <v>1412.4214506743053</v>
      </c>
      <c r="N128" s="21">
        <f>-(Données!I$46*1E-24*H128+Données!F$46)*M128+Données!H$45*1E-24*H128*K128</f>
        <v>-4.0078549574910328E-8</v>
      </c>
      <c r="O128" s="42">
        <f t="shared" si="41"/>
        <v>189.18809679718964</v>
      </c>
      <c r="P128" s="23">
        <f>-(Données!I$47*1E-24*H128+Données!F$47)*O128+(Données!H$46*1E-24*H128)*M128</f>
        <v>1.7723292428313704E-8</v>
      </c>
      <c r="Q128" s="40">
        <f t="shared" si="42"/>
        <v>110.20763071890626</v>
      </c>
      <c r="R128" s="43">
        <f>-(Données!I$48*1E-24*H128+Données!F$48)*Q128+Données!H$47*1E-24*H128*O128+(Données!I$49*1E-24*H128*S128)*0.85*0.16</f>
        <v>4.8180874951353729E-8</v>
      </c>
      <c r="S128" s="42">
        <f t="shared" si="43"/>
        <v>47.235323708188091</v>
      </c>
      <c r="T128" s="22">
        <f>-(Données!I$49*1E-24*H128+Données!F$49)*S128+Données!F$47*O128</f>
        <v>-6.4926760773301574E-9</v>
      </c>
      <c r="U128" s="28">
        <f t="shared" si="44"/>
        <v>4404.9879730682542</v>
      </c>
      <c r="V128" s="19"/>
      <c r="W128" s="40">
        <f t="shared" si="45"/>
        <v>12.183919006186517</v>
      </c>
      <c r="X128" s="21">
        <f>-(Données!I$50*1E-24*H128+Données!F$50)*W128+Données!F$45*K128</f>
        <v>-8.7285613315972225E-8</v>
      </c>
      <c r="Y128" s="42">
        <f t="shared" si="46"/>
        <v>19204.758618840282</v>
      </c>
      <c r="Z128" s="23">
        <f>-(Données!I$51*1E-24*H128+Données!F$51)*Y128+Données!F$48*Q128</f>
        <v>-1.8839545475250882E-5</v>
      </c>
      <c r="AA128" s="15">
        <f t="shared" si="47"/>
        <v>19216.942537846469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3125923379334265</v>
      </c>
      <c r="I129" s="40">
        <f t="shared" si="38"/>
        <v>2.759645835709152</v>
      </c>
      <c r="J129" s="21">
        <f>-(Données!I$44*1E-24*H129+Données!F$44)*I129</f>
        <v>-1.5849924696924642E-8</v>
      </c>
      <c r="K129" s="42">
        <f t="shared" si="39"/>
        <v>2636.6615161439108</v>
      </c>
      <c r="L129" s="23">
        <f>-(Données!I$45*1E-24*H129+Données!F$45)*K129+(I129*Données!H$44*1E-24*H129)+(Données!H$51*1E-24*H129)*Y129</f>
        <v>-2.4587937538336428E-6</v>
      </c>
      <c r="M129" s="40">
        <f t="shared" si="40"/>
        <v>1412.3161242460226</v>
      </c>
      <c r="N129" s="21">
        <f>-(Données!I$46*1E-24*H129+Données!F$46)*M129+Données!H$45*1E-24*H129*K129</f>
        <v>-4.9099396823581162E-8</v>
      </c>
      <c r="O129" s="42">
        <f t="shared" si="41"/>
        <v>189.23467360969124</v>
      </c>
      <c r="P129" s="23">
        <f>-(Données!I$47*1E-24*H129+Données!F$47)*O129+(Données!H$46*1E-24*H129)*M129</f>
        <v>1.7081111181355681E-8</v>
      </c>
      <c r="Q129" s="40">
        <f t="shared" si="42"/>
        <v>110.33425005827841</v>
      </c>
      <c r="R129" s="43">
        <f>-(Données!I$48*1E-24*H129+Données!F$48)*Q129+Données!H$47*1E-24*H129*O129+(Données!I$49*1E-24*H129*S129)*0.85*0.16</f>
        <v>4.7935802733567785E-8</v>
      </c>
      <c r="S129" s="42">
        <f t="shared" si="43"/>
        <v>47.21826095545687</v>
      </c>
      <c r="T129" s="22">
        <f>-(Données!I$49*1E-24*H129+Données!F$49)*S129+Données!F$47*O129</f>
        <v>-6.3140079624489536E-9</v>
      </c>
      <c r="U129" s="28">
        <f t="shared" si="44"/>
        <v>4398.5244708490691</v>
      </c>
      <c r="V129" s="19"/>
      <c r="W129" s="40">
        <f t="shared" si="45"/>
        <v>11.954532414392142</v>
      </c>
      <c r="X129" s="21">
        <f>-(Données!I$50*1E-24*H129+Données!F$50)*W129+Données!F$45*K129</f>
        <v>-8.5602822478467384E-8</v>
      </c>
      <c r="Y129" s="42">
        <f t="shared" si="46"/>
        <v>19155.248293331322</v>
      </c>
      <c r="Z129" s="23">
        <f>-(Données!I$51*1E-24*H129+Données!F$51)*Y129+Données!F$48*Q129</f>
        <v>-1.8790976653857605E-5</v>
      </c>
      <c r="AA129" s="15">
        <f t="shared" si="47"/>
        <v>19167.202825745713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3125923379334265</v>
      </c>
      <c r="I130" s="40">
        <f t="shared" si="38"/>
        <v>2.7179922336056341</v>
      </c>
      <c r="J130" s="21">
        <f>-(Données!I$44*1E-24*H130+Données!F$44)*I130</f>
        <v>-1.5610688760141194E-8</v>
      </c>
      <c r="K130" s="42">
        <f t="shared" si="39"/>
        <v>2630.1998061588361</v>
      </c>
      <c r="L130" s="23">
        <f>-(Données!I$45*1E-24*H130+Données!F$45)*K130+(I130*Données!H$44*1E-24*H130)+(Données!H$51*1E-24*H130)*Y130</f>
        <v>-2.4548367173132335E-6</v>
      </c>
      <c r="M130" s="40">
        <f t="shared" si="40"/>
        <v>1412.1870910311702</v>
      </c>
      <c r="N130" s="21">
        <f>-(Données!I$46*1E-24*H130+Données!F$46)*M130+Données!H$45*1E-24*H130*K130</f>
        <v>-5.8040950148088266E-8</v>
      </c>
      <c r="O130" s="42">
        <f t="shared" si="41"/>
        <v>189.27956276987584</v>
      </c>
      <c r="P130" s="23">
        <f>-(Données!I$47*1E-24*H130+Données!F$47)*O130+(Données!H$46*1E-24*H130)*M130</f>
        <v>1.642292087854182E-8</v>
      </c>
      <c r="Q130" s="40">
        <f t="shared" si="42"/>
        <v>110.46022534786223</v>
      </c>
      <c r="R130" s="43">
        <f>-(Données!I$48*1E-24*H130+Données!F$48)*Q130+Données!H$47*1E-24*H130*O130+(Données!I$49*1E-24*H130*S130)*0.85*0.16</f>
        <v>4.7690263042973257E-8</v>
      </c>
      <c r="S130" s="42">
        <f t="shared" si="43"/>
        <v>47.201667742531555</v>
      </c>
      <c r="T130" s="22">
        <f>-(Données!I$49*1E-24*H130+Données!F$49)*S130+Données!F$47*O130</f>
        <v>-6.1408793520997242E-9</v>
      </c>
      <c r="U130" s="28">
        <f t="shared" si="44"/>
        <v>4392.0463452838821</v>
      </c>
      <c r="V130" s="19"/>
      <c r="W130" s="40">
        <f t="shared" si="45"/>
        <v>11.729568196918731</v>
      </c>
      <c r="X130" s="21">
        <f>-(Données!I$50*1E-24*H130+Données!F$50)*W130+Données!F$45*K130</f>
        <v>-8.3952578740040922E-8</v>
      </c>
      <c r="Y130" s="42">
        <f t="shared" si="46"/>
        <v>19105.865606684984</v>
      </c>
      <c r="Z130" s="23">
        <f>-(Données!I$51*1E-24*H130+Données!F$51)*Y130+Données!F$48*Q130</f>
        <v>-1.8742533044124307E-5</v>
      </c>
      <c r="AA130" s="15">
        <f t="shared" si="47"/>
        <v>19117.595174881902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3125923379334265</v>
      </c>
      <c r="I131" s="40">
        <f t="shared" si="38"/>
        <v>2.6769673435439829</v>
      </c>
      <c r="J131" s="21">
        <f>-(Données!I$44*1E-24*H131+Données!F$44)*I131</f>
        <v>-1.5375063807923478E-8</v>
      </c>
      <c r="K131" s="42">
        <f t="shared" si="39"/>
        <v>2623.7484952657369</v>
      </c>
      <c r="L131" s="23">
        <f>-(Données!I$45*1E-24*H131+Données!F$45)*K131+(I131*Données!H$44*1E-24*H131)+(Données!H$51*1E-24*H131)*Y131</f>
        <v>-2.4508456592248686E-6</v>
      </c>
      <c r="M131" s="40">
        <f t="shared" si="40"/>
        <v>1412.0345594141811</v>
      </c>
      <c r="N131" s="21">
        <f>-(Données!I$46*1E-24*H131+Données!F$46)*M131+Données!H$45*1E-24*H131*K131</f>
        <v>-6.6903644187632019E-8</v>
      </c>
      <c r="O131" s="42">
        <f t="shared" si="41"/>
        <v>189.32272220594464</v>
      </c>
      <c r="P131" s="23">
        <f>-(Données!I$47*1E-24*H131+Données!F$47)*O131+(Données!H$46*1E-24*H131)*M131</f>
        <v>1.5749463197924577E-8</v>
      </c>
      <c r="Q131" s="40">
        <f t="shared" si="42"/>
        <v>110.58555535913916</v>
      </c>
      <c r="R131" s="43">
        <f>-(Données!I$48*1E-24*H131+Données!F$48)*Q131+Données!H$47*1E-24*H131*O131+(Données!I$49*1E-24*H131*S131)*0.85*0.16</f>
        <v>4.7444187298219596E-8</v>
      </c>
      <c r="S131" s="42">
        <f t="shared" si="43"/>
        <v>47.18552951159424</v>
      </c>
      <c r="T131" s="22">
        <f>-(Données!I$49*1E-24*H131+Données!F$49)*S131+Données!F$47*O131</f>
        <v>-5.9732633342713066E-9</v>
      </c>
      <c r="U131" s="28">
        <f t="shared" si="44"/>
        <v>4385.5538291001394</v>
      </c>
      <c r="V131" s="19"/>
      <c r="W131" s="40">
        <f t="shared" si="45"/>
        <v>11.508940819989903</v>
      </c>
      <c r="X131" s="21">
        <f>-(Données!I$50*1E-24*H131+Données!F$50)*W131+Données!F$45*K131</f>
        <v>-8.2334252337119115E-8</v>
      </c>
      <c r="Y131" s="42">
        <f t="shared" si="46"/>
        <v>19056.610229845024</v>
      </c>
      <c r="Z131" s="23">
        <f>-(Données!I$51*1E-24*H131+Données!F$51)*Y131+Données!F$48*Q131</f>
        <v>-1.8694214323252306E-5</v>
      </c>
      <c r="AA131" s="15">
        <f t="shared" si="47"/>
        <v>19068.119170665013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3125923379334265</v>
      </c>
      <c r="I132" s="40">
        <f t="shared" si="38"/>
        <v>2.6365616758567598</v>
      </c>
      <c r="J132" s="21">
        <f>-(Données!I$44*1E-24*H132+Données!F$44)*I132</f>
        <v>-1.5142995336714427E-8</v>
      </c>
      <c r="K132" s="42">
        <f t="shared" si="39"/>
        <v>2617.307672873294</v>
      </c>
      <c r="L132" s="23">
        <f>-(Données!I$45*1E-24*H132+Données!F$45)*K132+(I132*Données!H$44*1E-24*H132)+(Données!H$51*1E-24*H132)*Y132</f>
        <v>-2.4468214855375296E-6</v>
      </c>
      <c r="M132" s="40">
        <f t="shared" si="40"/>
        <v>1411.858736637256</v>
      </c>
      <c r="N132" s="21">
        <f>-(Données!I$46*1E-24*H132+Données!F$46)*M132+Données!H$45*1E-24*H132*K132</f>
        <v>-7.5687913966121185E-8</v>
      </c>
      <c r="O132" s="42">
        <f t="shared" si="41"/>
        <v>189.36411179522878</v>
      </c>
      <c r="P132" s="23">
        <f>-(Données!I$47*1E-24*H132+Données!F$47)*O132+(Données!H$46*1E-24*H132)*M132</f>
        <v>1.5061457603806505E-8</v>
      </c>
      <c r="Q132" s="40">
        <f t="shared" si="42"/>
        <v>110.71023868335888</v>
      </c>
      <c r="R132" s="43">
        <f>-(Données!I$48*1E-24*H132+Données!F$48)*Q132+Données!H$47*1E-24*H132*O132+(Données!I$49*1E-24*H132*S132)*0.85*0.16</f>
        <v>4.7197510138037041E-8</v>
      </c>
      <c r="S132" s="42">
        <f t="shared" si="43"/>
        <v>47.169831775551778</v>
      </c>
      <c r="T132" s="22">
        <f>-(Données!I$49*1E-24*H132+Données!F$49)*S132+Données!F$47*O132</f>
        <v>-5.8111304506608024E-9</v>
      </c>
      <c r="U132" s="28">
        <f t="shared" si="44"/>
        <v>4379.0471534405451</v>
      </c>
      <c r="V132" s="19"/>
      <c r="W132" s="40">
        <f t="shared" si="45"/>
        <v>11.292566404847953</v>
      </c>
      <c r="X132" s="21">
        <f>-(Données!I$50*1E-24*H132+Données!F$50)*W132+Données!F$45*K132</f>
        <v>-8.0747225692205486E-8</v>
      </c>
      <c r="Y132" s="42">
        <f t="shared" si="46"/>
        <v>19007.481834603517</v>
      </c>
      <c r="Z132" s="23">
        <f>-(Données!I$51*1E-24*H132+Données!F$51)*Y132+Données!F$48*Q132</f>
        <v>-1.8646020169275115E-5</v>
      </c>
      <c r="AA132" s="15">
        <f t="shared" si="47"/>
        <v>19018.774401008366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3125923379334265</v>
      </c>
      <c r="I133" s="40">
        <f t="shared" si="38"/>
        <v>2.5967658841118744</v>
      </c>
      <c r="J133" s="21">
        <f>-(Données!I$44*1E-24*H133+Données!F$44)*I133</f>
        <v>-1.4914429665623942E-8</v>
      </c>
      <c r="K133" s="42">
        <f t="shared" si="39"/>
        <v>2610.8774260093014</v>
      </c>
      <c r="L133" s="23">
        <f>-(Données!I$45*1E-24*H133+Données!F$45)*K133+(I133*Données!H$44*1E-24*H133)+(Données!H$51*1E-24*H133)*Y133</f>
        <v>-2.4427650847861386E-6</v>
      </c>
      <c r="M133" s="40">
        <f t="shared" si="40"/>
        <v>1411.6598287993531</v>
      </c>
      <c r="N133" s="21">
        <f>-(Données!I$46*1E-24*H133+Données!F$46)*M133+Données!H$45*1E-24*H133*K133</f>
        <v>-8.4394194822292276E-8</v>
      </c>
      <c r="O133" s="42">
        <f t="shared" si="41"/>
        <v>189.40369330581157</v>
      </c>
      <c r="P133" s="23">
        <f>-(Données!I$47*1E-24*H133+Données!F$47)*O133+(Données!H$46*1E-24*H133)*M133</f>
        <v>1.4359601961795019E-8</v>
      </c>
      <c r="Q133" s="40">
        <f t="shared" si="42"/>
        <v>110.83427374000165</v>
      </c>
      <c r="R133" s="43">
        <f>-(Données!I$48*1E-24*H133+Données!F$48)*Q133+Données!H$47*1E-24*H133*O133+(Données!I$49*1E-24*H133*S133)*0.85*0.16</f>
        <v>4.6950169325095412E-8</v>
      </c>
      <c r="S133" s="42">
        <f t="shared" si="43"/>
        <v>47.154560124727439</v>
      </c>
      <c r="T133" s="22">
        <f>-(Données!I$49*1E-24*H133+Données!F$49)*S133+Données!F$47*O133</f>
        <v>-5.6544488282883094E-9</v>
      </c>
      <c r="U133" s="28">
        <f t="shared" si="44"/>
        <v>4372.5265478633064</v>
      </c>
      <c r="V133" s="19"/>
      <c r="W133" s="40">
        <f t="shared" si="45"/>
        <v>11.080362695728837</v>
      </c>
      <c r="X133" s="21">
        <f>-(Données!I$50*1E-24*H133+Données!F$50)*W133+Données!F$45*K133</f>
        <v>-7.919089317807754E-8</v>
      </c>
      <c r="Y133" s="42">
        <f t="shared" si="46"/>
        <v>18958.48009359866</v>
      </c>
      <c r="Z133" s="23">
        <f>-(Données!I$51*1E-24*H133+Données!F$51)*Y133+Données!F$48*Q133</f>
        <v>-1.8597950261056297E-5</v>
      </c>
      <c r="AA133" s="15">
        <f t="shared" si="47"/>
        <v>18969.560456294388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3125923379334265</v>
      </c>
      <c r="I134" s="40">
        <f t="shared" si="38"/>
        <v>2.5575707629506148</v>
      </c>
      <c r="J134" s="21">
        <f>-(Données!I$44*1E-24*H134+Données!F$44)*I134</f>
        <v>-1.4689313924011699E-8</v>
      </c>
      <c r="K134" s="42">
        <f t="shared" si="39"/>
        <v>2604.4578393664833</v>
      </c>
      <c r="L134" s="23">
        <f>-(Données!I$45*1E-24*H134+Données!F$45)*K134+(I134*Données!H$44*1E-24*H134)+(Données!H$51*1E-24*H134)*Y134</f>
        <v>-2.4386773283944818E-6</v>
      </c>
      <c r="M134" s="40">
        <f t="shared" si="40"/>
        <v>1411.4380408553602</v>
      </c>
      <c r="N134" s="21">
        <f>-(Données!I$46*1E-24*H134+Données!F$46)*M134+Données!H$45*1E-24*H134*K134</f>
        <v>-9.3022922341572104E-8</v>
      </c>
      <c r="O134" s="42">
        <f t="shared" si="41"/>
        <v>189.44143033976718</v>
      </c>
      <c r="P134" s="23">
        <f>-(Données!I$47*1E-24*H134+Données!F$47)*O134+(Données!H$46*1E-24*H134)*M134</f>
        <v>1.3644573137044822E-8</v>
      </c>
      <c r="Q134" s="40">
        <f t="shared" si="42"/>
        <v>110.957658784988</v>
      </c>
      <c r="R134" s="43">
        <f>-(Données!I$48*1E-24*H134+Données!F$48)*Q134+Données!H$47*1E-24*H134*O134+(Données!I$49*1E-24*H134*S134)*0.85*0.16</f>
        <v>4.6702105652431198E-8</v>
      </c>
      <c r="S134" s="42">
        <f t="shared" si="43"/>
        <v>47.139700233206696</v>
      </c>
      <c r="T134" s="22">
        <f>-(Données!I$49*1E-24*H134+Données!F$49)*S134+Données!F$47*O134</f>
        <v>-5.5031843064583191E-9</v>
      </c>
      <c r="U134" s="28">
        <f t="shared" si="44"/>
        <v>4365.9922403427563</v>
      </c>
      <c r="V134" s="19"/>
      <c r="W134" s="40">
        <f t="shared" si="45"/>
        <v>10.872249028456849</v>
      </c>
      <c r="X134" s="21">
        <f>-(Données!I$50*1E-24*H134+Données!F$50)*W134+Données!F$45*K134</f>
        <v>-7.7664660886546252E-8</v>
      </c>
      <c r="Y134" s="42">
        <f t="shared" si="46"/>
        <v>18909.604680312605</v>
      </c>
      <c r="Z134" s="23">
        <f>-(Données!I$51*1E-24*H134+Données!F$51)*Y134+Données!F$48*Q134</f>
        <v>-1.8550004278287306E-5</v>
      </c>
      <c r="AA134" s="15">
        <f t="shared" si="47"/>
        <v>18920.476929341061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3125923379334265</v>
      </c>
      <c r="I135" s="40">
        <f t="shared" si="38"/>
        <v>2.5189672459583119</v>
      </c>
      <c r="J135" s="21">
        <f>-(Données!I$44*1E-24*H135+Données!F$44)*I135</f>
        <v>-1.4467596039257396E-8</v>
      </c>
      <c r="K135" s="42">
        <f t="shared" si="39"/>
        <v>2598.0489953474626</v>
      </c>
      <c r="L135" s="23">
        <f>-(Données!I$45*1E-24*H135+Données!F$45)*K135+(I135*Données!H$44*1E-24*H135)+(Données!H$51*1E-24*H135)*Y135</f>
        <v>-2.4345590709921724E-6</v>
      </c>
      <c r="M135" s="40">
        <f t="shared" si="40"/>
        <v>1411.1935766154465</v>
      </c>
      <c r="N135" s="21">
        <f>-(Données!I$46*1E-24*H135+Données!F$46)*M135+Données!H$45*1E-24*H135*K135</f>
        <v>-1.0157453228964287E-7</v>
      </c>
      <c r="O135" s="42">
        <f t="shared" si="41"/>
        <v>189.47728827797133</v>
      </c>
      <c r="P135" s="23">
        <f>-(Données!I$47*1E-24*H135+Données!F$47)*O135+(Données!H$46*1E-24*H135)*M135</f>
        <v>1.2917027576159382E-8</v>
      </c>
      <c r="Q135" s="40">
        <f t="shared" si="42"/>
        <v>111.08039191864259</v>
      </c>
      <c r="R135" s="43">
        <f>-(Données!I$48*1E-24*H135+Données!F$48)*Q135+Données!H$47*1E-24*H135*O135+(Données!I$49*1E-24*H135*S135)*0.85*0.16</f>
        <v>4.6453262852376081E-8</v>
      </c>
      <c r="S135" s="42">
        <f t="shared" si="43"/>
        <v>47.125237864849325</v>
      </c>
      <c r="T135" s="22">
        <f>-(Données!I$49*1E-24*H135+Données!F$49)*S135+Données!F$47*O135</f>
        <v>-5.3573005592123587E-9</v>
      </c>
      <c r="U135" s="28">
        <f t="shared" si="44"/>
        <v>4359.4444572703314</v>
      </c>
      <c r="V135" s="19"/>
      <c r="W135" s="40">
        <f t="shared" si="45"/>
        <v>10.668146299647006</v>
      </c>
      <c r="X135" s="21">
        <f>-(Données!I$50*1E-24*H135+Données!F$50)*W135+Données!F$45*K135</f>
        <v>-7.6167946401690142E-8</v>
      </c>
      <c r="Y135" s="42">
        <f t="shared" si="46"/>
        <v>18860.855269069267</v>
      </c>
      <c r="Z135" s="23">
        <f>-(Données!I$51*1E-24*H135+Données!F$51)*Y135+Données!F$48*Q135</f>
        <v>-1.8502181901485394E-5</v>
      </c>
      <c r="AA135" s="15">
        <f t="shared" si="47"/>
        <v>18871.523415368913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3125923379334265</v>
      </c>
      <c r="I136" s="40">
        <f t="shared" si="38"/>
        <v>2.4809464035671436</v>
      </c>
      <c r="J136" s="21">
        <f>-(Données!I$44*1E-24*H136+Données!F$44)*I136</f>
        <v>-1.4249224724715581E-8</v>
      </c>
      <c r="K136" s="42">
        <f t="shared" si="39"/>
        <v>2591.6509741088953</v>
      </c>
      <c r="L136" s="23">
        <f>-(Données!I$45*1E-24*H136+Données!F$45)*K136+(I136*Données!H$44*1E-24*H136)+(Données!H$51*1E-24*H136)*Y136</f>
        <v>-2.4304111507258298E-6</v>
      </c>
      <c r="M136" s="40">
        <f t="shared" si="40"/>
        <v>1410.9266387445894</v>
      </c>
      <c r="N136" s="21">
        <f>-(Données!I$46*1E-24*H136+Données!F$46)*M136+Données!H$45*1E-24*H136*K136</f>
        <v>-1.1004946054769157E-7</v>
      </c>
      <c r="O136" s="42">
        <f t="shared" si="41"/>
        <v>189.51123422644147</v>
      </c>
      <c r="P136" s="23">
        <f>-(Données!I$47*1E-24*H136+Données!F$47)*O136+(Données!H$46*1E-24*H136)*M136</f>
        <v>1.217760187318554E-8</v>
      </c>
      <c r="Q136" s="40">
        <f t="shared" si="42"/>
        <v>111.20247109341864</v>
      </c>
      <c r="R136" s="43">
        <f>-(Données!I$48*1E-24*H136+Données!F$48)*Q136+Données!H$47*1E-24*H136*O136+(Données!I$49*1E-24*H136*S136)*0.85*0.16</f>
        <v>4.6203587507921214E-8</v>
      </c>
      <c r="S136" s="42">
        <f t="shared" si="43"/>
        <v>47.111158878979715</v>
      </c>
      <c r="T136" s="22">
        <f>-(Données!I$49*1E-24*H136+Données!F$49)*S136+Données!F$47*O136</f>
        <v>-5.2167592134138543E-9</v>
      </c>
      <c r="U136" s="28">
        <f t="shared" si="44"/>
        <v>4352.8834234558908</v>
      </c>
      <c r="V136" s="19"/>
      <c r="W136" s="40">
        <f t="shared" si="45"/>
        <v>10.467976936503364</v>
      </c>
      <c r="X136" s="21">
        <f>-(Données!I$50*1E-24*H136+Données!F$50)*W136+Données!F$45*K136</f>
        <v>-7.4700178577477309E-8</v>
      </c>
      <c r="Y136" s="42">
        <f t="shared" si="46"/>
        <v>18812.231535032162</v>
      </c>
      <c r="Z136" s="23">
        <f>-(Données!I$51*1E-24*H136+Données!F$51)*Y136+Données!F$48*Q136</f>
        <v>-1.845448281199143E-5</v>
      </c>
      <c r="AA136" s="15">
        <f t="shared" si="47"/>
        <v>18822.699511968665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M20" sqref="M20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85" zoomScaleNormal="85" workbookViewId="0">
      <selection activeCell="F34" sqref="F3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topLeftCell="A4" workbookViewId="0">
      <selection activeCell="M19" sqref="M1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topLeftCell="A4" workbookViewId="0">
      <selection activeCell="N18" sqref="N18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4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zoomScale="85" zoomScaleNormal="85" workbookViewId="0">
      <selection activeCell="M26" sqref="M26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M15" sqref="M1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Graphiques</vt:lpstr>
      </vt:variant>
      <vt:variant>
        <vt:i4>2</vt:i4>
      </vt:variant>
    </vt:vector>
  </HeadingPairs>
  <TitlesOfParts>
    <vt:vector size="12" baseType="lpstr">
      <vt:lpstr>Données</vt:lpstr>
      <vt:lpstr>Eq_de_Bateman_avec_RK1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JACQUET Philippe</cp:lastModifiedBy>
  <cp:revision>1</cp:revision>
  <dcterms:created xsi:type="dcterms:W3CDTF">2014-07-10T09:50:10Z</dcterms:created>
  <dcterms:modified xsi:type="dcterms:W3CDTF">2014-08-01T00:51:34Z</dcterms:modified>
</cp:coreProperties>
</file>