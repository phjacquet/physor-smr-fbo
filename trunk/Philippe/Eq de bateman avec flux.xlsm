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externalReferences>
    <externalReference r:id="rId13"/>
  </externalReferences>
  <calcPr calcId="145621"/>
</workbook>
</file>

<file path=xl/calcChain.xml><?xml version="1.0" encoding="utf-8"?>
<calcChain xmlns="http://schemas.openxmlformats.org/spreadsheetml/2006/main"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K3" i="2" s="1"/>
  <c r="Z2" i="2"/>
  <c r="Y3" i="2" s="1"/>
  <c r="T2" i="2"/>
  <c r="S3" i="2" s="1"/>
  <c r="N2" i="2"/>
  <c r="M3" i="2" s="1"/>
  <c r="P2" i="2"/>
  <c r="O3" i="2" s="1"/>
  <c r="R2" i="2"/>
  <c r="Q3" i="2" s="1"/>
  <c r="P3" i="2" l="1"/>
  <c r="O4" i="2" s="1"/>
  <c r="L3" i="2"/>
  <c r="K4" i="2" s="1"/>
  <c r="N3" i="2"/>
  <c r="M4" i="2" s="1"/>
  <c r="R3" i="2"/>
  <c r="Q4" i="2" s="1"/>
  <c r="U3" i="2"/>
  <c r="I4" i="2"/>
  <c r="J4" i="2" s="1"/>
  <c r="T3" i="2"/>
  <c r="S4" i="2" s="1"/>
  <c r="X3" i="2"/>
  <c r="W4" i="2" s="1"/>
  <c r="Z3" i="2"/>
  <c r="Y4" i="2" s="1"/>
  <c r="AA3" i="2"/>
  <c r="P4" i="2" l="1"/>
  <c r="O5" i="2" s="1"/>
  <c r="T4" i="2"/>
  <c r="S5" i="2" s="1"/>
  <c r="X4" i="2"/>
  <c r="W5" i="2" s="1"/>
  <c r="R4" i="2"/>
  <c r="Q5" i="2" s="1"/>
  <c r="N4" i="2"/>
  <c r="M5" i="2" s="1"/>
  <c r="I5" i="2"/>
  <c r="J5" i="2" s="1"/>
  <c r="AA4" i="2"/>
  <c r="L4" i="2"/>
  <c r="K5" i="2" s="1"/>
  <c r="Z4" i="2"/>
  <c r="Y5" i="2" s="1"/>
  <c r="U4" i="2"/>
  <c r="P5" i="2" l="1"/>
  <c r="O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P6" i="2" l="1"/>
  <c r="O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P7" i="2" l="1"/>
  <c r="O8" i="2" s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T8" i="2" l="1"/>
  <c r="S9" i="2" s="1"/>
  <c r="R8" i="2"/>
  <c r="Q9" i="2" s="1"/>
  <c r="P8" i="2"/>
  <c r="O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P9" i="2"/>
  <c r="O10" i="2" s="1"/>
  <c r="I11" i="2"/>
  <c r="J11" i="2" s="1"/>
  <c r="U9" i="2"/>
  <c r="T10" i="2" l="1"/>
  <c r="S11" i="2" s="1"/>
  <c r="Z10" i="2"/>
  <c r="Y11" i="2" s="1"/>
  <c r="L10" i="2"/>
  <c r="K11" i="2" s="1"/>
  <c r="X10" i="2"/>
  <c r="W11" i="2" s="1"/>
  <c r="N10" i="2"/>
  <c r="M11" i="2" s="1"/>
  <c r="AA10" i="2"/>
  <c r="P10" i="2"/>
  <c r="O11" i="2" s="1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P12" i="2"/>
  <c r="O13" i="2" s="1"/>
  <c r="AA12" i="2"/>
  <c r="T12" i="2"/>
  <c r="S13" i="2" s="1"/>
  <c r="R12" i="2"/>
  <c r="Q13" i="2" s="1"/>
  <c r="I14" i="2"/>
  <c r="U12" i="2"/>
  <c r="X13" i="2" l="1"/>
  <c r="W14" i="2" s="1"/>
  <c r="N13" i="2"/>
  <c r="M14" i="2" s="1"/>
  <c r="L13" i="2"/>
  <c r="K14" i="2" s="1"/>
  <c r="AA13" i="2"/>
  <c r="P13" i="2"/>
  <c r="O14" i="2" s="1"/>
  <c r="T13" i="2"/>
  <c r="S14" i="2" s="1"/>
  <c r="R13" i="2"/>
  <c r="Q14" i="2" s="1"/>
  <c r="J14" i="2"/>
  <c r="I15" i="2" s="1"/>
  <c r="J15" i="2" s="1"/>
  <c r="Z13" i="2"/>
  <c r="Y14" i="2" s="1"/>
  <c r="U13" i="2"/>
  <c r="N14" i="2" l="1"/>
  <c r="M15" i="2" s="1"/>
  <c r="X14" i="2"/>
  <c r="W15" i="2" s="1"/>
  <c r="P14" i="2"/>
  <c r="O15" i="2" s="1"/>
  <c r="R14" i="2"/>
  <c r="Q15" i="2" s="1"/>
  <c r="T14" i="2"/>
  <c r="S15" i="2" s="1"/>
  <c r="AA14" i="2"/>
  <c r="Z14" i="2"/>
  <c r="Y15" i="2" s="1"/>
  <c r="L14" i="2"/>
  <c r="K15" i="2" s="1"/>
  <c r="I16" i="2"/>
  <c r="P15" i="2" l="1"/>
  <c r="O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T16" i="2" l="1"/>
  <c r="S17" i="2" s="1"/>
  <c r="P16" i="2"/>
  <c r="O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P17" i="2" l="1"/>
  <c r="O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P18" i="2"/>
  <c r="O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P19" i="2"/>
  <c r="O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P20" i="2"/>
  <c r="O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P21" i="2"/>
  <c r="O22" i="2" s="1"/>
  <c r="R21" i="2"/>
  <c r="Q22" i="2" s="1"/>
  <c r="Z21" i="2"/>
  <c r="Y22" i="2" s="1"/>
  <c r="U21" i="2"/>
  <c r="AA21" i="2"/>
  <c r="I24" i="2"/>
  <c r="J24" i="2" s="1"/>
  <c r="N22" i="2" l="1"/>
  <c r="M23" i="2" s="1"/>
  <c r="P22" i="2"/>
  <c r="O23" i="2" s="1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N23" i="2" l="1"/>
  <c r="M24" i="2" s="1"/>
  <c r="P23" i="2"/>
  <c r="O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P24" i="2"/>
  <c r="O25" i="2" s="1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N25" i="2" l="1"/>
  <c r="M26" i="2" s="1"/>
  <c r="P25" i="2"/>
  <c r="O26" i="2" s="1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I10" i="1" l="1"/>
  <c r="J28" i="2"/>
  <c r="I29" i="2" s="1"/>
  <c r="J29" i="2" s="1"/>
  <c r="P26" i="2"/>
  <c r="O27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P27" i="2" l="1"/>
  <c r="O28" i="2" s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4" i="1"/>
  <c r="H13" i="1"/>
  <c r="H11" i="1"/>
  <c r="H12" i="1"/>
  <c r="H17" i="1"/>
  <c r="H16" i="1"/>
  <c r="H15" i="1"/>
  <c r="I11" i="1" l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P28" i="2"/>
  <c r="O29" i="2" s="1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H21" i="1" l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P29" i="2"/>
  <c r="O30" i="2" s="1"/>
  <c r="U29" i="2"/>
  <c r="I32" i="2"/>
  <c r="J32" i="2" s="1"/>
  <c r="AA29" i="2"/>
  <c r="G19" i="1" l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P30" i="2"/>
  <c r="O31" i="2" s="1"/>
  <c r="T30" i="2"/>
  <c r="S31" i="2" s="1"/>
  <c r="I33" i="2"/>
  <c r="J33" i="2" s="1"/>
  <c r="AA30" i="2"/>
  <c r="I22" i="1" l="1"/>
  <c r="P31" i="2"/>
  <c r="O32" i="2" s="1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T32" i="2" l="1"/>
  <c r="S33" i="2" s="1"/>
  <c r="P32" i="2"/>
  <c r="O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P33" i="2"/>
  <c r="O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P34" i="2"/>
  <c r="O35" i="2" s="1"/>
  <c r="N34" i="2"/>
  <c r="M35" i="2" s="1"/>
  <c r="U34" i="2"/>
  <c r="X34" i="2"/>
  <c r="W35" i="2" s="1"/>
  <c r="L34" i="2"/>
  <c r="K35" i="2" s="1"/>
  <c r="AA34" i="2"/>
  <c r="I37" i="2"/>
  <c r="J37" i="2" s="1"/>
  <c r="T35" i="2" l="1"/>
  <c r="S36" i="2" s="1"/>
  <c r="Z35" i="2"/>
  <c r="Y36" i="2" s="1"/>
  <c r="R35" i="2"/>
  <c r="Q36" i="2" s="1"/>
  <c r="P35" i="2"/>
  <c r="O36" i="2" s="1"/>
  <c r="L35" i="2"/>
  <c r="K36" i="2" s="1"/>
  <c r="X35" i="2"/>
  <c r="W36" i="2" s="1"/>
  <c r="N35" i="2"/>
  <c r="M36" i="2" s="1"/>
  <c r="U35" i="2"/>
  <c r="AA35" i="2"/>
  <c r="I38" i="2"/>
  <c r="J38" i="2" s="1"/>
  <c r="L36" i="2" l="1"/>
  <c r="K37" i="2" s="1"/>
  <c r="Z36" i="2"/>
  <c r="Y37" i="2" s="1"/>
  <c r="R36" i="2"/>
  <c r="Q37" i="2" s="1"/>
  <c r="T36" i="2"/>
  <c r="S37" i="2" s="1"/>
  <c r="P36" i="2"/>
  <c r="O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P37" i="2"/>
  <c r="O38" i="2" s="1"/>
  <c r="U37" i="2"/>
  <c r="AA37" i="2"/>
  <c r="I40" i="2"/>
  <c r="J40" i="2" s="1"/>
  <c r="N38" i="2" l="1"/>
  <c r="M39" i="2" s="1"/>
  <c r="P38" i="2"/>
  <c r="O39" i="2" s="1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X39" i="2" l="1"/>
  <c r="W40" i="2" s="1"/>
  <c r="L39" i="2"/>
  <c r="K40" i="2" s="1"/>
  <c r="P39" i="2"/>
  <c r="O40" i="2" s="1"/>
  <c r="T40" i="2" s="1"/>
  <c r="S41" i="2" s="1"/>
  <c r="N39" i="2"/>
  <c r="M40" i="2" s="1"/>
  <c r="Z39" i="2"/>
  <c r="Y40" i="2" s="1"/>
  <c r="R39" i="2"/>
  <c r="Q40" i="2" s="1"/>
  <c r="U39" i="2"/>
  <c r="AA39" i="2"/>
  <c r="I42" i="2"/>
  <c r="J42" i="2" s="1"/>
  <c r="L40" i="2" l="1"/>
  <c r="K41" i="2" s="1"/>
  <c r="X40" i="2"/>
  <c r="W41" i="2" s="1"/>
  <c r="P40" i="2"/>
  <c r="O41" i="2" s="1"/>
  <c r="T41" i="2" s="1"/>
  <c r="S42" i="2" s="1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O42" i="2" s="1"/>
  <c r="R42" i="2" s="1"/>
  <c r="Q43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P42" i="2" l="1"/>
  <c r="O43" i="2" s="1"/>
  <c r="R43" i="2" s="1"/>
  <c r="Q44" i="2" s="1"/>
  <c r="T42" i="2"/>
  <c r="S43" i="2" s="1"/>
  <c r="X42" i="2"/>
  <c r="W43" i="2" s="1"/>
  <c r="L42" i="2"/>
  <c r="K43" i="2" s="1"/>
  <c r="U42" i="2"/>
  <c r="N42" i="2"/>
  <c r="M43" i="2" s="1"/>
  <c r="Z42" i="2"/>
  <c r="Y43" i="2" s="1"/>
  <c r="Z43" i="2" s="1"/>
  <c r="Y44" i="2" s="1"/>
  <c r="AA42" i="2"/>
  <c r="I45" i="2"/>
  <c r="J45" i="2" s="1"/>
  <c r="P43" i="2" l="1"/>
  <c r="O44" i="2" s="1"/>
  <c r="R44" i="2" s="1"/>
  <c r="Q45" i="2" s="1"/>
  <c r="T43" i="2"/>
  <c r="S44" i="2" s="1"/>
  <c r="X43" i="2"/>
  <c r="W44" i="2" s="1"/>
  <c r="N43" i="2"/>
  <c r="M44" i="2" s="1"/>
  <c r="U43" i="2"/>
  <c r="L43" i="2"/>
  <c r="K44" i="2" s="1"/>
  <c r="Z44" i="2"/>
  <c r="Y45" i="2" s="1"/>
  <c r="AA43" i="2"/>
  <c r="I46" i="2"/>
  <c r="J46" i="2" s="1"/>
  <c r="P44" i="2" l="1"/>
  <c r="O45" i="2" s="1"/>
  <c r="R45" i="2" s="1"/>
  <c r="Q46" i="2" s="1"/>
  <c r="T44" i="2"/>
  <c r="S45" i="2" s="1"/>
  <c r="N44" i="2"/>
  <c r="M45" i="2" s="1"/>
  <c r="L44" i="2"/>
  <c r="K45" i="2" s="1"/>
  <c r="U44" i="2"/>
  <c r="X44" i="2"/>
  <c r="W45" i="2" s="1"/>
  <c r="Z45" i="2"/>
  <c r="Y46" i="2" s="1"/>
  <c r="AA44" i="2"/>
  <c r="I47" i="2"/>
  <c r="J47" i="2" s="1"/>
  <c r="P45" i="2" l="1"/>
  <c r="O46" i="2" s="1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T46" i="2" l="1"/>
  <c r="S47" i="2" s="1"/>
  <c r="T47" i="2" s="1"/>
  <c r="S48" i="2" s="1"/>
  <c r="P46" i="2"/>
  <c r="O47" i="2" s="1"/>
  <c r="R46" i="2"/>
  <c r="Q47" i="2" s="1"/>
  <c r="X46" i="2"/>
  <c r="W47" i="2" s="1"/>
  <c r="X47" i="2" s="1"/>
  <c r="U46" i="2"/>
  <c r="N46" i="2"/>
  <c r="M47" i="2" s="1"/>
  <c r="N47" i="2" s="1"/>
  <c r="M48" i="2" s="1"/>
  <c r="Z47" i="2"/>
  <c r="Y48" i="2" s="1"/>
  <c r="L47" i="2"/>
  <c r="K48" i="2" s="1"/>
  <c r="AA46" i="2"/>
  <c r="I49" i="2"/>
  <c r="J49" i="2" s="1"/>
  <c r="R47" i="2" l="1"/>
  <c r="Q48" i="2" s="1"/>
  <c r="P47" i="2"/>
  <c r="O48" i="2" s="1"/>
  <c r="P48" i="2" s="1"/>
  <c r="O49" i="2" s="1"/>
  <c r="U47" i="2"/>
  <c r="Z48" i="2"/>
  <c r="Y49" i="2" s="1"/>
  <c r="L48" i="2"/>
  <c r="K49" i="2" s="1"/>
  <c r="N48" i="2"/>
  <c r="M49" i="2" s="1"/>
  <c r="AA47" i="2"/>
  <c r="W48" i="2"/>
  <c r="X48" i="2" s="1"/>
  <c r="I50" i="2"/>
  <c r="J50" i="2" s="1"/>
  <c r="U48" i="2" l="1"/>
  <c r="T48" i="2"/>
  <c r="S49" i="2" s="1"/>
  <c r="T49" i="2" s="1"/>
  <c r="S50" i="2" s="1"/>
  <c r="R48" i="2"/>
  <c r="Q49" i="2" s="1"/>
  <c r="R49" i="2" s="1"/>
  <c r="Q50" i="2" s="1"/>
  <c r="L49" i="2"/>
  <c r="K50" i="2" s="1"/>
  <c r="P49" i="2"/>
  <c r="O50" i="2" s="1"/>
  <c r="N49" i="2"/>
  <c r="M50" i="2" s="1"/>
  <c r="W49" i="2"/>
  <c r="X49" i="2" s="1"/>
  <c r="AA48" i="2"/>
  <c r="I51" i="2"/>
  <c r="J51" i="2" s="1"/>
  <c r="Z49" i="2" l="1"/>
  <c r="Y50" i="2" s="1"/>
  <c r="L50" i="2" s="1"/>
  <c r="K51" i="2" s="1"/>
  <c r="U49" i="2"/>
  <c r="T50" i="2"/>
  <c r="S51" i="2" s="1"/>
  <c r="R50" i="2"/>
  <c r="Q51" i="2" s="1"/>
  <c r="P50" i="2"/>
  <c r="O51" i="2" s="1"/>
  <c r="N50" i="2"/>
  <c r="M51" i="2" s="1"/>
  <c r="U50" i="2"/>
  <c r="W50" i="2"/>
  <c r="X50" i="2" s="1"/>
  <c r="AA49" i="2"/>
  <c r="I52" i="2"/>
  <c r="J52" i="2" s="1"/>
  <c r="Z50" i="2" l="1"/>
  <c r="Y51" i="2" s="1"/>
  <c r="L51" i="2" s="1"/>
  <c r="K52" i="2" s="1"/>
  <c r="T51" i="2"/>
  <c r="S52" i="2" s="1"/>
  <c r="R51" i="2"/>
  <c r="Q52" i="2" s="1"/>
  <c r="P51" i="2"/>
  <c r="O52" i="2" s="1"/>
  <c r="N51" i="2"/>
  <c r="M52" i="2" s="1"/>
  <c r="U51" i="2"/>
  <c r="W51" i="2"/>
  <c r="X51" i="2" s="1"/>
  <c r="AA50" i="2"/>
  <c r="I53" i="2"/>
  <c r="J53" i="2" s="1"/>
  <c r="Z51" i="2" l="1"/>
  <c r="Y52" i="2" s="1"/>
  <c r="Z52" i="2" s="1"/>
  <c r="Y53" i="2" s="1"/>
  <c r="T52" i="2"/>
  <c r="S53" i="2" s="1"/>
  <c r="R52" i="2"/>
  <c r="Q53" i="2" s="1"/>
  <c r="N52" i="2"/>
  <c r="M53" i="2" s="1"/>
  <c r="P52" i="2"/>
  <c r="O53" i="2" s="1"/>
  <c r="U52" i="2"/>
  <c r="AA51" i="2"/>
  <c r="W52" i="2"/>
  <c r="X52" i="2" s="1"/>
  <c r="I54" i="2"/>
  <c r="J54" i="2" s="1"/>
  <c r="L52" i="2" l="1"/>
  <c r="K53" i="2" s="1"/>
  <c r="L53" i="2" s="1"/>
  <c r="K54" i="2" s="1"/>
  <c r="Z53" i="2"/>
  <c r="Y54" i="2" s="1"/>
  <c r="T53" i="2"/>
  <c r="S54" i="2" s="1"/>
  <c r="R53" i="2"/>
  <c r="Q54" i="2" s="1"/>
  <c r="P53" i="2"/>
  <c r="O54" i="2" s="1"/>
  <c r="AA52" i="2"/>
  <c r="W53" i="2"/>
  <c r="I55" i="2"/>
  <c r="J55" i="2" s="1"/>
  <c r="U53" i="2" l="1"/>
  <c r="X53" i="2"/>
  <c r="W54" i="2" s="1"/>
  <c r="X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P54" i="2" l="1"/>
  <c r="O55" i="2" s="1"/>
  <c r="T55" i="2" s="1"/>
  <c r="S56" i="2" s="1"/>
  <c r="N54" i="2"/>
  <c r="M55" i="2" s="1"/>
  <c r="N55" i="2" s="1"/>
  <c r="M56" i="2" s="1"/>
  <c r="Z55" i="2"/>
  <c r="Y56" i="2" s="1"/>
  <c r="L55" i="2"/>
  <c r="K56" i="2" s="1"/>
  <c r="AA54" i="2"/>
  <c r="W55" i="2"/>
  <c r="X55" i="2" s="1"/>
  <c r="I57" i="2"/>
  <c r="J57" i="2" s="1"/>
  <c r="R55" i="2" l="1"/>
  <c r="Q56" i="2" s="1"/>
  <c r="Z56" i="2" s="1"/>
  <c r="Y57" i="2" s="1"/>
  <c r="U55" i="2"/>
  <c r="P55" i="2"/>
  <c r="O56" i="2" s="1"/>
  <c r="T56" i="2" s="1"/>
  <c r="S57" i="2" s="1"/>
  <c r="L56" i="2"/>
  <c r="K57" i="2" s="1"/>
  <c r="N56" i="2"/>
  <c r="M57" i="2" s="1"/>
  <c r="W56" i="2"/>
  <c r="X56" i="2" s="1"/>
  <c r="AA55" i="2"/>
  <c r="I58" i="2"/>
  <c r="J58" i="2" s="1"/>
  <c r="U56" i="2" l="1"/>
  <c r="R56" i="2"/>
  <c r="Q57" i="2" s="1"/>
  <c r="Z57" i="2" s="1"/>
  <c r="Y58" i="2" s="1"/>
  <c r="P56" i="2"/>
  <c r="O57" i="2" s="1"/>
  <c r="T57" i="2" s="1"/>
  <c r="S58" i="2" s="1"/>
  <c r="N57" i="2"/>
  <c r="M58" i="2" s="1"/>
  <c r="L57" i="2"/>
  <c r="K58" i="2" s="1"/>
  <c r="W57" i="2"/>
  <c r="X57" i="2" s="1"/>
  <c r="AA56" i="2"/>
  <c r="I59" i="2"/>
  <c r="J59" i="2" s="1"/>
  <c r="P57" i="2" l="1"/>
  <c r="O58" i="2" s="1"/>
  <c r="P58" i="2" s="1"/>
  <c r="O59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T58" i="2" l="1"/>
  <c r="S59" i="2" s="1"/>
  <c r="T59" i="2" s="1"/>
  <c r="S60" i="2" s="1"/>
  <c r="R58" i="2"/>
  <c r="Q59" i="2" s="1"/>
  <c r="Z59" i="2" s="1"/>
  <c r="Y60" i="2" s="1"/>
  <c r="U58" i="2"/>
  <c r="N59" i="2"/>
  <c r="M60" i="2" s="1"/>
  <c r="P59" i="2"/>
  <c r="O60" i="2" s="1"/>
  <c r="L59" i="2"/>
  <c r="K60" i="2" s="1"/>
  <c r="W59" i="2"/>
  <c r="X59" i="2" s="1"/>
  <c r="AA58" i="2"/>
  <c r="I61" i="2"/>
  <c r="J61" i="2" s="1"/>
  <c r="U59" i="2" l="1"/>
  <c r="R59" i="2"/>
  <c r="Q60" i="2" s="1"/>
  <c r="Z60" i="2" s="1"/>
  <c r="Y61" i="2" s="1"/>
  <c r="T60" i="2"/>
  <c r="S61" i="2" s="1"/>
  <c r="P60" i="2"/>
  <c r="O61" i="2" s="1"/>
  <c r="N60" i="2"/>
  <c r="M61" i="2" s="1"/>
  <c r="L60" i="2"/>
  <c r="K61" i="2" s="1"/>
  <c r="W60" i="2"/>
  <c r="X60" i="2" s="1"/>
  <c r="AA59" i="2"/>
  <c r="I62" i="2"/>
  <c r="J62" i="2" s="1"/>
  <c r="U60" i="2" l="1"/>
  <c r="R60" i="2"/>
  <c r="Q61" i="2" s="1"/>
  <c r="R61" i="2" s="1"/>
  <c r="Q62" i="2" s="1"/>
  <c r="T61" i="2"/>
  <c r="S62" i="2" s="1"/>
  <c r="P61" i="2"/>
  <c r="O62" i="2" s="1"/>
  <c r="N61" i="2"/>
  <c r="M62" i="2" s="1"/>
  <c r="L61" i="2"/>
  <c r="K62" i="2" s="1"/>
  <c r="W61" i="2"/>
  <c r="X61" i="2" s="1"/>
  <c r="AA60" i="2"/>
  <c r="I63" i="2"/>
  <c r="J63" i="2" s="1"/>
  <c r="Z61" i="2" l="1"/>
  <c r="Y62" i="2" s="1"/>
  <c r="Z62" i="2" s="1"/>
  <c r="Y63" i="2" s="1"/>
  <c r="U61" i="2"/>
  <c r="T62" i="2"/>
  <c r="S63" i="2" s="1"/>
  <c r="R62" i="2"/>
  <c r="Q63" i="2" s="1"/>
  <c r="P62" i="2"/>
  <c r="O63" i="2" s="1"/>
  <c r="N62" i="2"/>
  <c r="M63" i="2" s="1"/>
  <c r="U62" i="2"/>
  <c r="AA61" i="2"/>
  <c r="W62" i="2"/>
  <c r="X62" i="2" s="1"/>
  <c r="I64" i="2"/>
  <c r="J64" i="2" s="1"/>
  <c r="L62" i="2" l="1"/>
  <c r="K63" i="2" s="1"/>
  <c r="N63" i="2" s="1"/>
  <c r="M64" i="2" s="1"/>
  <c r="T63" i="2"/>
  <c r="S64" i="2" s="1"/>
  <c r="Z63" i="2"/>
  <c r="Y64" i="2" s="1"/>
  <c r="R63" i="2"/>
  <c r="Q64" i="2" s="1"/>
  <c r="P63" i="2"/>
  <c r="O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P64" i="2"/>
  <c r="O65" i="2" s="1"/>
  <c r="AA63" i="2"/>
  <c r="I66" i="2"/>
  <c r="J66" i="2" s="1"/>
  <c r="N64" i="2" l="1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P65" i="2"/>
  <c r="O66" i="2" s="1"/>
  <c r="T66" i="2" s="1"/>
  <c r="S67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U66" i="2" l="1"/>
  <c r="P66" i="2"/>
  <c r="O67" i="2" s="1"/>
  <c r="P67" i="2" s="1"/>
  <c r="O68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T67" i="2" l="1"/>
  <c r="S68" i="2" s="1"/>
  <c r="T68" i="2" s="1"/>
  <c r="S69" i="2" s="1"/>
  <c r="R67" i="2"/>
  <c r="Q68" i="2" s="1"/>
  <c r="Z68" i="2" s="1"/>
  <c r="Y69" i="2" s="1"/>
  <c r="U67" i="2"/>
  <c r="P68" i="2"/>
  <c r="O69" i="2" s="1"/>
  <c r="N68" i="2"/>
  <c r="M69" i="2" s="1"/>
  <c r="L68" i="2"/>
  <c r="K69" i="2" s="1"/>
  <c r="W68" i="2"/>
  <c r="X68" i="2" s="1"/>
  <c r="AA67" i="2"/>
  <c r="I70" i="2"/>
  <c r="J70" i="2" s="1"/>
  <c r="R68" i="2" l="1"/>
  <c r="Q69" i="2" s="1"/>
  <c r="R69" i="2" s="1"/>
  <c r="Q70" i="2" s="1"/>
  <c r="U68" i="2"/>
  <c r="T69" i="2"/>
  <c r="S70" i="2" s="1"/>
  <c r="L69" i="2"/>
  <c r="K70" i="2" s="1"/>
  <c r="N69" i="2"/>
  <c r="M70" i="2" s="1"/>
  <c r="P69" i="2"/>
  <c r="O70" i="2" s="1"/>
  <c r="W69" i="2"/>
  <c r="X69" i="2" s="1"/>
  <c r="AA68" i="2"/>
  <c r="I71" i="2"/>
  <c r="J71" i="2" s="1"/>
  <c r="U69" i="2" l="1"/>
  <c r="Z69" i="2"/>
  <c r="Y70" i="2" s="1"/>
  <c r="Z70" i="2" s="1"/>
  <c r="Y71" i="2" s="1"/>
  <c r="R70" i="2"/>
  <c r="Q71" i="2" s="1"/>
  <c r="T70" i="2"/>
  <c r="S71" i="2" s="1"/>
  <c r="P70" i="2"/>
  <c r="O71" i="2" s="1"/>
  <c r="N70" i="2"/>
  <c r="M71" i="2" s="1"/>
  <c r="U70" i="2"/>
  <c r="W70" i="2"/>
  <c r="X70" i="2" s="1"/>
  <c r="AA69" i="2"/>
  <c r="I72" i="2"/>
  <c r="J72" i="2" s="1"/>
  <c r="L70" i="2" l="1"/>
  <c r="K71" i="2" s="1"/>
  <c r="L71" i="2" s="1"/>
  <c r="K72" i="2" s="1"/>
  <c r="T71" i="2"/>
  <c r="S72" i="2" s="1"/>
  <c r="Z71" i="2"/>
  <c r="Y72" i="2" s="1"/>
  <c r="R71" i="2"/>
  <c r="Q72" i="2" s="1"/>
  <c r="P71" i="2"/>
  <c r="O72" i="2" s="1"/>
  <c r="AA70" i="2"/>
  <c r="W71" i="2"/>
  <c r="I73" i="2"/>
  <c r="J73" i="2" s="1"/>
  <c r="N71" i="2" l="1"/>
  <c r="M72" i="2" s="1"/>
  <c r="P72" i="2" s="1"/>
  <c r="O73" i="2" s="1"/>
  <c r="X71" i="2"/>
  <c r="W72" i="2" s="1"/>
  <c r="X72" i="2" s="1"/>
  <c r="U71" i="2"/>
  <c r="R72" i="2"/>
  <c r="Q73" i="2" s="1"/>
  <c r="Z72" i="2"/>
  <c r="Y73" i="2" s="1"/>
  <c r="T72" i="2"/>
  <c r="S73" i="2" s="1"/>
  <c r="L72" i="2"/>
  <c r="K73" i="2" s="1"/>
  <c r="AA71" i="2"/>
  <c r="I74" i="2"/>
  <c r="J74" i="2" s="1"/>
  <c r="U72" i="2" l="1"/>
  <c r="N72" i="2"/>
  <c r="M73" i="2" s="1"/>
  <c r="U73" i="2" s="1"/>
  <c r="R73" i="2"/>
  <c r="Q74" i="2" s="1"/>
  <c r="Z73" i="2"/>
  <c r="Y74" i="2" s="1"/>
  <c r="T73" i="2"/>
  <c r="S74" i="2" s="1"/>
  <c r="L73" i="2"/>
  <c r="K74" i="2" s="1"/>
  <c r="AA72" i="2"/>
  <c r="W73" i="2"/>
  <c r="X73" i="2" s="1"/>
  <c r="I75" i="2"/>
  <c r="J75" i="2" s="1"/>
  <c r="P73" i="2" l="1"/>
  <c r="O74" i="2" s="1"/>
  <c r="R74" i="2" s="1"/>
  <c r="Q75" i="2" s="1"/>
  <c r="N73" i="2"/>
  <c r="M74" i="2" s="1"/>
  <c r="Z74" i="2"/>
  <c r="Y75" i="2" s="1"/>
  <c r="L74" i="2"/>
  <c r="K75" i="2" s="1"/>
  <c r="T74" i="2"/>
  <c r="S75" i="2" s="1"/>
  <c r="AA73" i="2"/>
  <c r="W74" i="2"/>
  <c r="X74" i="2" s="1"/>
  <c r="I76" i="2"/>
  <c r="J76" i="2" s="1"/>
  <c r="U74" i="2" l="1"/>
  <c r="P74" i="2"/>
  <c r="O75" i="2" s="1"/>
  <c r="T75" i="2" s="1"/>
  <c r="S76" i="2" s="1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R75" i="2" l="1"/>
  <c r="Q76" i="2" s="1"/>
  <c r="U75" i="2"/>
  <c r="P75" i="2"/>
  <c r="O76" i="2" s="1"/>
  <c r="Z76" i="2"/>
  <c r="Y77" i="2" s="1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P76" i="2"/>
  <c r="O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P77" i="2"/>
  <c r="O78" i="2" s="1"/>
  <c r="P78" i="2" s="1"/>
  <c r="O79" i="2" s="1"/>
  <c r="R77" i="2"/>
  <c r="Q78" i="2" s="1"/>
  <c r="R78" i="2" s="1"/>
  <c r="Q79" i="2" s="1"/>
  <c r="L78" i="2"/>
  <c r="K79" i="2" s="1"/>
  <c r="N78" i="2"/>
  <c r="M79" i="2" s="1"/>
  <c r="W78" i="2"/>
  <c r="X78" i="2" s="1"/>
  <c r="AA77" i="2"/>
  <c r="I80" i="2"/>
  <c r="J80" i="2" s="1"/>
  <c r="T78" i="2" l="1"/>
  <c r="S79" i="2" s="1"/>
  <c r="Z78" i="2"/>
  <c r="Y79" i="2" s="1"/>
  <c r="Z79" i="2" s="1"/>
  <c r="Y80" i="2" s="1"/>
  <c r="U78" i="2"/>
  <c r="T79" i="2"/>
  <c r="S80" i="2" s="1"/>
  <c r="R79" i="2"/>
  <c r="Q80" i="2" s="1"/>
  <c r="N79" i="2"/>
  <c r="M80" i="2" s="1"/>
  <c r="P79" i="2"/>
  <c r="O80" i="2" s="1"/>
  <c r="U79" i="2"/>
  <c r="AA78" i="2"/>
  <c r="W79" i="2"/>
  <c r="X79" i="2" s="1"/>
  <c r="I81" i="2"/>
  <c r="J81" i="2" s="1"/>
  <c r="L79" i="2" l="1"/>
  <c r="K80" i="2" s="1"/>
  <c r="L80" i="2" s="1"/>
  <c r="K81" i="2" s="1"/>
  <c r="Z80" i="2"/>
  <c r="Y81" i="2" s="1"/>
  <c r="R80" i="2"/>
  <c r="Q81" i="2" s="1"/>
  <c r="T80" i="2"/>
  <c r="S81" i="2" s="1"/>
  <c r="P80" i="2"/>
  <c r="O81" i="2" s="1"/>
  <c r="AA79" i="2"/>
  <c r="W80" i="2"/>
  <c r="I82" i="2"/>
  <c r="J82" i="2" s="1"/>
  <c r="U80" i="2" l="1"/>
  <c r="N80" i="2"/>
  <c r="M81" i="2" s="1"/>
  <c r="P81" i="2" s="1"/>
  <c r="O82" i="2" s="1"/>
  <c r="X80" i="2"/>
  <c r="W81" i="2" s="1"/>
  <c r="X81" i="2" s="1"/>
  <c r="T81" i="2"/>
  <c r="S82" i="2" s="1"/>
  <c r="Z81" i="2"/>
  <c r="Y82" i="2" s="1"/>
  <c r="R81" i="2"/>
  <c r="Q82" i="2" s="1"/>
  <c r="L81" i="2"/>
  <c r="K82" i="2" s="1"/>
  <c r="U81" i="2"/>
  <c r="AA80" i="2"/>
  <c r="I83" i="2"/>
  <c r="J83" i="2" s="1"/>
  <c r="N81" i="2" l="1"/>
  <c r="M82" i="2" s="1"/>
  <c r="N82" i="2" s="1"/>
  <c r="M83" i="2" s="1"/>
  <c r="T82" i="2"/>
  <c r="S83" i="2" s="1"/>
  <c r="R82" i="2"/>
  <c r="Q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O84" i="2" s="1"/>
  <c r="U82" i="2"/>
  <c r="Z83" i="2"/>
  <c r="Y84" i="2" s="1"/>
  <c r="R83" i="2"/>
  <c r="Q84" i="2" s="1"/>
  <c r="N83" i="2"/>
  <c r="M84" i="2" s="1"/>
  <c r="L83" i="2"/>
  <c r="K84" i="2" s="1"/>
  <c r="U83" i="2"/>
  <c r="W83" i="2"/>
  <c r="X83" i="2" s="1"/>
  <c r="AA82" i="2"/>
  <c r="I85" i="2"/>
  <c r="J85" i="2" s="1"/>
  <c r="T83" i="2" l="1"/>
  <c r="S84" i="2" s="1"/>
  <c r="Z84" i="2"/>
  <c r="Y85" i="2" s="1"/>
  <c r="R84" i="2"/>
  <c r="Q85" i="2" s="1"/>
  <c r="T84" i="2"/>
  <c r="S85" i="2" s="1"/>
  <c r="P84" i="2"/>
  <c r="O85" i="2" s="1"/>
  <c r="L84" i="2"/>
  <c r="K85" i="2" s="1"/>
  <c r="N84" i="2"/>
  <c r="M85" i="2" s="1"/>
  <c r="U84" i="2"/>
  <c r="W84" i="2"/>
  <c r="X84" i="2" s="1"/>
  <c r="AA83" i="2"/>
  <c r="I86" i="2"/>
  <c r="J86" i="2" s="1"/>
  <c r="Z85" i="2" l="1"/>
  <c r="Y86" i="2" s="1"/>
  <c r="R85" i="2"/>
  <c r="Q86" i="2" s="1"/>
  <c r="T85" i="2"/>
  <c r="S86" i="2" s="1"/>
  <c r="P85" i="2"/>
  <c r="O86" i="2" s="1"/>
  <c r="N85" i="2"/>
  <c r="M86" i="2" s="1"/>
  <c r="L85" i="2"/>
  <c r="K86" i="2" s="1"/>
  <c r="U85" i="2"/>
  <c r="W85" i="2"/>
  <c r="X85" i="2" s="1"/>
  <c r="AA84" i="2"/>
  <c r="I87" i="2"/>
  <c r="J87" i="2" s="1"/>
  <c r="Z86" i="2" l="1"/>
  <c r="Y87" i="2" s="1"/>
  <c r="T86" i="2"/>
  <c r="S87" i="2" s="1"/>
  <c r="L86" i="2"/>
  <c r="K87" i="2" s="1"/>
  <c r="R86" i="2"/>
  <c r="Q87" i="2" s="1"/>
  <c r="P86" i="2"/>
  <c r="O87" i="2" s="1"/>
  <c r="N86" i="2"/>
  <c r="M87" i="2" s="1"/>
  <c r="U86" i="2"/>
  <c r="W86" i="2"/>
  <c r="X86" i="2" s="1"/>
  <c r="AA85" i="2"/>
  <c r="I88" i="2"/>
  <c r="J88" i="2" s="1"/>
  <c r="T87" i="2" l="1"/>
  <c r="S88" i="2" s="1"/>
  <c r="Z87" i="2"/>
  <c r="Y88" i="2" s="1"/>
  <c r="R87" i="2"/>
  <c r="Q88" i="2" s="1"/>
  <c r="N87" i="2"/>
  <c r="M88" i="2" s="1"/>
  <c r="P87" i="2"/>
  <c r="O88" i="2" s="1"/>
  <c r="L87" i="2"/>
  <c r="K88" i="2" s="1"/>
  <c r="U87" i="2"/>
  <c r="AA86" i="2"/>
  <c r="W87" i="2"/>
  <c r="X87" i="2" s="1"/>
  <c r="I89" i="2"/>
  <c r="J89" i="2" s="1"/>
  <c r="R88" i="2" l="1"/>
  <c r="Q89" i="2" s="1"/>
  <c r="T88" i="2"/>
  <c r="S89" i="2" s="1"/>
  <c r="Z88" i="2"/>
  <c r="Y89" i="2" s="1"/>
  <c r="P88" i="2"/>
  <c r="O89" i="2" s="1"/>
  <c r="N88" i="2"/>
  <c r="M89" i="2" s="1"/>
  <c r="L88" i="2"/>
  <c r="K89" i="2" s="1"/>
  <c r="U88" i="2"/>
  <c r="AA87" i="2"/>
  <c r="W88" i="2"/>
  <c r="X88" i="2" s="1"/>
  <c r="I90" i="2"/>
  <c r="J90" i="2" s="1"/>
  <c r="T89" i="2" l="1"/>
  <c r="S90" i="2" s="1"/>
  <c r="Z89" i="2"/>
  <c r="Y90" i="2" s="1"/>
  <c r="R89" i="2"/>
  <c r="Q90" i="2" s="1"/>
  <c r="P89" i="2"/>
  <c r="O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P90" i="2"/>
  <c r="O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P91" i="2"/>
  <c r="O92" i="2" s="1"/>
  <c r="N91" i="2"/>
  <c r="M92" i="2" s="1"/>
  <c r="L91" i="2"/>
  <c r="K92" i="2" s="1"/>
  <c r="U91" i="2"/>
  <c r="I93" i="2"/>
  <c r="J93" i="2" s="1"/>
  <c r="AA90" i="2"/>
  <c r="W91" i="2"/>
  <c r="X91" i="2" s="1"/>
  <c r="Z92" i="2" l="1"/>
  <c r="Y93" i="2" s="1"/>
  <c r="T92" i="2"/>
  <c r="S93" i="2" s="1"/>
  <c r="N92" i="2"/>
  <c r="M93" i="2" s="1"/>
  <c r="R92" i="2"/>
  <c r="Q93" i="2" s="1"/>
  <c r="P92" i="2"/>
  <c r="O93" i="2" s="1"/>
  <c r="L92" i="2"/>
  <c r="K93" i="2" s="1"/>
  <c r="U92" i="2"/>
  <c r="AA91" i="2"/>
  <c r="W92" i="2"/>
  <c r="X92" i="2" s="1"/>
  <c r="I94" i="2"/>
  <c r="J94" i="2" s="1"/>
  <c r="R93" i="2" l="1"/>
  <c r="Q94" i="2" s="1"/>
  <c r="P93" i="2"/>
  <c r="O94" i="2" s="1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T94" i="2" l="1"/>
  <c r="S95" i="2" s="1"/>
  <c r="Z94" i="2"/>
  <c r="Y95" i="2" s="1"/>
  <c r="R94" i="2"/>
  <c r="Q95" i="2" s="1"/>
  <c r="P94" i="2"/>
  <c r="O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P95" i="2"/>
  <c r="O96" i="2" s="1"/>
  <c r="L95" i="2"/>
  <c r="K96" i="2" s="1"/>
  <c r="U95" i="2"/>
  <c r="W95" i="2"/>
  <c r="X95" i="2" s="1"/>
  <c r="I97" i="2"/>
  <c r="J97" i="2" s="1"/>
  <c r="AA94" i="2"/>
  <c r="Z96" i="2" l="1"/>
  <c r="Y97" i="2" s="1"/>
  <c r="P96" i="2"/>
  <c r="O97" i="2" s="1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T97" i="2" l="1"/>
  <c r="S98" i="2" s="1"/>
  <c r="R97" i="2"/>
  <c r="Q98" i="2" s="1"/>
  <c r="Z97" i="2"/>
  <c r="Y98" i="2" s="1"/>
  <c r="P97" i="2"/>
  <c r="O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P98" i="2"/>
  <c r="O99" i="2" s="1"/>
  <c r="L98" i="2"/>
  <c r="K99" i="2" s="1"/>
  <c r="N98" i="2"/>
  <c r="M99" i="2" s="1"/>
  <c r="I100" i="2"/>
  <c r="J100" i="2" s="1"/>
  <c r="U98" i="2"/>
  <c r="W98" i="2"/>
  <c r="X98" i="2" s="1"/>
  <c r="AA97" i="2"/>
  <c r="Z99" i="2" l="1"/>
  <c r="Y100" i="2" s="1"/>
  <c r="T99" i="2"/>
  <c r="S100" i="2" s="1"/>
  <c r="R99" i="2"/>
  <c r="Q100" i="2" s="1"/>
  <c r="L99" i="2"/>
  <c r="K100" i="2" s="1"/>
  <c r="P99" i="2"/>
  <c r="O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P100" i="2"/>
  <c r="O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P101" i="2"/>
  <c r="O102" i="2" s="1"/>
  <c r="N101" i="2"/>
  <c r="M102" i="2" s="1"/>
  <c r="L101" i="2"/>
  <c r="K102" i="2" s="1"/>
  <c r="U101" i="2"/>
  <c r="W101" i="2"/>
  <c r="X101" i="2" s="1"/>
  <c r="AA100" i="2"/>
  <c r="I103" i="2"/>
  <c r="J103" i="2" s="1"/>
  <c r="T102" i="2" l="1"/>
  <c r="S103" i="2" s="1"/>
  <c r="R102" i="2"/>
  <c r="Q103" i="2" s="1"/>
  <c r="Z102" i="2"/>
  <c r="Y103" i="2" s="1"/>
  <c r="P102" i="2"/>
  <c r="O103" i="2" s="1"/>
  <c r="L102" i="2"/>
  <c r="K103" i="2" s="1"/>
  <c r="N102" i="2"/>
  <c r="M103" i="2" s="1"/>
  <c r="U102" i="2"/>
  <c r="I104" i="2"/>
  <c r="J104" i="2" s="1"/>
  <c r="AA101" i="2"/>
  <c r="W102" i="2"/>
  <c r="X102" i="2" s="1"/>
  <c r="R103" i="2" l="1"/>
  <c r="Q104" i="2" s="1"/>
  <c r="T103" i="2"/>
  <c r="S104" i="2" s="1"/>
  <c r="P103" i="2"/>
  <c r="O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R104" i="2" l="1"/>
  <c r="Q105" i="2" s="1"/>
  <c r="T104" i="2"/>
  <c r="S105" i="2" s="1"/>
  <c r="Z104" i="2"/>
  <c r="Y105" i="2" s="1"/>
  <c r="P104" i="2"/>
  <c r="O105" i="2" s="1"/>
  <c r="N104" i="2"/>
  <c r="M105" i="2" s="1"/>
  <c r="L104" i="2"/>
  <c r="K105" i="2" s="1"/>
  <c r="U104" i="2"/>
  <c r="AA103" i="2"/>
  <c r="W104" i="2"/>
  <c r="X104" i="2" s="1"/>
  <c r="I106" i="2"/>
  <c r="J106" i="2" s="1"/>
  <c r="Z105" i="2" l="1"/>
  <c r="Y106" i="2" s="1"/>
  <c r="T105" i="2"/>
  <c r="S106" i="2" s="1"/>
  <c r="R105" i="2"/>
  <c r="Q106" i="2" s="1"/>
  <c r="P105" i="2"/>
  <c r="O106" i="2" s="1"/>
  <c r="N105" i="2"/>
  <c r="M106" i="2" s="1"/>
  <c r="L105" i="2"/>
  <c r="K106" i="2" s="1"/>
  <c r="U105" i="2"/>
  <c r="AA104" i="2"/>
  <c r="W105" i="2"/>
  <c r="X105" i="2" s="1"/>
  <c r="I107" i="2"/>
  <c r="J107" i="2" s="1"/>
  <c r="P106" i="2" l="1"/>
  <c r="O107" i="2" s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R107" i="2" l="1"/>
  <c r="Q108" i="2" s="1"/>
  <c r="T107" i="2"/>
  <c r="S108" i="2" s="1"/>
  <c r="Z107" i="2"/>
  <c r="Y108" i="2" s="1"/>
  <c r="P107" i="2"/>
  <c r="O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P108" i="2"/>
  <c r="O109" i="2" s="1"/>
  <c r="N108" i="2"/>
  <c r="M109" i="2" s="1"/>
  <c r="L108" i="2"/>
  <c r="K109" i="2" s="1"/>
  <c r="U108" i="2"/>
  <c r="I110" i="2"/>
  <c r="J110" i="2" s="1"/>
  <c r="W108" i="2"/>
  <c r="X108" i="2" s="1"/>
  <c r="AA107" i="2"/>
  <c r="Z109" i="2" l="1"/>
  <c r="Y110" i="2" s="1"/>
  <c r="T109" i="2"/>
  <c r="S110" i="2" s="1"/>
  <c r="R109" i="2"/>
  <c r="Q110" i="2" s="1"/>
  <c r="P109" i="2"/>
  <c r="O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P110" i="2"/>
  <c r="O111" i="2" s="1"/>
  <c r="N110" i="2"/>
  <c r="M111" i="2" s="1"/>
  <c r="L110" i="2"/>
  <c r="K111" i="2" s="1"/>
  <c r="U110" i="2"/>
  <c r="I112" i="2"/>
  <c r="J112" i="2" s="1"/>
  <c r="AA109" i="2"/>
  <c r="W110" i="2"/>
  <c r="X110" i="2" s="1"/>
  <c r="Z111" i="2" l="1"/>
  <c r="Y112" i="2" s="1"/>
  <c r="R111" i="2"/>
  <c r="Q112" i="2" s="1"/>
  <c r="T111" i="2"/>
  <c r="S112" i="2" s="1"/>
  <c r="P111" i="2"/>
  <c r="O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P112" i="2"/>
  <c r="O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P113" i="2"/>
  <c r="O114" i="2" s="1"/>
  <c r="N113" i="2"/>
  <c r="M114" i="2" s="1"/>
  <c r="L113" i="2"/>
  <c r="K114" i="2" s="1"/>
  <c r="U113" i="2"/>
  <c r="W113" i="2"/>
  <c r="X113" i="2" s="1"/>
  <c r="AA112" i="2"/>
  <c r="I115" i="2"/>
  <c r="J115" i="2" s="1"/>
  <c r="T114" i="2" l="1"/>
  <c r="S115" i="2" s="1"/>
  <c r="Z114" i="2"/>
  <c r="Y115" i="2" s="1"/>
  <c r="R114" i="2"/>
  <c r="Q115" i="2" s="1"/>
  <c r="P114" i="2"/>
  <c r="O115" i="2" s="1"/>
  <c r="L114" i="2"/>
  <c r="K115" i="2" s="1"/>
  <c r="N114" i="2"/>
  <c r="M115" i="2" s="1"/>
  <c r="U114" i="2"/>
  <c r="W114" i="2"/>
  <c r="X114" i="2" s="1"/>
  <c r="AA113" i="2"/>
  <c r="I116" i="2"/>
  <c r="J116" i="2" s="1"/>
  <c r="R115" i="2" l="1"/>
  <c r="Q116" i="2" s="1"/>
  <c r="T115" i="2"/>
  <c r="S116" i="2" s="1"/>
  <c r="Z115" i="2"/>
  <c r="Y116" i="2" s="1"/>
  <c r="P115" i="2"/>
  <c r="O116" i="2" s="1"/>
  <c r="N115" i="2"/>
  <c r="M116" i="2" s="1"/>
  <c r="L115" i="2"/>
  <c r="K116" i="2" s="1"/>
  <c r="U115" i="2"/>
  <c r="W115" i="2"/>
  <c r="X115" i="2" s="1"/>
  <c r="AA114" i="2"/>
  <c r="I117" i="2"/>
  <c r="J117" i="2" s="1"/>
  <c r="T116" i="2" l="1"/>
  <c r="S117" i="2" s="1"/>
  <c r="Z116" i="2"/>
  <c r="Y117" i="2" s="1"/>
  <c r="R116" i="2"/>
  <c r="Q117" i="2" s="1"/>
  <c r="N116" i="2"/>
  <c r="M117" i="2" s="1"/>
  <c r="P116" i="2"/>
  <c r="O117" i="2" s="1"/>
  <c r="L116" i="2"/>
  <c r="K117" i="2" s="1"/>
  <c r="U116" i="2"/>
  <c r="AA115" i="2"/>
  <c r="W116" i="2"/>
  <c r="X116" i="2" s="1"/>
  <c r="I118" i="2"/>
  <c r="J118" i="2" s="1"/>
  <c r="Z117" i="2" l="1"/>
  <c r="Y118" i="2" s="1"/>
  <c r="R117" i="2"/>
  <c r="Q118" i="2" s="1"/>
  <c r="T117" i="2"/>
  <c r="S118" i="2" s="1"/>
  <c r="P117" i="2"/>
  <c r="O118" i="2" s="1"/>
  <c r="N117" i="2"/>
  <c r="M118" i="2" s="1"/>
  <c r="L117" i="2"/>
  <c r="K118" i="2" s="1"/>
  <c r="U117" i="2"/>
  <c r="I119" i="2"/>
  <c r="J119" i="2" s="1"/>
  <c r="W117" i="2"/>
  <c r="X117" i="2" s="1"/>
  <c r="AA116" i="2"/>
  <c r="R118" i="2" l="1"/>
  <c r="Q119" i="2" s="1"/>
  <c r="T118" i="2"/>
  <c r="S119" i="2" s="1"/>
  <c r="Z118" i="2"/>
  <c r="Y119" i="2" s="1"/>
  <c r="P118" i="2"/>
  <c r="O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P119" i="2"/>
  <c r="O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P120" i="2"/>
  <c r="O121" i="2" s="1"/>
  <c r="N120" i="2"/>
  <c r="M121" i="2" s="1"/>
  <c r="L120" i="2"/>
  <c r="K121" i="2" s="1"/>
  <c r="U120" i="2"/>
  <c r="W120" i="2"/>
  <c r="X120" i="2" s="1"/>
  <c r="AA119" i="2"/>
  <c r="I122" i="2"/>
  <c r="J122" i="2" s="1"/>
  <c r="T121" i="2" l="1"/>
  <c r="S122" i="2" s="1"/>
  <c r="Z121" i="2"/>
  <c r="Y122" i="2" s="1"/>
  <c r="R121" i="2"/>
  <c r="Q122" i="2" s="1"/>
  <c r="L121" i="2"/>
  <c r="K122" i="2" s="1"/>
  <c r="P121" i="2"/>
  <c r="O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P122" i="2"/>
  <c r="O123" i="2" s="1"/>
  <c r="N122" i="2"/>
  <c r="M123" i="2" s="1"/>
  <c r="L122" i="2"/>
  <c r="K123" i="2" s="1"/>
  <c r="U122" i="2"/>
  <c r="AA121" i="2"/>
  <c r="W122" i="2"/>
  <c r="X122" i="2" s="1"/>
  <c r="I124" i="2"/>
  <c r="J124" i="2" s="1"/>
  <c r="T123" i="2" l="1"/>
  <c r="S124" i="2" s="1"/>
  <c r="Z123" i="2"/>
  <c r="Y124" i="2" s="1"/>
  <c r="R123" i="2"/>
  <c r="Q124" i="2" s="1"/>
  <c r="P123" i="2"/>
  <c r="O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P124" i="2"/>
  <c r="O125" i="2" s="1"/>
  <c r="N124" i="2"/>
  <c r="M125" i="2" s="1"/>
  <c r="L124" i="2"/>
  <c r="K125" i="2" s="1"/>
  <c r="U124" i="2"/>
  <c r="I126" i="2"/>
  <c r="J126" i="2" s="1"/>
  <c r="W124" i="2"/>
  <c r="X124" i="2" s="1"/>
  <c r="AA123" i="2"/>
  <c r="R125" i="2" l="1"/>
  <c r="Q126" i="2" s="1"/>
  <c r="T125" i="2"/>
  <c r="S126" i="2" s="1"/>
  <c r="Z125" i="2"/>
  <c r="Y126" i="2" s="1"/>
  <c r="L125" i="2"/>
  <c r="K126" i="2" s="1"/>
  <c r="P125" i="2"/>
  <c r="O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P126" i="2"/>
  <c r="O127" i="2" s="1"/>
  <c r="N126" i="2"/>
  <c r="M127" i="2" s="1"/>
  <c r="L126" i="2"/>
  <c r="K127" i="2" s="1"/>
  <c r="U126" i="2"/>
  <c r="I128" i="2"/>
  <c r="J128" i="2" s="1"/>
  <c r="W126" i="2"/>
  <c r="X126" i="2" s="1"/>
  <c r="AA125" i="2"/>
  <c r="Z127" i="2" l="1"/>
  <c r="Y128" i="2" s="1"/>
  <c r="T127" i="2"/>
  <c r="S128" i="2" s="1"/>
  <c r="R127" i="2"/>
  <c r="Q128" i="2" s="1"/>
  <c r="N127" i="2"/>
  <c r="M128" i="2" s="1"/>
  <c r="P127" i="2"/>
  <c r="O128" i="2" s="1"/>
  <c r="L127" i="2"/>
  <c r="K128" i="2" s="1"/>
  <c r="U127" i="2"/>
  <c r="W127" i="2"/>
  <c r="X127" i="2" s="1"/>
  <c r="AA126" i="2"/>
  <c r="I129" i="2"/>
  <c r="J129" i="2" s="1"/>
  <c r="T128" i="2" l="1"/>
  <c r="S129" i="2" s="1"/>
  <c r="Z128" i="2"/>
  <c r="Y129" i="2" s="1"/>
  <c r="R128" i="2"/>
  <c r="Q129" i="2" s="1"/>
  <c r="L128" i="2"/>
  <c r="K129" i="2" s="1"/>
  <c r="P128" i="2"/>
  <c r="O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P129" i="2"/>
  <c r="O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P130" i="2"/>
  <c r="O131" i="2" s="1"/>
  <c r="N130" i="2"/>
  <c r="M131" i="2" s="1"/>
  <c r="L130" i="2"/>
  <c r="K131" i="2" s="1"/>
  <c r="U130" i="2"/>
  <c r="AA129" i="2"/>
  <c r="W130" i="2"/>
  <c r="X130" i="2" s="1"/>
  <c r="I132" i="2"/>
  <c r="J132" i="2" s="1"/>
  <c r="T131" i="2" l="1"/>
  <c r="S132" i="2" s="1"/>
  <c r="R131" i="2"/>
  <c r="Q132" i="2" s="1"/>
  <c r="Z131" i="2"/>
  <c r="Y132" i="2" s="1"/>
  <c r="P131" i="2"/>
  <c r="O132" i="2" s="1"/>
  <c r="L131" i="2"/>
  <c r="K132" i="2" s="1"/>
  <c r="N131" i="2"/>
  <c r="M132" i="2" s="1"/>
  <c r="U131" i="2"/>
  <c r="I133" i="2"/>
  <c r="J133" i="2" s="1"/>
  <c r="AA130" i="2"/>
  <c r="W131" i="2"/>
  <c r="X131" i="2" s="1"/>
  <c r="R132" i="2" l="1"/>
  <c r="Q133" i="2" s="1"/>
  <c r="T132" i="2"/>
  <c r="S133" i="2" s="1"/>
  <c r="Z132" i="2"/>
  <c r="Y133" i="2" s="1"/>
  <c r="P132" i="2"/>
  <c r="O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P133" i="2"/>
  <c r="O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P134" i="2"/>
  <c r="O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P135" i="2"/>
  <c r="O136" i="2" s="1"/>
  <c r="N135" i="2"/>
  <c r="M136" i="2" s="1"/>
  <c r="U135" i="2"/>
  <c r="AA134" i="2"/>
  <c r="W135" i="2"/>
  <c r="X135" i="2" s="1"/>
  <c r="R136" i="2" l="1"/>
  <c r="Z136" i="2"/>
  <c r="T136" i="2"/>
  <c r="P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<sst xmlns="http://schemas.openxmlformats.org/spreadsheetml/2006/main" count="200" uniqueCount="146">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</sst>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09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13984"/>
        <c:axId val="68255744"/>
      </c:barChart>
      <c:catAx>
        <c:axId val="45913984"/>
        <c:scaling>
          <c:orientation val="minMax"/>
        </c:scaling>
        <c:delete val="0"/>
        <c:axPos val="b"/>
        <c:majorTickMark val="out"/>
        <c:minorTickMark val="none"/>
        <c:tickLblPos val="nextTo"/>
        <c:crossAx val="68255744"/>
        <c:crosses val="autoZero"/>
        <c:auto val="1"/>
        <c:lblAlgn val="ctr"/>
        <c:lblOffset val="100"/>
        <c:noMultiLvlLbl val="0"/>
      </c:catAx>
      <c:valAx>
        <c:axId val="68255744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45913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496384"/>
        <c:axId val="68514560"/>
      </c:barChart>
      <c:catAx>
        <c:axId val="68496384"/>
        <c:scaling>
          <c:orientation val="minMax"/>
        </c:scaling>
        <c:delete val="0"/>
        <c:axPos val="b"/>
        <c:majorTickMark val="out"/>
        <c:minorTickMark val="none"/>
        <c:tickLblPos val="nextTo"/>
        <c:crossAx val="68514560"/>
        <c:crosses val="autoZero"/>
        <c:auto val="1"/>
        <c:lblAlgn val="ctr"/>
        <c:lblOffset val="100"/>
        <c:noMultiLvlLbl val="0"/>
      </c:catAx>
      <c:valAx>
        <c:axId val="685145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8496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87712"/>
        <c:axId val="70972928"/>
      </c:scatterChart>
      <c:valAx>
        <c:axId val="6998771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70972928"/>
        <c:crosses val="autoZero"/>
        <c:crossBetween val="midCat"/>
      </c:valAx>
      <c:valAx>
        <c:axId val="70972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99877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23424"/>
        <c:axId val="73781632"/>
      </c:scatterChart>
      <c:valAx>
        <c:axId val="736234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73781632"/>
        <c:crosses val="autoZero"/>
        <c:crossBetween val="midCat"/>
      </c:valAx>
      <c:valAx>
        <c:axId val="73781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73623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57152"/>
        <c:axId val="74827648"/>
      </c:scatterChart>
      <c:valAx>
        <c:axId val="746571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74827648"/>
        <c:crosses val="autoZero"/>
        <c:crossBetween val="midCat"/>
      </c:valAx>
      <c:valAx>
        <c:axId val="74827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74657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11072"/>
        <c:axId val="86612992"/>
      </c:scatterChart>
      <c:valAx>
        <c:axId val="8661107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86612992"/>
        <c:crosses val="autoZero"/>
        <c:crossBetween val="midCat"/>
      </c:valAx>
      <c:valAx>
        <c:axId val="86612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86611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41984"/>
        <c:axId val="88085248"/>
      </c:scatterChart>
      <c:valAx>
        <c:axId val="8684198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88085248"/>
        <c:crosses val="autoZero"/>
        <c:crossBetween val="midCat"/>
      </c:valAx>
      <c:valAx>
        <c:axId val="88085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86841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0.1410759647863532"/>
                  <c:y val="-0.12052841719878346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18336"/>
        <c:axId val="88321024"/>
      </c:scatterChart>
      <c:valAx>
        <c:axId val="8831833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88321024"/>
        <c:crosses val="autoZero"/>
        <c:crossBetween val="midCat"/>
      </c:valAx>
      <c:valAx>
        <c:axId val="88321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8318336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13952"/>
        <c:axId val="94415872"/>
      </c:scatterChart>
      <c:valAx>
        <c:axId val="944139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4415872"/>
        <c:crosses val="autoZero"/>
        <c:crossBetween val="midCat"/>
      </c:valAx>
      <c:valAx>
        <c:axId val="94415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4413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24576"/>
        <c:axId val="95634944"/>
      </c:scatterChart>
      <c:valAx>
        <c:axId val="9562457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5634944"/>
        <c:crosses val="autoZero"/>
        <c:crossBetween val="midCat"/>
      </c:valAx>
      <c:valAx>
        <c:axId val="95634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56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59520"/>
        <c:axId val="95661440"/>
      </c:scatterChart>
      <c:valAx>
        <c:axId val="9565952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5661440"/>
        <c:crosses val="autoZero"/>
        <c:crossBetween val="midCat"/>
      </c:valAx>
      <c:valAx>
        <c:axId val="95661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95659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17152"/>
        <c:axId val="116696192"/>
      </c:areaChart>
      <c:catAx>
        <c:axId val="11561715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16696192"/>
        <c:crosses val="autoZero"/>
        <c:auto val="1"/>
        <c:lblAlgn val="ctr"/>
        <c:lblOffset val="100"/>
        <c:noMultiLvlLbl val="0"/>
      </c:catAx>
      <c:valAx>
        <c:axId val="1166961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5617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am241"/>
    </sheetNames>
    <sheetDataSet>
      <sheetData sheetId="0"/>
      <sheetData sheetId="1"/>
      <sheetData sheetId="2">
        <row r="1">
          <cell r="B1">
            <v>0</v>
          </cell>
          <cell r="C1">
            <v>73</v>
          </cell>
          <cell r="D1">
            <v>146</v>
          </cell>
          <cell r="E1">
            <v>219</v>
          </cell>
          <cell r="F1">
            <v>292</v>
          </cell>
          <cell r="G1">
            <v>365</v>
          </cell>
          <cell r="H1">
            <v>438</v>
          </cell>
          <cell r="I1">
            <v>511</v>
          </cell>
          <cell r="J1">
            <v>584</v>
          </cell>
          <cell r="K1">
            <v>657</v>
          </cell>
          <cell r="L1">
            <v>730</v>
          </cell>
          <cell r="M1">
            <v>803</v>
          </cell>
          <cell r="N1">
            <v>876</v>
          </cell>
          <cell r="O1">
            <v>949</v>
          </cell>
          <cell r="P1">
            <v>1022</v>
          </cell>
          <cell r="Q1">
            <v>1095</v>
          </cell>
          <cell r="R1">
            <v>1168</v>
          </cell>
          <cell r="S1">
            <v>1241</v>
          </cell>
          <cell r="T1">
            <v>1314</v>
          </cell>
          <cell r="U1">
            <v>1387</v>
          </cell>
          <cell r="V1">
            <v>1460</v>
          </cell>
          <cell r="W1">
            <v>1533</v>
          </cell>
          <cell r="X1">
            <v>1606</v>
          </cell>
          <cell r="Y1">
            <v>1679</v>
          </cell>
          <cell r="Z1">
            <v>1752</v>
          </cell>
          <cell r="AA1">
            <v>1825</v>
          </cell>
          <cell r="AB1">
            <v>1898</v>
          </cell>
          <cell r="AC1">
            <v>1971</v>
          </cell>
          <cell r="AD1">
            <v>2044</v>
          </cell>
          <cell r="AE1">
            <v>2117</v>
          </cell>
          <cell r="AF1">
            <v>2190</v>
          </cell>
          <cell r="AG1">
            <v>2263</v>
          </cell>
          <cell r="AH1">
            <v>2336</v>
          </cell>
          <cell r="AI1">
            <v>2409</v>
          </cell>
          <cell r="AJ1">
            <v>2482</v>
          </cell>
          <cell r="AK1">
            <v>2555</v>
          </cell>
          <cell r="AL1">
            <v>2628</v>
          </cell>
          <cell r="AM1">
            <v>2701</v>
          </cell>
          <cell r="AN1">
            <v>2774</v>
          </cell>
          <cell r="AO1">
            <v>2847</v>
          </cell>
          <cell r="AP1">
            <v>2920</v>
          </cell>
          <cell r="AQ1">
            <v>2993</v>
          </cell>
          <cell r="AR1">
            <v>3066</v>
          </cell>
          <cell r="AS1">
            <v>3139</v>
          </cell>
          <cell r="AT1">
            <v>3212</v>
          </cell>
          <cell r="AU1">
            <v>3285</v>
          </cell>
          <cell r="AV1">
            <v>3358</v>
          </cell>
          <cell r="AW1">
            <v>3431</v>
          </cell>
          <cell r="AX1">
            <v>3504</v>
          </cell>
          <cell r="AY1">
            <v>3577</v>
          </cell>
        </row>
        <row r="2">
          <cell r="A2" t="str">
            <v>Pu239</v>
          </cell>
          <cell r="B2">
            <v>2.1781999999999999E-3</v>
          </cell>
          <cell r="C2">
            <v>2.1667000000000001E-3</v>
          </cell>
          <cell r="D2">
            <v>2.1588000000000002E-3</v>
          </cell>
          <cell r="E2">
            <v>2.1508E-3</v>
          </cell>
          <cell r="F2">
            <v>2.1424999999999999E-3</v>
          </cell>
          <cell r="G2">
            <v>2.134E-3</v>
          </cell>
          <cell r="H2">
            <v>2.1253000000000001E-3</v>
          </cell>
          <cell r="I2">
            <v>2.1164000000000001E-3</v>
          </cell>
          <cell r="J2">
            <v>2.1072999999999999E-3</v>
          </cell>
          <cell r="K2">
            <v>2.0980999999999999E-3</v>
          </cell>
          <cell r="L2">
            <v>2.0887000000000002E-3</v>
          </cell>
          <cell r="M2">
            <v>2.0791E-3</v>
          </cell>
          <cell r="N2">
            <v>2.0693999999999999E-3</v>
          </cell>
          <cell r="O2">
            <v>2.0595000000000001E-3</v>
          </cell>
          <cell r="P2">
            <v>2.0495000000000001E-3</v>
          </cell>
          <cell r="Q2">
            <v>2.0393999999999998E-3</v>
          </cell>
          <cell r="R2">
            <v>2.0290999999999998E-3</v>
          </cell>
          <cell r="S2">
            <v>2.0187999999999998E-3</v>
          </cell>
          <cell r="T2">
            <v>2.0083000000000002E-3</v>
          </cell>
          <cell r="U2">
            <v>1.9976999999999998E-3</v>
          </cell>
          <cell r="V2">
            <v>1.9870000000000001E-3</v>
          </cell>
          <cell r="W2">
            <v>1.9762E-3</v>
          </cell>
          <cell r="X2">
            <v>1.9653000000000001E-3</v>
          </cell>
          <cell r="Y2">
            <v>1.9543E-3</v>
          </cell>
          <cell r="Z2">
            <v>1.9432E-3</v>
          </cell>
          <cell r="AA2">
            <v>1.9321E-3</v>
          </cell>
          <cell r="AB2">
            <v>1.9208999999999999E-3</v>
          </cell>
          <cell r="AC2">
            <v>1.9096E-3</v>
          </cell>
          <cell r="AD2">
            <v>1.8982000000000001E-3</v>
          </cell>
          <cell r="AE2">
            <v>1.8867999999999999E-3</v>
          </cell>
          <cell r="AF2">
            <v>1.8753000000000001E-3</v>
          </cell>
          <cell r="AG2">
            <v>1.8638000000000001E-3</v>
          </cell>
          <cell r="AH2">
            <v>1.8522E-3</v>
          </cell>
          <cell r="AI2">
            <v>1.8404999999999999E-3</v>
          </cell>
          <cell r="AJ2">
            <v>1.8288E-3</v>
          </cell>
          <cell r="AK2">
            <v>1.8171000000000001E-3</v>
          </cell>
          <cell r="AL2">
            <v>1.8052999999999999E-3</v>
          </cell>
          <cell r="AM2">
            <v>1.7935E-3</v>
          </cell>
          <cell r="AN2">
            <v>1.7817E-3</v>
          </cell>
          <cell r="AO2">
            <v>1.7698E-3</v>
          </cell>
          <cell r="AP2">
            <v>1.7579E-3</v>
          </cell>
          <cell r="AQ2">
            <v>1.7459000000000001E-3</v>
          </cell>
          <cell r="AR2">
            <v>1.7339E-3</v>
          </cell>
          <cell r="AS2">
            <v>1.7218999999999999E-3</v>
          </cell>
          <cell r="AT2">
            <v>1.7099000000000001E-3</v>
          </cell>
          <cell r="AU2">
            <v>1.6979E-3</v>
          </cell>
          <cell r="AV2">
            <v>1.6858000000000001E-3</v>
          </cell>
          <cell r="AW2">
            <v>1.6737E-3</v>
          </cell>
          <cell r="AX2">
            <v>1.6616000000000001E-3</v>
          </cell>
          <cell r="AY2">
            <v>1.6494999999999999E-3</v>
          </cell>
        </row>
        <row r="3">
          <cell r="A3" t="str">
            <v>Pu240</v>
          </cell>
          <cell r="B3">
            <v>7.2334999999999999E-4</v>
          </cell>
          <cell r="C3">
            <v>7.3063999999999996E-4</v>
          </cell>
          <cell r="D3">
            <v>7.3777000000000001E-4</v>
          </cell>
          <cell r="E3">
            <v>7.4474000000000003E-4</v>
          </cell>
          <cell r="F3">
            <v>7.5155000000000003E-4</v>
          </cell>
          <cell r="G3">
            <v>7.582E-4</v>
          </cell>
          <cell r="H3">
            <v>7.6469000000000005E-4</v>
          </cell>
          <cell r="I3">
            <v>7.7101999999999997E-4</v>
          </cell>
          <cell r="J3">
            <v>7.7718000000000004E-4</v>
          </cell>
          <cell r="K3">
            <v>7.8317999999999997E-4</v>
          </cell>
          <cell r="L3">
            <v>7.8901999999999998E-4</v>
          </cell>
          <cell r="M3">
            <v>7.9469000000000002E-4</v>
          </cell>
          <cell r="N3">
            <v>8.0018999999999999E-4</v>
          </cell>
          <cell r="O3">
            <v>8.0553000000000005E-4</v>
          </cell>
          <cell r="P3">
            <v>8.1070999999999997E-4</v>
          </cell>
          <cell r="Q3">
            <v>8.1572000000000003E-4</v>
          </cell>
          <cell r="R3">
            <v>8.2056999999999996E-4</v>
          </cell>
          <cell r="S3">
            <v>8.2525999999999997E-4</v>
          </cell>
          <cell r="T3">
            <v>8.2978000000000001E-4</v>
          </cell>
          <cell r="U3">
            <v>8.3414000000000003E-4</v>
          </cell>
          <cell r="V3">
            <v>8.3832999999999998E-4</v>
          </cell>
          <cell r="W3">
            <v>8.4236999999999995E-4</v>
          </cell>
          <cell r="X3">
            <v>8.4623999999999995E-4</v>
          </cell>
          <cell r="Y3">
            <v>8.4995000000000003E-4</v>
          </cell>
          <cell r="Z3">
            <v>8.5349999999999998E-4</v>
          </cell>
          <cell r="AA3">
            <v>8.5689000000000002E-4</v>
          </cell>
          <cell r="AB3">
            <v>8.6012000000000003E-4</v>
          </cell>
          <cell r="AC3">
            <v>8.6319999999999995E-4</v>
          </cell>
          <cell r="AD3">
            <v>8.6611000000000001E-4</v>
          </cell>
          <cell r="AE3">
            <v>8.6886999999999999E-4</v>
          </cell>
          <cell r="AF3">
            <v>8.7148E-4</v>
          </cell>
          <cell r="AG3">
            <v>8.7392999999999998E-4</v>
          </cell>
          <cell r="AH3">
            <v>8.7622999999999998E-4</v>
          </cell>
          <cell r="AI3">
            <v>8.7836999999999995E-4</v>
          </cell>
          <cell r="AJ3">
            <v>8.8035999999999995E-4</v>
          </cell>
          <cell r="AK3">
            <v>8.8221000000000003E-4</v>
          </cell>
          <cell r="AL3">
            <v>8.8389999999999996E-4</v>
          </cell>
          <cell r="AM3">
            <v>8.8544000000000003E-4</v>
          </cell>
          <cell r="AN3">
            <v>8.8683999999999996E-4</v>
          </cell>
          <cell r="AO3">
            <v>8.8809000000000002E-4</v>
          </cell>
          <cell r="AP3">
            <v>8.8920000000000004E-4</v>
          </cell>
          <cell r="AQ3">
            <v>8.9015999999999997E-4</v>
          </cell>
          <cell r="AR3">
            <v>8.9097999999999998E-4</v>
          </cell>
          <cell r="AS3">
            <v>8.9165999999999996E-4</v>
          </cell>
          <cell r="AT3">
            <v>8.922E-4</v>
          </cell>
          <cell r="AU3">
            <v>8.9260000000000001E-4</v>
          </cell>
          <cell r="AV3">
            <v>8.9285999999999999E-4</v>
          </cell>
          <cell r="AW3">
            <v>8.9298000000000003E-4</v>
          </cell>
          <cell r="AX3">
            <v>8.9296999999999998E-4</v>
          </cell>
          <cell r="AY3">
            <v>8.9282000000000001E-4</v>
          </cell>
        </row>
        <row r="4">
          <cell r="A4" t="str">
            <v>Pu241</v>
          </cell>
          <cell r="B4">
            <v>1.506E-4</v>
          </cell>
          <cell r="C4">
            <v>1.4724000000000001E-4</v>
          </cell>
          <cell r="D4">
            <v>1.4415000000000001E-4</v>
          </cell>
          <cell r="E4">
            <v>1.4130999999999999E-4</v>
          </cell>
          <cell r="F4">
            <v>1.3871000000000001E-4</v>
          </cell>
          <cell r="G4">
            <v>1.3632999999999999E-4</v>
          </cell>
          <cell r="H4">
            <v>1.3416E-4</v>
          </cell>
          <cell r="I4">
            <v>1.3218999999999999E-4</v>
          </cell>
          <cell r="J4">
            <v>1.3039E-4</v>
          </cell>
          <cell r="K4">
            <v>1.2877E-4</v>
          </cell>
          <cell r="L4">
            <v>1.2731E-4</v>
          </cell>
          <cell r="M4">
            <v>1.2599E-4</v>
          </cell>
          <cell r="N4">
            <v>1.2480999999999999E-4</v>
          </cell>
          <cell r="O4">
            <v>1.2376999999999999E-4</v>
          </cell>
          <cell r="P4">
            <v>1.2284000000000001E-4</v>
          </cell>
          <cell r="Q4">
            <v>1.2202E-4</v>
          </cell>
          <cell r="R4">
            <v>1.2129999999999999E-4</v>
          </cell>
          <cell r="S4">
            <v>1.2068E-4</v>
          </cell>
          <cell r="T4">
            <v>1.2015000000000001E-4</v>
          </cell>
          <cell r="U4">
            <v>1.1969E-4</v>
          </cell>
          <cell r="V4">
            <v>1.1932E-4</v>
          </cell>
          <cell r="W4">
            <v>1.1901E-4</v>
          </cell>
          <cell r="X4">
            <v>1.1875999999999999E-4</v>
          </cell>
          <cell r="Y4">
            <v>1.1857E-4</v>
          </cell>
          <cell r="Z4">
            <v>1.1843E-4</v>
          </cell>
          <cell r="AA4">
            <v>1.1834E-4</v>
          </cell>
          <cell r="AB4">
            <v>1.183E-4</v>
          </cell>
          <cell r="AC4">
            <v>1.1828999999999999E-4</v>
          </cell>
          <cell r="AD4">
            <v>1.1832000000000001E-4</v>
          </cell>
          <cell r="AE4">
            <v>1.1836999999999999E-4</v>
          </cell>
          <cell r="AF4">
            <v>1.1846E-4</v>
          </cell>
          <cell r="AG4">
            <v>1.1857E-4</v>
          </cell>
          <cell r="AH4">
            <v>1.187E-4</v>
          </cell>
          <cell r="AI4">
            <v>1.1885E-4</v>
          </cell>
          <cell r="AJ4">
            <v>1.1902E-4</v>
          </cell>
          <cell r="AK4">
            <v>1.192E-4</v>
          </cell>
          <cell r="AL4">
            <v>1.1938999999999999E-4</v>
          </cell>
          <cell r="AM4">
            <v>1.1959E-4</v>
          </cell>
          <cell r="AN4">
            <v>1.198E-4</v>
          </cell>
          <cell r="AO4">
            <v>1.2001E-4</v>
          </cell>
          <cell r="AP4">
            <v>1.2023000000000001E-4</v>
          </cell>
          <cell r="AQ4">
            <v>1.2044000000000001E-4</v>
          </cell>
          <cell r="AR4">
            <v>1.2066E-4</v>
          </cell>
          <cell r="AS4">
            <v>1.2087999999999999E-4</v>
          </cell>
          <cell r="AT4">
            <v>1.2108999999999999E-4</v>
          </cell>
          <cell r="AU4">
            <v>1.2129999999999999E-4</v>
          </cell>
          <cell r="AV4">
            <v>1.215E-4</v>
          </cell>
          <cell r="AW4">
            <v>1.217E-4</v>
          </cell>
          <cell r="AX4">
            <v>1.2188000000000001E-4</v>
          </cell>
          <cell r="AY4">
            <v>1.2207E-4</v>
          </cell>
        </row>
        <row r="5">
          <cell r="A5" t="str">
            <v>Pu242</v>
          </cell>
          <cell r="B5">
            <v>5.1218000000000003E-5</v>
          </cell>
          <cell r="C5">
            <v>5.1932999999999999E-5</v>
          </cell>
          <cell r="D5">
            <v>5.2611999999999997E-5</v>
          </cell>
          <cell r="E5">
            <v>5.3258999999999999E-5</v>
          </cell>
          <cell r="F5">
            <v>5.3875999999999997E-5</v>
          </cell>
          <cell r="G5">
            <v>5.4463999999999999E-5</v>
          </cell>
          <cell r="H5">
            <v>5.5027E-5</v>
          </cell>
          <cell r="I5">
            <v>5.5563999999999999E-5</v>
          </cell>
          <cell r="J5">
            <v>5.6079000000000003E-5</v>
          </cell>
          <cell r="K5">
            <v>5.6573000000000002E-5</v>
          </cell>
          <cell r="L5">
            <v>5.7046999999999998E-5</v>
          </cell>
          <cell r="M5">
            <v>5.7503000000000002E-5</v>
          </cell>
          <cell r="N5">
            <v>5.7942000000000002E-5</v>
          </cell>
          <cell r="O5">
            <v>5.8365000000000001E-5</v>
          </cell>
          <cell r="P5">
            <v>5.8773999999999997E-5</v>
          </cell>
          <cell r="Q5">
            <v>5.9169000000000002E-5</v>
          </cell>
          <cell r="R5">
            <v>5.9552000000000002E-5</v>
          </cell>
          <cell r="S5">
            <v>5.9923999999999998E-5</v>
          </cell>
          <cell r="T5">
            <v>6.0285000000000003E-5</v>
          </cell>
          <cell r="U5">
            <v>6.0637000000000002E-5</v>
          </cell>
          <cell r="V5">
            <v>6.0979E-5</v>
          </cell>
          <cell r="W5">
            <v>6.1314000000000003E-5</v>
          </cell>
          <cell r="X5">
            <v>6.1641000000000002E-5</v>
          </cell>
          <cell r="Y5">
            <v>6.1960999999999998E-5</v>
          </cell>
          <cell r="Z5">
            <v>6.2274999999999996E-5</v>
          </cell>
          <cell r="AA5">
            <v>6.2582999999999994E-5</v>
          </cell>
          <cell r="AB5">
            <v>6.2885999999999994E-5</v>
          </cell>
          <cell r="AC5">
            <v>6.3183999999999997E-5</v>
          </cell>
          <cell r="AD5">
            <v>6.3478000000000004E-5</v>
          </cell>
          <cell r="AE5">
            <v>6.3768000000000003E-5</v>
          </cell>
          <cell r="AF5">
            <v>6.4053999999999994E-5</v>
          </cell>
          <cell r="AG5">
            <v>6.4337000000000004E-5</v>
          </cell>
          <cell r="AH5">
            <v>6.4616000000000006E-5</v>
          </cell>
          <cell r="AI5">
            <v>6.4893000000000004E-5</v>
          </cell>
          <cell r="AJ5">
            <v>6.5166999999999995E-5</v>
          </cell>
          <cell r="AK5">
            <v>6.5438999999999995E-5</v>
          </cell>
          <cell r="AL5">
            <v>6.5708000000000002E-5</v>
          </cell>
          <cell r="AM5">
            <v>6.5975000000000004E-5</v>
          </cell>
          <cell r="AN5">
            <v>6.6241000000000005E-5</v>
          </cell>
          <cell r="AO5">
            <v>6.6503999999999999E-5</v>
          </cell>
          <cell r="AP5">
            <v>6.6765000000000002E-5</v>
          </cell>
          <cell r="AQ5">
            <v>6.7024000000000001E-5</v>
          </cell>
          <cell r="AR5">
            <v>6.7281999999999997E-5</v>
          </cell>
          <cell r="AS5">
            <v>6.7538000000000003E-5</v>
          </cell>
          <cell r="AT5">
            <v>6.7792000000000004E-5</v>
          </cell>
          <cell r="AU5">
            <v>6.8044000000000001E-5</v>
          </cell>
          <cell r="AV5">
            <v>6.8294999999999996E-5</v>
          </cell>
          <cell r="AW5">
            <v>6.8542999999999997E-5</v>
          </cell>
          <cell r="AX5">
            <v>6.8789999999999997E-5</v>
          </cell>
          <cell r="AY5">
            <v>6.9035000000000006E-5</v>
          </cell>
        </row>
        <row r="6">
          <cell r="A6" t="str">
            <v>Am241</v>
          </cell>
          <cell r="B6">
            <v>3.2614000000000003E-5</v>
          </cell>
          <cell r="C6">
            <v>3.2765999999999998E-5</v>
          </cell>
          <cell r="D6">
            <v>3.2879000000000001E-5</v>
          </cell>
          <cell r="E6">
            <v>3.2954000000000003E-5</v>
          </cell>
          <cell r="F6">
            <v>3.2994999999999998E-5</v>
          </cell>
          <cell r="G6">
            <v>3.3003999999999998E-5</v>
          </cell>
          <cell r="H6">
            <v>3.2985999999999999E-5</v>
          </cell>
          <cell r="I6">
            <v>3.2941999999999997E-5</v>
          </cell>
          <cell r="J6">
            <v>3.2876999999999997E-5</v>
          </cell>
          <cell r="K6">
            <v>3.2790999999999998E-5</v>
          </cell>
          <cell r="L6">
            <v>3.2688999999999998E-5</v>
          </cell>
          <cell r="M6">
            <v>3.2571999999999999E-5</v>
          </cell>
          <cell r="N6">
            <v>3.2441000000000003E-5</v>
          </cell>
          <cell r="O6">
            <v>3.2299999999999999E-5</v>
          </cell>
          <cell r="P6">
            <v>3.2149E-5</v>
          </cell>
          <cell r="Q6">
            <v>3.1989000000000002E-5</v>
          </cell>
          <cell r="R6">
            <v>3.1822999999999997E-5</v>
          </cell>
          <cell r="S6">
            <v>3.1652000000000001E-5</v>
          </cell>
          <cell r="T6">
            <v>3.1476000000000002E-5</v>
          </cell>
          <cell r="U6">
            <v>3.1297000000000002E-5</v>
          </cell>
          <cell r="V6">
            <v>3.1115999999999998E-5</v>
          </cell>
          <cell r="W6">
            <v>3.0932999999999997E-5</v>
          </cell>
          <cell r="X6">
            <v>3.0749E-5</v>
          </cell>
          <cell r="Y6">
            <v>3.0565000000000003E-5</v>
          </cell>
          <cell r="Z6">
            <v>3.0380999999999999E-5</v>
          </cell>
          <cell r="AA6">
            <v>3.0198000000000001E-5</v>
          </cell>
          <cell r="AB6">
            <v>3.0015999999999999E-5</v>
          </cell>
          <cell r="AC6">
            <v>2.9835000000000001E-5</v>
          </cell>
          <cell r="AD6">
            <v>2.9657000000000001E-5</v>
          </cell>
          <cell r="AE6">
            <v>2.9479999999999999E-5</v>
          </cell>
          <cell r="AF6">
            <v>2.9306E-5</v>
          </cell>
          <cell r="AG6">
            <v>2.9133999999999999E-5</v>
          </cell>
          <cell r="AH6">
            <v>2.8963999999999999E-5</v>
          </cell>
          <cell r="AI6">
            <v>2.8796999999999999E-5</v>
          </cell>
          <cell r="AJ6">
            <v>2.8632999999999998E-5</v>
          </cell>
          <cell r="AK6">
            <v>2.8470999999999999E-5</v>
          </cell>
          <cell r="AL6">
            <v>2.8313000000000001E-5</v>
          </cell>
          <cell r="AM6">
            <v>2.8155999999999999E-5</v>
          </cell>
          <cell r="AN6">
            <v>2.8002999999999999E-5</v>
          </cell>
          <cell r="AO6">
            <v>2.7852E-5</v>
          </cell>
          <cell r="AP6">
            <v>2.7702999999999999E-5</v>
          </cell>
          <cell r="AQ6">
            <v>2.7555999999999998E-5</v>
          </cell>
          <cell r="AR6">
            <v>2.7412000000000001E-5</v>
          </cell>
          <cell r="AS6">
            <v>2.7270000000000001E-5</v>
          </cell>
          <cell r="AT6">
            <v>2.7129999999999999E-5</v>
          </cell>
          <cell r="AU6">
            <v>2.6991E-5</v>
          </cell>
          <cell r="AV6">
            <v>2.6854000000000001E-5</v>
          </cell>
          <cell r="AW6">
            <v>2.6718999999999999E-5</v>
          </cell>
          <cell r="AX6">
            <v>2.6585E-5</v>
          </cell>
          <cell r="AY6">
            <v>2.6452E-5</v>
          </cell>
        </row>
        <row r="7">
          <cell r="A7" t="str">
            <v>Pu238</v>
          </cell>
          <cell r="B7">
            <v>1.1994000000000001E-5</v>
          </cell>
          <cell r="C7">
            <v>1.1708E-5</v>
          </cell>
          <cell r="D7">
            <v>1.1626E-5</v>
          </cell>
          <cell r="E7">
            <v>1.1691E-5</v>
          </cell>
          <cell r="F7">
            <v>1.1861999999999999E-5</v>
          </cell>
          <cell r="G7">
            <v>1.2109999999999999E-5</v>
          </cell>
          <cell r="H7">
            <v>1.2413E-5</v>
          </cell>
          <cell r="I7">
            <v>1.2755000000000001E-5</v>
          </cell>
          <cell r="J7">
            <v>1.3125000000000001E-5</v>
          </cell>
          <cell r="K7">
            <v>1.3514E-5</v>
          </cell>
          <cell r="L7">
            <v>1.3916E-5</v>
          </cell>
          <cell r="M7">
            <v>1.4326E-5</v>
          </cell>
          <cell r="N7">
            <v>1.4741E-5</v>
          </cell>
          <cell r="O7">
            <v>1.5157000000000001E-5</v>
          </cell>
          <cell r="P7">
            <v>1.5571999999999999E-5</v>
          </cell>
          <cell r="Q7">
            <v>1.5985E-5</v>
          </cell>
          <cell r="R7">
            <v>1.6395000000000001E-5</v>
          </cell>
          <cell r="S7">
            <v>1.6799999999999998E-5</v>
          </cell>
          <cell r="T7">
            <v>1.7198999999999999E-5</v>
          </cell>
          <cell r="U7">
            <v>1.7592E-5</v>
          </cell>
          <cell r="V7">
            <v>1.7978999999999998E-5</v>
          </cell>
          <cell r="W7">
            <v>1.8357999999999999E-5</v>
          </cell>
          <cell r="X7">
            <v>1.8729999999999999E-5</v>
          </cell>
          <cell r="Y7">
            <v>1.9094E-5</v>
          </cell>
          <cell r="Z7">
            <v>1.9449999999999998E-5</v>
          </cell>
          <cell r="AA7">
            <v>1.9797999999999999E-5</v>
          </cell>
          <cell r="AB7">
            <v>2.0137E-5</v>
          </cell>
          <cell r="AC7">
            <v>2.0468000000000001E-5</v>
          </cell>
          <cell r="AD7">
            <v>2.0789999999999999E-5</v>
          </cell>
          <cell r="AE7">
            <v>2.1103000000000001E-5</v>
          </cell>
          <cell r="AF7">
            <v>2.1407E-5</v>
          </cell>
          <cell r="AG7">
            <v>2.1702E-5</v>
          </cell>
          <cell r="AH7">
            <v>2.1988999999999999E-5</v>
          </cell>
          <cell r="AI7">
            <v>2.2266E-5</v>
          </cell>
          <cell r="AJ7">
            <v>2.2535E-5</v>
          </cell>
          <cell r="AK7">
            <v>2.2795000000000001E-5</v>
          </cell>
          <cell r="AL7">
            <v>2.3045E-5</v>
          </cell>
          <cell r="AM7">
            <v>2.3286999999999999E-5</v>
          </cell>
          <cell r="AN7">
            <v>2.3521000000000001E-5</v>
          </cell>
          <cell r="AO7">
            <v>2.3745000000000001E-5</v>
          </cell>
          <cell r="AP7">
            <v>2.3961E-5</v>
          </cell>
          <cell r="AQ7">
            <v>2.4168E-5</v>
          </cell>
          <cell r="AR7">
            <v>2.4366999999999999E-5</v>
          </cell>
          <cell r="AS7">
            <v>2.4556999999999999E-5</v>
          </cell>
          <cell r="AT7">
            <v>2.4739000000000001E-5</v>
          </cell>
          <cell r="AU7">
            <v>2.4912000000000001E-5</v>
          </cell>
          <cell r="AV7">
            <v>2.5077999999999999E-5</v>
          </cell>
          <cell r="AW7">
            <v>2.5235000000000001E-5</v>
          </cell>
          <cell r="AX7">
            <v>2.5384E-5</v>
          </cell>
          <cell r="AY7">
            <v>2.5524000000000002E-5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abSelected="1" zoomScale="70" zoomScaleNormal="70" workbookViewId="0">
      <selection activeCell="I7" sqref="I7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4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05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7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05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8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05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05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05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05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05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05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05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05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05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06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3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3"/>
      <c r="B24" s="45" t="s">
        <v>58</v>
      </c>
      <c r="C24" s="76">
        <v>75</v>
      </c>
      <c r="I24" s="7"/>
      <c r="J24" s="95"/>
    </row>
    <row r="25" spans="1:16" ht="15.75" customHeight="1" thickBot="1">
      <c r="A25" s="103"/>
      <c r="B25" s="45" t="s">
        <v>71</v>
      </c>
      <c r="C25" s="46">
        <f>C24/100*C23</f>
        <v>2250</v>
      </c>
      <c r="E25" s="9" t="s">
        <v>57</v>
      </c>
      <c r="G25" s="100" t="s">
        <v>141</v>
      </c>
      <c r="H25" s="101"/>
      <c r="I25" s="101"/>
      <c r="J25" s="102" t="s">
        <v>144</v>
      </c>
      <c r="K25" s="102"/>
    </row>
    <row r="26" spans="1:16" ht="15.75" thickBot="1">
      <c r="A26" s="103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3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3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3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3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3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3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3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3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81">
        <f t="shared" si="9"/>
        <v>0.49964999999999998</v>
      </c>
      <c r="I44" s="82">
        <f>H44+G44</f>
        <v>1.75705</v>
      </c>
      <c r="J44" s="81">
        <v>3.7700999999999998</v>
      </c>
      <c r="K44" s="72">
        <f>G44*1E-24*F10</f>
        <v>1.5129459785852963E-5</v>
      </c>
      <c r="L44" s="72">
        <f>I44*1E-24*F10</f>
        <v>2.114141666671938E-5</v>
      </c>
      <c r="M44" s="72">
        <f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81">
        <f t="shared" si="9"/>
        <v>0.46</v>
      </c>
      <c r="I45" s="84">
        <f t="shared" ref="I45:I51" si="10">H45+G45</f>
        <v>2.2181000000000002</v>
      </c>
      <c r="J45" s="83">
        <v>5.1894</v>
      </c>
      <c r="K45" s="72">
        <f>G45*1E-24*F11</f>
        <v>3.8294934199999998E-3</v>
      </c>
      <c r="L45" s="72">
        <f>I45*1E-24*F11</f>
        <v>4.8314654200000001E-3</v>
      </c>
      <c r="M45" s="72">
        <f>J45*1E-24*F11</f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81">
        <f t="shared" si="9"/>
        <v>0.45650000000000002</v>
      </c>
      <c r="I46" s="84">
        <f t="shared" si="10"/>
        <v>0.86884000000000006</v>
      </c>
      <c r="J46" s="83">
        <v>1.2642</v>
      </c>
      <c r="K46" s="72">
        <f>G46*1E-24*F12</f>
        <v>2.9831152027608561E-4</v>
      </c>
      <c r="L46" s="72">
        <f>I46*1E-24*F12</f>
        <v>6.2857103670920661E-4</v>
      </c>
      <c r="M46" s="72">
        <f>J46*1E-24*F12</f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81">
        <f t="shared" si="9"/>
        <v>0.44946999999999998</v>
      </c>
      <c r="I47" s="84">
        <f t="shared" si="10"/>
        <v>2.8873699999999998</v>
      </c>
      <c r="J47" s="83">
        <v>7.2667000000000002</v>
      </c>
      <c r="K47" s="72">
        <f>G47*1E-24*F13</f>
        <v>3.6744234899247245E-4</v>
      </c>
      <c r="L47" s="72">
        <f>I47*1E-24*F13</f>
        <v>4.3518684737290096E-4</v>
      </c>
      <c r="M47" s="72">
        <f>J47*1E-24*F13</f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81">
        <f t="shared" si="9"/>
        <v>0.44864999999999999</v>
      </c>
      <c r="I48" s="84">
        <f t="shared" si="10"/>
        <v>0.74788999999999994</v>
      </c>
      <c r="J48" s="83">
        <v>0.93701999999999996</v>
      </c>
      <c r="K48" s="72">
        <f>G48*1E-24*F14</f>
        <v>1.5282396172199437E-5</v>
      </c>
      <c r="L48" s="72">
        <f>I48*1E-24*F14</f>
        <v>3.8195265583565817E-5</v>
      </c>
      <c r="M48" s="72">
        <f>J48*1E-24*F14</f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81">
        <f t="shared" si="9"/>
        <v>1.6904999999999999</v>
      </c>
      <c r="I49" s="84">
        <f t="shared" si="10"/>
        <v>1.9935099999999999</v>
      </c>
      <c r="J49" s="83">
        <v>1.0602</v>
      </c>
      <c r="K49" s="72">
        <f>G49*1E-24*F15</f>
        <v>9.8540913481705007E-6</v>
      </c>
      <c r="L49" s="72">
        <f>I49*1E-24*F15</f>
        <v>6.4830301453718935E-5</v>
      </c>
      <c r="M49" s="72">
        <f>J49*1E-24*F15</f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81">
        <f t="shared" si="9"/>
        <v>0.51763999999999999</v>
      </c>
      <c r="I50" s="84">
        <f t="shared" si="10"/>
        <v>2.35494</v>
      </c>
      <c r="J50" s="83">
        <v>4.5256999999999996</v>
      </c>
      <c r="K50" s="72">
        <f>G50*1E-24*F16</f>
        <v>1.6340454568456546E-4</v>
      </c>
      <c r="L50" s="72">
        <f>I50*1E-24*F16</f>
        <v>2.0944206216426856E-4</v>
      </c>
      <c r="M50" s="72">
        <f>J50*1E-24*F16</f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81">
        <f t="shared" si="9"/>
        <v>0.26422000000000001</v>
      </c>
      <c r="I51" s="84">
        <f t="shared" si="10"/>
        <v>0.31379000000000001</v>
      </c>
      <c r="J51" s="83">
        <v>0.13804</v>
      </c>
      <c r="K51" s="72">
        <f>G51*1E-24*F17</f>
        <v>8.3277238591455451E-4</v>
      </c>
      <c r="L51" s="72">
        <f>I51*1E-24*F17</f>
        <v>5.271649121971516E-3</v>
      </c>
      <c r="M51" s="72">
        <f>J51*1E-24*F17</f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1">C77/C87-1</f>
        <v>-1.0807121324156732E-3</v>
      </c>
      <c r="H77" s="94">
        <f t="shared" si="11"/>
        <v>-3.8478260869565517E-3</v>
      </c>
      <c r="I77" s="94">
        <f t="shared" si="11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1"/>
        <v>5.5779211330464484E-4</v>
      </c>
      <c r="H78" s="94">
        <f t="shared" si="11"/>
        <v>-2.5848849945235841E-3</v>
      </c>
      <c r="I78" s="94">
        <f t="shared" si="11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1"/>
        <v>-1.9689076664342053E-3</v>
      </c>
      <c r="H79" s="94">
        <f t="shared" si="11"/>
        <v>-3.3150154626560013E-3</v>
      </c>
      <c r="I79" s="94">
        <f t="shared" si="11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1"/>
        <v>6.6835984494040268E-4</v>
      </c>
      <c r="H80" s="94">
        <f t="shared" si="11"/>
        <v>-3.4325197815668895E-3</v>
      </c>
      <c r="I80" s="94">
        <f t="shared" si="11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1"/>
        <v>5.6103758951842053E-4</v>
      </c>
      <c r="H81" s="94">
        <f t="shared" si="11"/>
        <v>-3.0168589174799365E-3</v>
      </c>
      <c r="I81" s="94">
        <f t="shared" si="11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1"/>
        <v>-2.0682523267838704E-3</v>
      </c>
      <c r="H82" s="94">
        <f t="shared" si="11"/>
        <v>-3.7670968240476332E-3</v>
      </c>
      <c r="I82" s="94">
        <f t="shared" si="11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1"/>
        <v>7.2624571313273378E-4</v>
      </c>
      <c r="H83" s="94">
        <f t="shared" si="11"/>
        <v>4.6930588146241181E-3</v>
      </c>
      <c r="I83" s="94">
        <f t="shared" si="11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F135" sqref="F135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topLeftCell="A4"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M19" sqref="M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4" workbookViewId="0">
      <selection activeCell="N18" sqref="N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6" sqref="M26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cp:revision>1</cp:revision>
  <dcterms:created xsi:type="dcterms:W3CDTF">2014-07-10T09:50:10Z</dcterms:created>
  <dcterms:modified xsi:type="dcterms:W3CDTF">2014-07-26T22:15:59Z</dcterms:modified>
</cp:coreProperties>
</file>