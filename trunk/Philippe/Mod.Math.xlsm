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585" windowWidth="15090" windowHeight="6630" tabRatio="872"/>
  </bookViews>
  <sheets>
    <sheet name="Données" sheetId="1" r:id="rId1"/>
    <sheet name="mod.RK1" sheetId="2" r:id="rId2"/>
    <sheet name="mod.math." sheetId="14" r:id="rId3"/>
    <sheet name="Pu238" sheetId="3" r:id="rId4"/>
    <sheet name="Pu239" sheetId="4" r:id="rId5"/>
    <sheet name="Pu240" sheetId="5" r:id="rId6"/>
    <sheet name="Pu241" sheetId="6" r:id="rId7"/>
    <sheet name="Pu242" sheetId="7" r:id="rId8"/>
    <sheet name="Am241" sheetId="8" r:id="rId9"/>
    <sheet name="U235" sheetId="9" r:id="rId10"/>
    <sheet name="U238" sheetId="10" r:id="rId11"/>
    <sheet name="M.Pu" sheetId="12" r:id="rId12"/>
    <sheet name="V.Pu" sheetId="13" r:id="rId13"/>
    <sheet name="V.Pu Mod.Math." sheetId="17" r:id="rId14"/>
  </sheets>
  <externalReferences>
    <externalReference r:id="rId15"/>
    <externalReference r:id="rId16"/>
  </externalReferences>
  <calcPr calcId="145621"/>
</workbook>
</file>

<file path=xl/calcChain.xml><?xml version="1.0" encoding="utf-8"?>
<calcChain xmlns="http://schemas.openxmlformats.org/spreadsheetml/2006/main">
  <c r="G8" i="14" l="1"/>
  <c r="J9" i="14"/>
  <c r="I7" i="14"/>
  <c r="F28" i="14" l="1"/>
  <c r="F206" i="14"/>
  <c r="G206" i="14"/>
  <c r="H206" i="14"/>
  <c r="I206" i="14"/>
  <c r="J206" i="14"/>
  <c r="K206" i="14"/>
  <c r="L206" i="14"/>
  <c r="M206" i="14"/>
  <c r="M187" i="14"/>
  <c r="L186" i="14"/>
  <c r="K185" i="14"/>
  <c r="J184" i="14"/>
  <c r="I183" i="14"/>
  <c r="H182" i="14"/>
  <c r="G181" i="14"/>
  <c r="F180" i="14"/>
  <c r="G171" i="14"/>
  <c r="H171" i="14"/>
  <c r="I171" i="14"/>
  <c r="J171" i="14"/>
  <c r="K171" i="14"/>
  <c r="L171" i="14"/>
  <c r="M171" i="14"/>
  <c r="F172" i="14"/>
  <c r="H172" i="14"/>
  <c r="I172" i="14"/>
  <c r="J172" i="14"/>
  <c r="K172" i="14"/>
  <c r="L172" i="14"/>
  <c r="M172" i="14"/>
  <c r="F173" i="14"/>
  <c r="G173" i="14"/>
  <c r="I173" i="14"/>
  <c r="J173" i="14"/>
  <c r="K173" i="14"/>
  <c r="L173" i="14"/>
  <c r="M173" i="14"/>
  <c r="F174" i="14"/>
  <c r="G174" i="14"/>
  <c r="H174" i="14"/>
  <c r="J174" i="14"/>
  <c r="K174" i="14"/>
  <c r="L174" i="14"/>
  <c r="M174" i="14"/>
  <c r="F175" i="14"/>
  <c r="G175" i="14"/>
  <c r="H175" i="14"/>
  <c r="I175" i="14"/>
  <c r="K175" i="14"/>
  <c r="L175" i="14"/>
  <c r="M175" i="14"/>
  <c r="F176" i="14"/>
  <c r="G176" i="14"/>
  <c r="H176" i="14"/>
  <c r="I176" i="14"/>
  <c r="J176" i="14"/>
  <c r="L176" i="14"/>
  <c r="M176" i="14"/>
  <c r="F177" i="14"/>
  <c r="G177" i="14"/>
  <c r="H177" i="14"/>
  <c r="I177" i="14"/>
  <c r="J177" i="14"/>
  <c r="K177" i="14"/>
  <c r="M177" i="14"/>
  <c r="F178" i="14"/>
  <c r="G178" i="14"/>
  <c r="H178" i="14"/>
  <c r="I178" i="14"/>
  <c r="J178" i="14"/>
  <c r="K178" i="14"/>
  <c r="L178" i="14"/>
  <c r="D5" i="14" l="1"/>
  <c r="S2" i="14" s="1"/>
  <c r="R2" i="14" s="1"/>
  <c r="S135" i="14" l="1"/>
  <c r="R135" i="14" s="1"/>
  <c r="S131" i="14"/>
  <c r="R131" i="14" s="1"/>
  <c r="S127" i="14"/>
  <c r="R127" i="14" s="1"/>
  <c r="S123" i="14"/>
  <c r="R123" i="14" s="1"/>
  <c r="S134" i="14"/>
  <c r="R134" i="14" s="1"/>
  <c r="S130" i="14"/>
  <c r="R130" i="14" s="1"/>
  <c r="S126" i="14"/>
  <c r="R126" i="14" s="1"/>
  <c r="S122" i="14"/>
  <c r="R122" i="14" s="1"/>
  <c r="S133" i="14"/>
  <c r="R133" i="14" s="1"/>
  <c r="S125" i="14"/>
  <c r="R125" i="14" s="1"/>
  <c r="S118" i="14"/>
  <c r="R118" i="14" s="1"/>
  <c r="S114" i="14"/>
  <c r="R114" i="14" s="1"/>
  <c r="S136" i="14"/>
  <c r="R136" i="14" s="1"/>
  <c r="S128" i="14"/>
  <c r="R128" i="14" s="1"/>
  <c r="S117" i="14"/>
  <c r="R117" i="14" s="1"/>
  <c r="S113" i="14"/>
  <c r="R113" i="14" s="1"/>
  <c r="S129" i="14"/>
  <c r="R129" i="14" s="1"/>
  <c r="S120" i="14"/>
  <c r="R120" i="14" s="1"/>
  <c r="S112" i="14"/>
  <c r="R112" i="14" s="1"/>
  <c r="S111" i="14"/>
  <c r="R111" i="14" s="1"/>
  <c r="S107" i="14"/>
  <c r="R107" i="14" s="1"/>
  <c r="S103" i="14"/>
  <c r="R103" i="14" s="1"/>
  <c r="S99" i="14"/>
  <c r="R99" i="14" s="1"/>
  <c r="S132" i="14"/>
  <c r="R132" i="14" s="1"/>
  <c r="S115" i="14"/>
  <c r="R115" i="14" s="1"/>
  <c r="S110" i="14"/>
  <c r="R110" i="14" s="1"/>
  <c r="S106" i="14"/>
  <c r="R106" i="14" s="1"/>
  <c r="S102" i="14"/>
  <c r="R102" i="14" s="1"/>
  <c r="S98" i="14"/>
  <c r="R98" i="14" s="1"/>
  <c r="S94" i="14"/>
  <c r="R94" i="14" s="1"/>
  <c r="S90" i="14"/>
  <c r="R90" i="14" s="1"/>
  <c r="S121" i="14"/>
  <c r="R121" i="14" s="1"/>
  <c r="S105" i="14"/>
  <c r="R105" i="14" s="1"/>
  <c r="S89" i="14"/>
  <c r="R89" i="14" s="1"/>
  <c r="S88" i="14"/>
  <c r="R88" i="14" s="1"/>
  <c r="S84" i="14"/>
  <c r="R84" i="14" s="1"/>
  <c r="S80" i="14"/>
  <c r="R80" i="14" s="1"/>
  <c r="S76" i="14"/>
  <c r="R76" i="14" s="1"/>
  <c r="S124" i="14"/>
  <c r="R124" i="14" s="1"/>
  <c r="S108" i="14"/>
  <c r="R108" i="14" s="1"/>
  <c r="S100" i="14"/>
  <c r="R100" i="14" s="1"/>
  <c r="S93" i="14"/>
  <c r="R93" i="14" s="1"/>
  <c r="S92" i="14"/>
  <c r="R92" i="14" s="1"/>
  <c r="S91" i="14"/>
  <c r="R91" i="14" s="1"/>
  <c r="S87" i="14"/>
  <c r="R87" i="14" s="1"/>
  <c r="S83" i="14"/>
  <c r="R83" i="14" s="1"/>
  <c r="S79" i="14"/>
  <c r="R79" i="14" s="1"/>
  <c r="S75" i="14"/>
  <c r="R75" i="14" s="1"/>
  <c r="S71" i="14"/>
  <c r="R71" i="14" s="1"/>
  <c r="S67" i="14"/>
  <c r="R67" i="14" s="1"/>
  <c r="S116" i="14"/>
  <c r="R116" i="14" s="1"/>
  <c r="S101" i="14"/>
  <c r="R101" i="14" s="1"/>
  <c r="S82" i="14"/>
  <c r="R82" i="14" s="1"/>
  <c r="S62" i="14"/>
  <c r="R62" i="14" s="1"/>
  <c r="S58" i="14"/>
  <c r="R58" i="14" s="1"/>
  <c r="S54" i="14"/>
  <c r="R54" i="14" s="1"/>
  <c r="S50" i="14"/>
  <c r="R50" i="14" s="1"/>
  <c r="S46" i="14"/>
  <c r="R46" i="14" s="1"/>
  <c r="S42" i="14"/>
  <c r="R42" i="14" s="1"/>
  <c r="S38" i="14"/>
  <c r="R38" i="14" s="1"/>
  <c r="S119" i="14"/>
  <c r="R119" i="14" s="1"/>
  <c r="S104" i="14"/>
  <c r="R104" i="14" s="1"/>
  <c r="S85" i="14"/>
  <c r="R85" i="14" s="1"/>
  <c r="S77" i="14"/>
  <c r="R77" i="14" s="1"/>
  <c r="S66" i="14"/>
  <c r="R66" i="14" s="1"/>
  <c r="S65" i="14"/>
  <c r="R65" i="14" s="1"/>
  <c r="S61" i="14"/>
  <c r="R61" i="14" s="1"/>
  <c r="S57" i="14"/>
  <c r="R57" i="14" s="1"/>
  <c r="S53" i="14"/>
  <c r="R53" i="14" s="1"/>
  <c r="S49" i="14"/>
  <c r="R49" i="14" s="1"/>
  <c r="S45" i="14"/>
  <c r="R45" i="14" s="1"/>
  <c r="S41" i="14"/>
  <c r="R41" i="14" s="1"/>
  <c r="S37" i="14"/>
  <c r="R37" i="14" s="1"/>
  <c r="S33" i="14"/>
  <c r="R33" i="14" s="1"/>
  <c r="S29" i="14"/>
  <c r="R29" i="14" s="1"/>
  <c r="S25" i="14"/>
  <c r="R25" i="14" s="1"/>
  <c r="S109" i="14"/>
  <c r="R109" i="14" s="1"/>
  <c r="S86" i="14"/>
  <c r="R86" i="14" s="1"/>
  <c r="S70" i="14"/>
  <c r="R70" i="14" s="1"/>
  <c r="S69" i="14"/>
  <c r="R69" i="14" s="1"/>
  <c r="S68" i="14"/>
  <c r="R68" i="14" s="1"/>
  <c r="S60" i="14"/>
  <c r="R60" i="14" s="1"/>
  <c r="S52" i="14"/>
  <c r="R52" i="14" s="1"/>
  <c r="S44" i="14"/>
  <c r="R44" i="14" s="1"/>
  <c r="S36" i="14"/>
  <c r="R36" i="14" s="1"/>
  <c r="S24" i="14"/>
  <c r="R24" i="14" s="1"/>
  <c r="S21" i="14"/>
  <c r="R21" i="14" s="1"/>
  <c r="S17" i="14"/>
  <c r="R17" i="14" s="1"/>
  <c r="S13" i="14"/>
  <c r="R13" i="14" s="1"/>
  <c r="S9" i="14"/>
  <c r="R9" i="14" s="1"/>
  <c r="S7" i="14"/>
  <c r="R7" i="14" s="1"/>
  <c r="S5" i="14"/>
  <c r="R5" i="14" s="1"/>
  <c r="S40" i="14"/>
  <c r="R40" i="14" s="1"/>
  <c r="S74" i="14"/>
  <c r="R74" i="14" s="1"/>
  <c r="S73" i="14"/>
  <c r="R73" i="14" s="1"/>
  <c r="S72" i="14"/>
  <c r="R72" i="14" s="1"/>
  <c r="S63" i="14"/>
  <c r="R63" i="14" s="1"/>
  <c r="S55" i="14"/>
  <c r="R55" i="14" s="1"/>
  <c r="S47" i="14"/>
  <c r="R47" i="14" s="1"/>
  <c r="S39" i="14"/>
  <c r="R39" i="14" s="1"/>
  <c r="S28" i="14"/>
  <c r="R28" i="14" s="1"/>
  <c r="S27" i="14"/>
  <c r="R27" i="14" s="1"/>
  <c r="S26" i="14"/>
  <c r="R26" i="14" s="1"/>
  <c r="S20" i="14"/>
  <c r="R20" i="14" s="1"/>
  <c r="S16" i="14"/>
  <c r="R16" i="14" s="1"/>
  <c r="S12" i="14"/>
  <c r="R12" i="14" s="1"/>
  <c r="S3" i="14"/>
  <c r="R3" i="14" s="1"/>
  <c r="S97" i="14"/>
  <c r="R97" i="14" s="1"/>
  <c r="S96" i="14"/>
  <c r="R96" i="14" s="1"/>
  <c r="S95" i="14"/>
  <c r="R95" i="14" s="1"/>
  <c r="S78" i="14"/>
  <c r="R78" i="14" s="1"/>
  <c r="S64" i="14"/>
  <c r="R64" i="14" s="1"/>
  <c r="S56" i="14"/>
  <c r="R56" i="14" s="1"/>
  <c r="S48" i="14"/>
  <c r="R48" i="14" s="1"/>
  <c r="S8" i="14"/>
  <c r="R8" i="14" s="1"/>
  <c r="S11" i="14"/>
  <c r="R11" i="14" s="1"/>
  <c r="S19" i="14"/>
  <c r="R19" i="14" s="1"/>
  <c r="S4" i="14"/>
  <c r="R4" i="14" s="1"/>
  <c r="S10" i="14"/>
  <c r="R10" i="14" s="1"/>
  <c r="S18" i="14"/>
  <c r="R18" i="14" s="1"/>
  <c r="S43" i="14"/>
  <c r="R43" i="14" s="1"/>
  <c r="S15" i="14"/>
  <c r="R15" i="14" s="1"/>
  <c r="S23" i="14"/>
  <c r="R23" i="14" s="1"/>
  <c r="S30" i="14"/>
  <c r="R30" i="14" s="1"/>
  <c r="S31" i="14"/>
  <c r="R31" i="14" s="1"/>
  <c r="S32" i="14"/>
  <c r="R32" i="14" s="1"/>
  <c r="S51" i="14"/>
  <c r="R51" i="14" s="1"/>
  <c r="S81" i="14"/>
  <c r="R81" i="14" s="1"/>
  <c r="S6" i="14"/>
  <c r="R6" i="14" s="1"/>
  <c r="S14" i="14"/>
  <c r="R14" i="14" s="1"/>
  <c r="S22" i="14"/>
  <c r="R22" i="14" s="1"/>
  <c r="S34" i="14"/>
  <c r="R34" i="14" s="1"/>
  <c r="S35" i="14"/>
  <c r="R35" i="14" s="1"/>
  <c r="S59" i="14"/>
  <c r="R59" i="14" s="1"/>
  <c r="G44" i="1" l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C4" i="1"/>
  <c r="C6" i="1" s="1"/>
  <c r="D10" i="1" s="1"/>
  <c r="B2" i="14" s="1"/>
  <c r="B9" i="2" l="1"/>
  <c r="Y2" i="2" s="1"/>
  <c r="B9" i="14"/>
  <c r="D13" i="1"/>
  <c r="D11" i="1"/>
  <c r="D15" i="1"/>
  <c r="D14" i="1"/>
  <c r="D12" i="1"/>
  <c r="D16" i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6" i="2" l="1"/>
  <c r="Q2" i="2" s="1"/>
  <c r="B6" i="14"/>
  <c r="B8" i="2"/>
  <c r="W2" i="2" s="1"/>
  <c r="B8" i="14"/>
  <c r="B3" i="2"/>
  <c r="K2" i="2" s="1"/>
  <c r="B3" i="14"/>
  <c r="B4" i="2"/>
  <c r="M2" i="2" s="1"/>
  <c r="B4" i="14"/>
  <c r="B5" i="2"/>
  <c r="O2" i="2" s="1"/>
  <c r="B5" i="14"/>
  <c r="B7" i="2"/>
  <c r="S2" i="2" s="1"/>
  <c r="B7" i="14"/>
  <c r="B2" i="2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B12" i="14" s="1"/>
  <c r="U2" i="2"/>
  <c r="L8" i="14" l="1"/>
  <c r="L24" i="14" s="1"/>
  <c r="L2" i="14"/>
  <c r="G168" i="14" s="1"/>
  <c r="F3" i="14"/>
  <c r="M9" i="14"/>
  <c r="M24" i="14" s="1"/>
  <c r="K6" i="14"/>
  <c r="M3" i="14"/>
  <c r="F2" i="14"/>
  <c r="F24" i="14" s="1"/>
  <c r="G4" i="14"/>
  <c r="J6" i="14"/>
  <c r="J24" i="14" s="1"/>
  <c r="G3" i="14"/>
  <c r="G24" i="14" s="1"/>
  <c r="I5" i="14"/>
  <c r="I24" i="14" s="1"/>
  <c r="H4" i="14"/>
  <c r="H24" i="14" s="1"/>
  <c r="K7" i="14"/>
  <c r="K24" i="14" s="1"/>
  <c r="I6" i="14"/>
  <c r="H5" i="14"/>
  <c r="C20" i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J2" i="2" l="1"/>
  <c r="I3" i="2" s="1"/>
  <c r="R2" i="2"/>
  <c r="Q3" i="2" s="1"/>
  <c r="F29" i="14" a="1"/>
  <c r="F14" i="14" a="1"/>
  <c r="Z2" i="2"/>
  <c r="Y3" i="2" s="1"/>
  <c r="X2" i="2"/>
  <c r="W3" i="2" s="1"/>
  <c r="L2" i="2"/>
  <c r="K3" i="2" s="1"/>
  <c r="T2" i="2"/>
  <c r="S3" i="2" s="1"/>
  <c r="N2" i="2"/>
  <c r="M3" i="2" s="1"/>
  <c r="P2" i="2"/>
  <c r="O3" i="2" s="1"/>
  <c r="R3" i="2" l="1"/>
  <c r="Q4" i="2" s="1"/>
  <c r="J3" i="2"/>
  <c r="I4" i="2" s="1"/>
  <c r="I29" i="14"/>
  <c r="H35" i="14"/>
  <c r="H33" i="14"/>
  <c r="H31" i="14"/>
  <c r="H42" i="14" s="1"/>
  <c r="H29" i="14"/>
  <c r="G35" i="14"/>
  <c r="G33" i="14"/>
  <c r="G31" i="14"/>
  <c r="G29" i="14"/>
  <c r="F35" i="14"/>
  <c r="F33" i="14"/>
  <c r="F31" i="14"/>
  <c r="F29" i="14"/>
  <c r="F42" i="14" s="1"/>
  <c r="I35" i="14"/>
  <c r="I33" i="14"/>
  <c r="I31" i="14"/>
  <c r="L36" i="14"/>
  <c r="L34" i="14"/>
  <c r="L32" i="14"/>
  <c r="L30" i="14"/>
  <c r="K36" i="14"/>
  <c r="K34" i="14"/>
  <c r="K42" i="14" s="1"/>
  <c r="K32" i="14"/>
  <c r="K30" i="14"/>
  <c r="J36" i="14"/>
  <c r="J34" i="14"/>
  <c r="J32" i="14"/>
  <c r="J30" i="14"/>
  <c r="M36" i="14"/>
  <c r="M42" i="14" s="1"/>
  <c r="M34" i="14"/>
  <c r="M32" i="14"/>
  <c r="M30" i="14"/>
  <c r="H36" i="14"/>
  <c r="H34" i="14"/>
  <c r="H32" i="14"/>
  <c r="H30" i="14"/>
  <c r="G36" i="14"/>
  <c r="G34" i="14"/>
  <c r="G32" i="14"/>
  <c r="G30" i="14"/>
  <c r="G42" i="14" s="1"/>
  <c r="F36" i="14"/>
  <c r="F34" i="14"/>
  <c r="F32" i="14"/>
  <c r="F30" i="14"/>
  <c r="I36" i="14"/>
  <c r="I34" i="14"/>
  <c r="I32" i="14"/>
  <c r="I42" i="14" s="1"/>
  <c r="I30" i="14"/>
  <c r="L35" i="14"/>
  <c r="L42" i="14" s="1"/>
  <c r="L33" i="14"/>
  <c r="L31" i="14"/>
  <c r="L29" i="14"/>
  <c r="K35" i="14"/>
  <c r="K33" i="14"/>
  <c r="K31" i="14"/>
  <c r="K29" i="14"/>
  <c r="J35" i="14"/>
  <c r="J33" i="14"/>
  <c r="J42" i="14" s="1"/>
  <c r="J31" i="14"/>
  <c r="J29" i="14"/>
  <c r="M35" i="14"/>
  <c r="M33" i="14"/>
  <c r="M31" i="14"/>
  <c r="M29" i="14"/>
  <c r="F14" i="14"/>
  <c r="M14" i="14"/>
  <c r="M15" i="14"/>
  <c r="M17" i="14"/>
  <c r="M19" i="14"/>
  <c r="M21" i="14"/>
  <c r="H14" i="14"/>
  <c r="H15" i="14"/>
  <c r="I16" i="14"/>
  <c r="I18" i="14"/>
  <c r="I20" i="14"/>
  <c r="I14" i="14"/>
  <c r="I15" i="14"/>
  <c r="M16" i="14"/>
  <c r="M18" i="14"/>
  <c r="M20" i="14"/>
  <c r="L14" i="14"/>
  <c r="L15" i="14"/>
  <c r="I17" i="14"/>
  <c r="I19" i="14"/>
  <c r="I21" i="14"/>
  <c r="L21" i="14"/>
  <c r="L19" i="14"/>
  <c r="L17" i="14"/>
  <c r="K21" i="14"/>
  <c r="K19" i="14"/>
  <c r="K17" i="14"/>
  <c r="K15" i="14"/>
  <c r="J21" i="14"/>
  <c r="J19" i="14"/>
  <c r="J17" i="14"/>
  <c r="J15" i="14"/>
  <c r="L18" i="14"/>
  <c r="L16" i="14"/>
  <c r="K18" i="14"/>
  <c r="K14" i="14"/>
  <c r="J18" i="14"/>
  <c r="J14" i="14"/>
  <c r="H18" i="14"/>
  <c r="G18" i="14"/>
  <c r="G14" i="14"/>
  <c r="F18" i="14"/>
  <c r="H21" i="14"/>
  <c r="H19" i="14"/>
  <c r="H17" i="14"/>
  <c r="G21" i="14"/>
  <c r="G19" i="14"/>
  <c r="G17" i="14"/>
  <c r="G15" i="14"/>
  <c r="F21" i="14"/>
  <c r="F19" i="14"/>
  <c r="F17" i="14"/>
  <c r="F15" i="14"/>
  <c r="L20" i="14"/>
  <c r="K20" i="14"/>
  <c r="K16" i="14"/>
  <c r="J20" i="14"/>
  <c r="J16" i="14"/>
  <c r="H20" i="14"/>
  <c r="H16" i="14"/>
  <c r="G20" i="14"/>
  <c r="G16" i="14"/>
  <c r="F20" i="14"/>
  <c r="F16" i="14"/>
  <c r="Z3" i="2"/>
  <c r="Y4" i="2" s="1"/>
  <c r="P3" i="2"/>
  <c r="O4" i="2" s="1"/>
  <c r="L3" i="2"/>
  <c r="K4" i="2" s="1"/>
  <c r="N3" i="2"/>
  <c r="M4" i="2" s="1"/>
  <c r="U3" i="2"/>
  <c r="T3" i="2"/>
  <c r="S4" i="2" s="1"/>
  <c r="X3" i="2"/>
  <c r="W4" i="2" s="1"/>
  <c r="AA3" i="2"/>
  <c r="C43" i="14" a="1"/>
  <c r="R4" i="2" l="1"/>
  <c r="Q5" i="2" s="1"/>
  <c r="J4" i="2"/>
  <c r="I5" i="2" s="1"/>
  <c r="C46" i="14"/>
  <c r="C51" i="14"/>
  <c r="C49" i="14"/>
  <c r="C48" i="14"/>
  <c r="C47" i="14"/>
  <c r="C50" i="14"/>
  <c r="C44" i="14"/>
  <c r="C43" i="14"/>
  <c r="C45" i="14"/>
  <c r="Z4" i="2"/>
  <c r="Y5" i="2" s="1"/>
  <c r="P4" i="2"/>
  <c r="O5" i="2" s="1"/>
  <c r="T4" i="2"/>
  <c r="S5" i="2" s="1"/>
  <c r="X4" i="2"/>
  <c r="W5" i="2" s="1"/>
  <c r="N4" i="2"/>
  <c r="M5" i="2" s="1"/>
  <c r="AA4" i="2"/>
  <c r="L4" i="2"/>
  <c r="K5" i="2" s="1"/>
  <c r="U4" i="2"/>
  <c r="D44" i="14" a="1"/>
  <c r="J5" i="2" l="1"/>
  <c r="I6" i="2" s="1"/>
  <c r="R5" i="2"/>
  <c r="Q6" i="2" s="1"/>
  <c r="E45" i="14"/>
  <c r="E49" i="14"/>
  <c r="E47" i="14"/>
  <c r="D48" i="14"/>
  <c r="D51" i="14"/>
  <c r="D44" i="14"/>
  <c r="E48" i="14"/>
  <c r="D46" i="14"/>
  <c r="D49" i="14"/>
  <c r="E44" i="14"/>
  <c r="D50" i="14"/>
  <c r="E46" i="14"/>
  <c r="E51" i="14"/>
  <c r="D45" i="14"/>
  <c r="D47" i="14"/>
  <c r="E50" i="14"/>
  <c r="Z5" i="2"/>
  <c r="Y6" i="2" s="1"/>
  <c r="P5" i="2"/>
  <c r="O6" i="2" s="1"/>
  <c r="N5" i="2"/>
  <c r="M6" i="2" s="1"/>
  <c r="T5" i="2"/>
  <c r="S6" i="2" s="1"/>
  <c r="X5" i="2"/>
  <c r="W6" i="2" s="1"/>
  <c r="L5" i="2"/>
  <c r="K6" i="2" s="1"/>
  <c r="AA5" i="2"/>
  <c r="U5" i="2"/>
  <c r="F115" i="14" a="1"/>
  <c r="F85" i="14" a="1"/>
  <c r="J6" i="2" l="1"/>
  <c r="I7" i="2" s="1"/>
  <c r="R6" i="2"/>
  <c r="Q7" i="2" s="1"/>
  <c r="I91" i="14"/>
  <c r="F91" i="14"/>
  <c r="G91" i="14"/>
  <c r="H91" i="14"/>
  <c r="M91" i="14"/>
  <c r="J91" i="14"/>
  <c r="I88" i="14"/>
  <c r="F88" i="14"/>
  <c r="G88" i="14"/>
  <c r="H88" i="14"/>
  <c r="M88" i="14"/>
  <c r="J88" i="14"/>
  <c r="K88" i="14"/>
  <c r="L88" i="14"/>
  <c r="L89" i="14"/>
  <c r="K91" i="14"/>
  <c r="I85" i="14"/>
  <c r="F85" i="14"/>
  <c r="G85" i="14"/>
  <c r="H85" i="14"/>
  <c r="M85" i="14"/>
  <c r="I87" i="14"/>
  <c r="F87" i="14"/>
  <c r="G87" i="14"/>
  <c r="H87" i="14"/>
  <c r="M87" i="14"/>
  <c r="J87" i="14"/>
  <c r="K87" i="14"/>
  <c r="I92" i="14"/>
  <c r="F92" i="14"/>
  <c r="G92" i="14"/>
  <c r="H92" i="14"/>
  <c r="M92" i="14"/>
  <c r="J92" i="14"/>
  <c r="K92" i="14"/>
  <c r="L92" i="14"/>
  <c r="L85" i="14"/>
  <c r="I89" i="14"/>
  <c r="F89" i="14"/>
  <c r="G89" i="14"/>
  <c r="H89" i="14"/>
  <c r="M89" i="14"/>
  <c r="I86" i="14"/>
  <c r="G86" i="14"/>
  <c r="M86" i="14"/>
  <c r="K86" i="14"/>
  <c r="K89" i="14"/>
  <c r="J85" i="14"/>
  <c r="I90" i="14"/>
  <c r="G90" i="14"/>
  <c r="M90" i="14"/>
  <c r="K90" i="14"/>
  <c r="L91" i="14"/>
  <c r="J89" i="14"/>
  <c r="F86" i="14"/>
  <c r="H86" i="14"/>
  <c r="J86" i="14"/>
  <c r="L86" i="14"/>
  <c r="L87" i="14"/>
  <c r="K85" i="14"/>
  <c r="F90" i="14"/>
  <c r="H90" i="14"/>
  <c r="J90" i="14"/>
  <c r="L90" i="14"/>
  <c r="F121" i="14"/>
  <c r="G121" i="14"/>
  <c r="H121" i="14"/>
  <c r="I121" i="14"/>
  <c r="J121" i="14"/>
  <c r="K121" i="14"/>
  <c r="L121" i="14"/>
  <c r="M121" i="14"/>
  <c r="F122" i="14"/>
  <c r="G122" i="14"/>
  <c r="H122" i="14"/>
  <c r="I122" i="14"/>
  <c r="J122" i="14"/>
  <c r="K122" i="14"/>
  <c r="L122" i="14"/>
  <c r="M122" i="14"/>
  <c r="F117" i="14"/>
  <c r="G117" i="14"/>
  <c r="H117" i="14"/>
  <c r="I117" i="14"/>
  <c r="J117" i="14"/>
  <c r="K117" i="14"/>
  <c r="L117" i="14"/>
  <c r="M117" i="14"/>
  <c r="F118" i="14"/>
  <c r="G118" i="14"/>
  <c r="H118" i="14"/>
  <c r="I118" i="14"/>
  <c r="J118" i="14"/>
  <c r="K118" i="14"/>
  <c r="L118" i="14"/>
  <c r="M118" i="14"/>
  <c r="F119" i="14"/>
  <c r="H119" i="14"/>
  <c r="J119" i="14"/>
  <c r="L119" i="14"/>
  <c r="F120" i="14"/>
  <c r="H120" i="14"/>
  <c r="J120" i="14"/>
  <c r="L120" i="14"/>
  <c r="G115" i="14"/>
  <c r="I115" i="14"/>
  <c r="K115" i="14"/>
  <c r="M115" i="14"/>
  <c r="G116" i="14"/>
  <c r="I116" i="14"/>
  <c r="K116" i="14"/>
  <c r="M116" i="14"/>
  <c r="H116" i="14"/>
  <c r="G119" i="14"/>
  <c r="I119" i="14"/>
  <c r="K119" i="14"/>
  <c r="M119" i="14"/>
  <c r="G120" i="14"/>
  <c r="I120" i="14"/>
  <c r="K120" i="14"/>
  <c r="M120" i="14"/>
  <c r="F115" i="14"/>
  <c r="H115" i="14"/>
  <c r="J115" i="14"/>
  <c r="L115" i="14"/>
  <c r="F116" i="14"/>
  <c r="J116" i="14"/>
  <c r="L116" i="14"/>
  <c r="Z6" i="2"/>
  <c r="Y7" i="2" s="1"/>
  <c r="P6" i="2"/>
  <c r="O7" i="2" s="1"/>
  <c r="T6" i="2"/>
  <c r="S7" i="2" s="1"/>
  <c r="X6" i="2"/>
  <c r="W7" i="2" s="1"/>
  <c r="AA6" i="2"/>
  <c r="L6" i="2"/>
  <c r="K7" i="2" s="1"/>
  <c r="N6" i="2"/>
  <c r="M7" i="2" s="1"/>
  <c r="U6" i="2"/>
  <c r="R7" i="2" l="1"/>
  <c r="M127" i="14"/>
  <c r="M126" i="14"/>
  <c r="J133" i="14"/>
  <c r="J129" i="14"/>
  <c r="J127" i="14"/>
  <c r="J130" i="14"/>
  <c r="J128" i="14"/>
  <c r="J126" i="14"/>
  <c r="J132" i="14"/>
  <c r="M131" i="14"/>
  <c r="M130" i="14"/>
  <c r="M129" i="14"/>
  <c r="M128" i="14"/>
  <c r="M133" i="14"/>
  <c r="M132" i="14"/>
  <c r="J131" i="14"/>
  <c r="J7" i="2"/>
  <c r="I8" i="2" s="1"/>
  <c r="Q8" i="2"/>
  <c r="Z7" i="2"/>
  <c r="Y8" i="2" s="1"/>
  <c r="P7" i="2"/>
  <c r="O8" i="2" s="1"/>
  <c r="T7" i="2"/>
  <c r="S8" i="2" s="1"/>
  <c r="X7" i="2"/>
  <c r="W8" i="2" s="1"/>
  <c r="AA7" i="2"/>
  <c r="N7" i="2"/>
  <c r="M8" i="2" s="1"/>
  <c r="L7" i="2"/>
  <c r="K8" i="2" s="1"/>
  <c r="U7" i="2"/>
  <c r="R8" i="2" l="1"/>
  <c r="Q9" i="2" s="1"/>
  <c r="J8" i="2"/>
  <c r="I9" i="2" s="1"/>
  <c r="Z8" i="2"/>
  <c r="Y9" i="2" s="1"/>
  <c r="T8" i="2"/>
  <c r="S9" i="2" s="1"/>
  <c r="P8" i="2"/>
  <c r="O9" i="2" s="1"/>
  <c r="X8" i="2"/>
  <c r="W9" i="2" s="1"/>
  <c r="AA8" i="2"/>
  <c r="L8" i="2"/>
  <c r="K9" i="2" s="1"/>
  <c r="N8" i="2"/>
  <c r="M9" i="2" s="1"/>
  <c r="U8" i="2"/>
  <c r="R9" i="2" l="1"/>
  <c r="Q10" i="2" s="1"/>
  <c r="J9" i="2"/>
  <c r="I10" i="2" s="1"/>
  <c r="Z9" i="2"/>
  <c r="Y10" i="2" s="1"/>
  <c r="T9" i="2"/>
  <c r="S10" i="2" s="1"/>
  <c r="AA9" i="2"/>
  <c r="L9" i="2"/>
  <c r="K10" i="2" s="1"/>
  <c r="X9" i="2"/>
  <c r="W10" i="2" s="1"/>
  <c r="N9" i="2"/>
  <c r="M10" i="2" s="1"/>
  <c r="P9" i="2"/>
  <c r="O10" i="2" s="1"/>
  <c r="U9" i="2"/>
  <c r="R10" i="2" l="1"/>
  <c r="Q11" i="2" s="1"/>
  <c r="J10" i="2"/>
  <c r="I11" i="2" s="1"/>
  <c r="Z10" i="2"/>
  <c r="Y11" i="2" s="1"/>
  <c r="T10" i="2"/>
  <c r="S11" i="2" s="1"/>
  <c r="L10" i="2"/>
  <c r="K11" i="2" s="1"/>
  <c r="X10" i="2"/>
  <c r="W11" i="2" s="1"/>
  <c r="N10" i="2"/>
  <c r="M11" i="2" s="1"/>
  <c r="AA10" i="2"/>
  <c r="P10" i="2"/>
  <c r="O11" i="2" s="1"/>
  <c r="U10" i="2"/>
  <c r="R11" i="2" l="1"/>
  <c r="Q12" i="2" s="1"/>
  <c r="J11" i="2"/>
  <c r="I12" i="2" s="1"/>
  <c r="Z11" i="2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U11" i="2"/>
  <c r="R12" i="2" l="1"/>
  <c r="Q13" i="2" s="1"/>
  <c r="J12" i="2"/>
  <c r="I13" i="2" s="1"/>
  <c r="Z12" i="2"/>
  <c r="Y13" i="2" s="1"/>
  <c r="L12" i="2"/>
  <c r="K13" i="2" s="1"/>
  <c r="N12" i="2"/>
  <c r="M13" i="2" s="1"/>
  <c r="X12" i="2"/>
  <c r="W13" i="2" s="1"/>
  <c r="P12" i="2"/>
  <c r="O13" i="2" s="1"/>
  <c r="AA12" i="2"/>
  <c r="T12" i="2"/>
  <c r="S13" i="2" s="1"/>
  <c r="U12" i="2"/>
  <c r="R13" i="2" l="1"/>
  <c r="Q14" i="2" s="1"/>
  <c r="J13" i="2"/>
  <c r="I14" i="2" s="1"/>
  <c r="Z13" i="2"/>
  <c r="Y14" i="2" s="1"/>
  <c r="X13" i="2"/>
  <c r="W14" i="2" s="1"/>
  <c r="N13" i="2"/>
  <c r="M14" i="2" s="1"/>
  <c r="L13" i="2"/>
  <c r="K14" i="2" s="1"/>
  <c r="AA13" i="2"/>
  <c r="P13" i="2"/>
  <c r="O14" i="2" s="1"/>
  <c r="T13" i="2"/>
  <c r="S14" i="2" s="1"/>
  <c r="U13" i="2"/>
  <c r="R14" i="2" l="1"/>
  <c r="Q15" i="2" s="1"/>
  <c r="J14" i="2"/>
  <c r="I15" i="2" s="1"/>
  <c r="Z14" i="2"/>
  <c r="Y15" i="2" s="1"/>
  <c r="N14" i="2"/>
  <c r="M15" i="2" s="1"/>
  <c r="X14" i="2"/>
  <c r="W15" i="2" s="1"/>
  <c r="P14" i="2"/>
  <c r="O15" i="2" s="1"/>
  <c r="T14" i="2"/>
  <c r="S15" i="2" s="1"/>
  <c r="AA14" i="2"/>
  <c r="L14" i="2"/>
  <c r="K15" i="2" s="1"/>
  <c r="R15" i="2" l="1"/>
  <c r="Q16" i="2" s="1"/>
  <c r="J15" i="2"/>
  <c r="I16" i="2" s="1"/>
  <c r="Z15" i="2"/>
  <c r="Y16" i="2" s="1"/>
  <c r="P15" i="2"/>
  <c r="O16" i="2" s="1"/>
  <c r="N15" i="2"/>
  <c r="M16" i="2" s="1"/>
  <c r="T15" i="2"/>
  <c r="S16" i="2" s="1"/>
  <c r="AA15" i="2"/>
  <c r="L15" i="2"/>
  <c r="K16" i="2" s="1"/>
  <c r="X15" i="2"/>
  <c r="W16" i="2" s="1"/>
  <c r="U14" i="2"/>
  <c r="R16" i="2" l="1"/>
  <c r="Q17" i="2" s="1"/>
  <c r="J16" i="2"/>
  <c r="I17" i="2" s="1"/>
  <c r="Z16" i="2"/>
  <c r="Y17" i="2" s="1"/>
  <c r="T16" i="2"/>
  <c r="S17" i="2" s="1"/>
  <c r="P16" i="2"/>
  <c r="O17" i="2" s="1"/>
  <c r="AA16" i="2"/>
  <c r="X16" i="2"/>
  <c r="W17" i="2" s="1"/>
  <c r="L16" i="2"/>
  <c r="K17" i="2" s="1"/>
  <c r="N16" i="2"/>
  <c r="M17" i="2" s="1"/>
  <c r="U15" i="2"/>
  <c r="J17" i="2" l="1"/>
  <c r="I18" i="2" s="1"/>
  <c r="R17" i="2"/>
  <c r="Q18" i="2" s="1"/>
  <c r="Z17" i="2"/>
  <c r="Y18" i="2" s="1"/>
  <c r="P17" i="2"/>
  <c r="O18" i="2" s="1"/>
  <c r="T17" i="2"/>
  <c r="S18" i="2" s="1"/>
  <c r="AA17" i="2"/>
  <c r="L17" i="2"/>
  <c r="K18" i="2" s="1"/>
  <c r="X17" i="2"/>
  <c r="W18" i="2" s="1"/>
  <c r="N17" i="2"/>
  <c r="M18" i="2" s="1"/>
  <c r="U16" i="2"/>
  <c r="R18" i="2" l="1"/>
  <c r="Q19" i="2" s="1"/>
  <c r="J18" i="2"/>
  <c r="I19" i="2" s="1"/>
  <c r="Z18" i="2"/>
  <c r="Y19" i="2" s="1"/>
  <c r="T18" i="2"/>
  <c r="S19" i="2" s="1"/>
  <c r="L18" i="2"/>
  <c r="K19" i="2" s="1"/>
  <c r="N18" i="2"/>
  <c r="M19" i="2" s="1"/>
  <c r="X18" i="2"/>
  <c r="W19" i="2" s="1"/>
  <c r="P18" i="2"/>
  <c r="O19" i="2" s="1"/>
  <c r="AA18" i="2"/>
  <c r="R19" i="2" l="1"/>
  <c r="Q20" i="2" s="1"/>
  <c r="J19" i="2"/>
  <c r="I20" i="2" s="1"/>
  <c r="Z19" i="2"/>
  <c r="Y20" i="2" s="1"/>
  <c r="T19" i="2"/>
  <c r="S20" i="2" s="1"/>
  <c r="N19" i="2"/>
  <c r="M20" i="2" s="1"/>
  <c r="X19" i="2"/>
  <c r="W20" i="2" s="1"/>
  <c r="L19" i="2"/>
  <c r="K20" i="2" s="1"/>
  <c r="U19" i="2"/>
  <c r="P19" i="2"/>
  <c r="O20" i="2" s="1"/>
  <c r="AA19" i="2"/>
  <c r="U17" i="2"/>
  <c r="R20" i="2" l="1"/>
  <c r="Q21" i="2" s="1"/>
  <c r="J20" i="2"/>
  <c r="I21" i="2" s="1"/>
  <c r="Z20" i="2"/>
  <c r="Y21" i="2" s="1"/>
  <c r="T20" i="2"/>
  <c r="S21" i="2" s="1"/>
  <c r="L20" i="2"/>
  <c r="K21" i="2" s="1"/>
  <c r="X20" i="2"/>
  <c r="W21" i="2" s="1"/>
  <c r="N20" i="2"/>
  <c r="M21" i="2" s="1"/>
  <c r="P20" i="2"/>
  <c r="O21" i="2" s="1"/>
  <c r="U20" i="2"/>
  <c r="AA20" i="2"/>
  <c r="U18" i="2"/>
  <c r="R21" i="2" l="1"/>
  <c r="Q22" i="2" s="1"/>
  <c r="J21" i="2"/>
  <c r="I22" i="2" s="1"/>
  <c r="Z21" i="2"/>
  <c r="Y22" i="2" s="1"/>
  <c r="T21" i="2"/>
  <c r="S22" i="2" s="1"/>
  <c r="L21" i="2"/>
  <c r="K22" i="2" s="1"/>
  <c r="N21" i="2"/>
  <c r="M22" i="2" s="1"/>
  <c r="X21" i="2"/>
  <c r="W22" i="2" s="1"/>
  <c r="P21" i="2"/>
  <c r="O22" i="2" s="1"/>
  <c r="U21" i="2"/>
  <c r="AA21" i="2"/>
  <c r="R22" i="2" l="1"/>
  <c r="Q23" i="2" s="1"/>
  <c r="J22" i="2"/>
  <c r="I23" i="2" s="1"/>
  <c r="Z22" i="2"/>
  <c r="Y23" i="2" s="1"/>
  <c r="N22" i="2"/>
  <c r="M23" i="2" s="1"/>
  <c r="P22" i="2"/>
  <c r="O23" i="2" s="1"/>
  <c r="X22" i="2"/>
  <c r="W23" i="2" s="1"/>
  <c r="L22" i="2"/>
  <c r="K23" i="2" s="1"/>
  <c r="T22" i="2"/>
  <c r="S23" i="2" s="1"/>
  <c r="U22" i="2"/>
  <c r="AA22" i="2"/>
  <c r="R23" i="2" l="1"/>
  <c r="Q24" i="2" s="1"/>
  <c r="J23" i="2"/>
  <c r="I24" i="2" s="1"/>
  <c r="Z23" i="2"/>
  <c r="Y24" i="2" s="1"/>
  <c r="N23" i="2"/>
  <c r="M24" i="2" s="1"/>
  <c r="P23" i="2"/>
  <c r="O24" i="2" s="1"/>
  <c r="T23" i="2"/>
  <c r="S24" i="2" s="1"/>
  <c r="X23" i="2"/>
  <c r="W24" i="2" s="1"/>
  <c r="L23" i="2"/>
  <c r="K24" i="2" s="1"/>
  <c r="U23" i="2"/>
  <c r="AA23" i="2"/>
  <c r="R24" i="2" l="1"/>
  <c r="Q25" i="2" s="1"/>
  <c r="J24" i="2"/>
  <c r="I25" i="2" s="1"/>
  <c r="Z24" i="2"/>
  <c r="Y25" i="2" s="1"/>
  <c r="N24" i="2"/>
  <c r="M25" i="2" s="1"/>
  <c r="P24" i="2"/>
  <c r="O25" i="2" s="1"/>
  <c r="T24" i="2"/>
  <c r="S25" i="2" s="1"/>
  <c r="X24" i="2"/>
  <c r="W25" i="2" s="1"/>
  <c r="L24" i="2"/>
  <c r="K25" i="2" s="1"/>
  <c r="U24" i="2"/>
  <c r="AA24" i="2"/>
  <c r="R25" i="2" l="1"/>
  <c r="Q26" i="2" s="1"/>
  <c r="J25" i="2"/>
  <c r="I26" i="2" s="1"/>
  <c r="Z25" i="2"/>
  <c r="Y26" i="2" s="1"/>
  <c r="N25" i="2"/>
  <c r="M26" i="2" s="1"/>
  <c r="P25" i="2"/>
  <c r="O26" i="2" s="1"/>
  <c r="T25" i="2"/>
  <c r="S26" i="2" s="1"/>
  <c r="X25" i="2"/>
  <c r="W26" i="2" s="1"/>
  <c r="L25" i="2"/>
  <c r="K26" i="2" s="1"/>
  <c r="U25" i="2"/>
  <c r="AA25" i="2"/>
  <c r="H10" i="1"/>
  <c r="R26" i="2" l="1"/>
  <c r="Q27" i="2" s="1"/>
  <c r="J26" i="2"/>
  <c r="I27" i="2" s="1"/>
  <c r="Z26" i="2"/>
  <c r="Y27" i="2" s="1"/>
  <c r="I10" i="1"/>
  <c r="P26" i="2"/>
  <c r="O27" i="2" s="1"/>
  <c r="T26" i="2"/>
  <c r="S27" i="2" s="1"/>
  <c r="U26" i="2"/>
  <c r="X26" i="2"/>
  <c r="W27" i="2" s="1"/>
  <c r="N26" i="2"/>
  <c r="M27" i="2" s="1"/>
  <c r="L26" i="2"/>
  <c r="K27" i="2" s="1"/>
  <c r="AA26" i="2"/>
  <c r="R27" i="2" l="1"/>
  <c r="Q28" i="2" s="1"/>
  <c r="J27" i="2"/>
  <c r="I28" i="2" s="1"/>
  <c r="Z27" i="2"/>
  <c r="Y28" i="2" s="1"/>
  <c r="P27" i="2"/>
  <c r="O28" i="2" s="1"/>
  <c r="T27" i="2"/>
  <c r="S28" i="2" s="1"/>
  <c r="N27" i="2"/>
  <c r="M28" i="2" s="1"/>
  <c r="L27" i="2"/>
  <c r="K28" i="2" s="1"/>
  <c r="X27" i="2"/>
  <c r="W28" i="2" s="1"/>
  <c r="U27" i="2"/>
  <c r="AA27" i="2"/>
  <c r="H12" i="1"/>
  <c r="H13" i="1"/>
  <c r="H15" i="1"/>
  <c r="H16" i="1"/>
  <c r="H11" i="1"/>
  <c r="H17" i="1"/>
  <c r="H14" i="1"/>
  <c r="R28" i="2" l="1"/>
  <c r="Q29" i="2" s="1"/>
  <c r="J28" i="2"/>
  <c r="I29" i="2" s="1"/>
  <c r="Z28" i="2"/>
  <c r="Y29" i="2" s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P28" i="2"/>
  <c r="O29" i="2" s="1"/>
  <c r="T28" i="2"/>
  <c r="S29" i="2" s="1"/>
  <c r="U28" i="2"/>
  <c r="L28" i="2"/>
  <c r="K29" i="2" s="1"/>
  <c r="N28" i="2"/>
  <c r="M29" i="2" s="1"/>
  <c r="X28" i="2"/>
  <c r="W29" i="2" s="1"/>
  <c r="AA28" i="2"/>
  <c r="R29" i="2" l="1"/>
  <c r="Q30" i="2" s="1"/>
  <c r="J29" i="2"/>
  <c r="I30" i="2" s="1"/>
  <c r="Z29" i="2"/>
  <c r="Y30" i="2" s="1"/>
  <c r="H21" i="1"/>
  <c r="G21" i="1" s="1"/>
  <c r="H18" i="1"/>
  <c r="G18" i="1" s="1"/>
  <c r="H19" i="1"/>
  <c r="L29" i="2"/>
  <c r="K30" i="2" s="1"/>
  <c r="T29" i="2"/>
  <c r="S30" i="2" s="1"/>
  <c r="X29" i="2"/>
  <c r="W30" i="2" s="1"/>
  <c r="N29" i="2"/>
  <c r="M30" i="2" s="1"/>
  <c r="P29" i="2"/>
  <c r="O30" i="2" s="1"/>
  <c r="U29" i="2"/>
  <c r="AA29" i="2"/>
  <c r="R30" i="2" l="1"/>
  <c r="Q31" i="2" s="1"/>
  <c r="J30" i="2"/>
  <c r="I31" i="2" s="1"/>
  <c r="Z30" i="2"/>
  <c r="Y31" i="2" s="1"/>
  <c r="G19" i="1"/>
  <c r="H20" i="1"/>
  <c r="G20" i="1" s="1"/>
  <c r="H22" i="1"/>
  <c r="N30" i="2"/>
  <c r="M31" i="2" s="1"/>
  <c r="L30" i="2"/>
  <c r="K31" i="2" s="1"/>
  <c r="X30" i="2"/>
  <c r="W31" i="2" s="1"/>
  <c r="U30" i="2"/>
  <c r="P30" i="2"/>
  <c r="O31" i="2" s="1"/>
  <c r="T30" i="2"/>
  <c r="S31" i="2" s="1"/>
  <c r="AA30" i="2"/>
  <c r="R31" i="2" l="1"/>
  <c r="Q32" i="2" s="1"/>
  <c r="J31" i="2"/>
  <c r="I32" i="2" s="1"/>
  <c r="Z31" i="2"/>
  <c r="Y32" i="2" s="1"/>
  <c r="I22" i="1"/>
  <c r="P31" i="2"/>
  <c r="O32" i="2" s="1"/>
  <c r="N31" i="2"/>
  <c r="M32" i="2" s="1"/>
  <c r="X31" i="2"/>
  <c r="W32" i="2" s="1"/>
  <c r="L31" i="2"/>
  <c r="K32" i="2" s="1"/>
  <c r="U31" i="2"/>
  <c r="T31" i="2"/>
  <c r="S32" i="2" s="1"/>
  <c r="AA31" i="2"/>
  <c r="R32" i="2" l="1"/>
  <c r="Q33" i="2" s="1"/>
  <c r="J32" i="2"/>
  <c r="I33" i="2" s="1"/>
  <c r="Z32" i="2"/>
  <c r="Y33" i="2" s="1"/>
  <c r="T32" i="2"/>
  <c r="S33" i="2" s="1"/>
  <c r="P32" i="2"/>
  <c r="O33" i="2" s="1"/>
  <c r="N32" i="2"/>
  <c r="M33" i="2" s="1"/>
  <c r="L32" i="2"/>
  <c r="K33" i="2" s="1"/>
  <c r="X32" i="2"/>
  <c r="W33" i="2" s="1"/>
  <c r="U32" i="2"/>
  <c r="AA32" i="2"/>
  <c r="R33" i="2" l="1"/>
  <c r="Q34" i="2" s="1"/>
  <c r="J33" i="2"/>
  <c r="I34" i="2" s="1"/>
  <c r="Z33" i="2"/>
  <c r="Y34" i="2" s="1"/>
  <c r="T33" i="2"/>
  <c r="S34" i="2" s="1"/>
  <c r="P33" i="2"/>
  <c r="O34" i="2" s="1"/>
  <c r="N33" i="2"/>
  <c r="M34" i="2" s="1"/>
  <c r="L33" i="2"/>
  <c r="K34" i="2" s="1"/>
  <c r="X33" i="2"/>
  <c r="W34" i="2" s="1"/>
  <c r="U33" i="2"/>
  <c r="AA33" i="2"/>
  <c r="R34" i="2" l="1"/>
  <c r="Q35" i="2" s="1"/>
  <c r="J34" i="2"/>
  <c r="I35" i="2" s="1"/>
  <c r="Z34" i="2"/>
  <c r="Y35" i="2" s="1"/>
  <c r="T34" i="2"/>
  <c r="S35" i="2" s="1"/>
  <c r="P34" i="2"/>
  <c r="O35" i="2" s="1"/>
  <c r="N34" i="2"/>
  <c r="M35" i="2" s="1"/>
  <c r="U34" i="2"/>
  <c r="X34" i="2"/>
  <c r="W35" i="2" s="1"/>
  <c r="L34" i="2"/>
  <c r="K35" i="2" s="1"/>
  <c r="AA34" i="2"/>
  <c r="R35" i="2" l="1"/>
  <c r="Q36" i="2" s="1"/>
  <c r="J35" i="2"/>
  <c r="I36" i="2" s="1"/>
  <c r="Z35" i="2"/>
  <c r="Y36" i="2" s="1"/>
  <c r="T35" i="2"/>
  <c r="S36" i="2" s="1"/>
  <c r="P35" i="2"/>
  <c r="O36" i="2" s="1"/>
  <c r="L35" i="2"/>
  <c r="K36" i="2" s="1"/>
  <c r="X35" i="2"/>
  <c r="W36" i="2" s="1"/>
  <c r="N35" i="2"/>
  <c r="M36" i="2" s="1"/>
  <c r="U35" i="2"/>
  <c r="AA35" i="2"/>
  <c r="R36" i="2" l="1"/>
  <c r="Q37" i="2" s="1"/>
  <c r="J36" i="2"/>
  <c r="I37" i="2" s="1"/>
  <c r="Z36" i="2"/>
  <c r="Y37" i="2" s="1"/>
  <c r="L36" i="2"/>
  <c r="K37" i="2" s="1"/>
  <c r="T36" i="2"/>
  <c r="S37" i="2" s="1"/>
  <c r="P36" i="2"/>
  <c r="O37" i="2" s="1"/>
  <c r="X36" i="2"/>
  <c r="W37" i="2" s="1"/>
  <c r="U36" i="2"/>
  <c r="N36" i="2"/>
  <c r="M37" i="2" s="1"/>
  <c r="AA36" i="2"/>
  <c r="R37" i="2" l="1"/>
  <c r="Q38" i="2" s="1"/>
  <c r="J37" i="2"/>
  <c r="I38" i="2" s="1"/>
  <c r="Z37" i="2"/>
  <c r="Y38" i="2" s="1"/>
  <c r="X37" i="2"/>
  <c r="W38" i="2" s="1"/>
  <c r="N37" i="2"/>
  <c r="M38" i="2" s="1"/>
  <c r="L37" i="2"/>
  <c r="K38" i="2" s="1"/>
  <c r="T37" i="2"/>
  <c r="S38" i="2" s="1"/>
  <c r="P37" i="2"/>
  <c r="O38" i="2" s="1"/>
  <c r="U37" i="2"/>
  <c r="AA37" i="2"/>
  <c r="J38" i="2" l="1"/>
  <c r="I39" i="2" s="1"/>
  <c r="R38" i="2"/>
  <c r="Q39" i="2" s="1"/>
  <c r="Z38" i="2"/>
  <c r="Y39" i="2" s="1"/>
  <c r="N38" i="2"/>
  <c r="M39" i="2" s="1"/>
  <c r="P38" i="2"/>
  <c r="O39" i="2" s="1"/>
  <c r="L38" i="2"/>
  <c r="K39" i="2" s="1"/>
  <c r="X38" i="2"/>
  <c r="W39" i="2" s="1"/>
  <c r="T38" i="2"/>
  <c r="S39" i="2" s="1"/>
  <c r="U38" i="2"/>
  <c r="AA38" i="2"/>
  <c r="R39" i="2" l="1"/>
  <c r="Q40" i="2" s="1"/>
  <c r="J39" i="2"/>
  <c r="I40" i="2" s="1"/>
  <c r="Z39" i="2"/>
  <c r="Y40" i="2" s="1"/>
  <c r="T39" i="2"/>
  <c r="S40" i="2" s="1"/>
  <c r="X39" i="2"/>
  <c r="W40" i="2" s="1"/>
  <c r="L39" i="2"/>
  <c r="K40" i="2" s="1"/>
  <c r="P39" i="2"/>
  <c r="O40" i="2" s="1"/>
  <c r="N39" i="2"/>
  <c r="M40" i="2" s="1"/>
  <c r="U39" i="2"/>
  <c r="AA39" i="2"/>
  <c r="J40" i="2" l="1"/>
  <c r="I41" i="2" s="1"/>
  <c r="R40" i="2"/>
  <c r="Q41" i="2" s="1"/>
  <c r="Z40" i="2"/>
  <c r="Y41" i="2" s="1"/>
  <c r="T40" i="2"/>
  <c r="S41" i="2" s="1"/>
  <c r="L40" i="2"/>
  <c r="K41" i="2" s="1"/>
  <c r="X40" i="2"/>
  <c r="W41" i="2" s="1"/>
  <c r="P40" i="2"/>
  <c r="O41" i="2" s="1"/>
  <c r="N40" i="2"/>
  <c r="M41" i="2" s="1"/>
  <c r="U40" i="2"/>
  <c r="AA40" i="2"/>
  <c r="R41" i="2" l="1"/>
  <c r="Q42" i="2" s="1"/>
  <c r="J41" i="2"/>
  <c r="I42" i="2" s="1"/>
  <c r="Z41" i="2"/>
  <c r="Y42" i="2" s="1"/>
  <c r="T41" i="2"/>
  <c r="S42" i="2" s="1"/>
  <c r="P41" i="2"/>
  <c r="O42" i="2" s="1"/>
  <c r="L41" i="2"/>
  <c r="K42" i="2" s="1"/>
  <c r="X41" i="2"/>
  <c r="W42" i="2" s="1"/>
  <c r="N41" i="2"/>
  <c r="M42" i="2" s="1"/>
  <c r="U41" i="2"/>
  <c r="AA41" i="2"/>
  <c r="R42" i="2" l="1"/>
  <c r="Q43" i="2" s="1"/>
  <c r="J42" i="2"/>
  <c r="I43" i="2" s="1"/>
  <c r="Z42" i="2"/>
  <c r="Y43" i="2" s="1"/>
  <c r="P42" i="2"/>
  <c r="O43" i="2" s="1"/>
  <c r="T42" i="2"/>
  <c r="S43" i="2" s="1"/>
  <c r="X42" i="2"/>
  <c r="W43" i="2" s="1"/>
  <c r="L42" i="2"/>
  <c r="K43" i="2" s="1"/>
  <c r="U42" i="2"/>
  <c r="N42" i="2"/>
  <c r="M43" i="2" s="1"/>
  <c r="AA42" i="2"/>
  <c r="R43" i="2" l="1"/>
  <c r="Q44" i="2" s="1"/>
  <c r="J43" i="2"/>
  <c r="I44" i="2" s="1"/>
  <c r="Z43" i="2"/>
  <c r="Y44" i="2" s="1"/>
  <c r="P43" i="2"/>
  <c r="O44" i="2" s="1"/>
  <c r="T43" i="2"/>
  <c r="S44" i="2" s="1"/>
  <c r="X43" i="2"/>
  <c r="W44" i="2" s="1"/>
  <c r="N43" i="2"/>
  <c r="M44" i="2" s="1"/>
  <c r="U43" i="2"/>
  <c r="L43" i="2"/>
  <c r="K44" i="2" s="1"/>
  <c r="AA43" i="2"/>
  <c r="R44" i="2" l="1"/>
  <c r="Q45" i="2" s="1"/>
  <c r="J44" i="2"/>
  <c r="I45" i="2" s="1"/>
  <c r="Z44" i="2"/>
  <c r="Y45" i="2" s="1"/>
  <c r="P44" i="2"/>
  <c r="O45" i="2" s="1"/>
  <c r="T44" i="2"/>
  <c r="S45" i="2" s="1"/>
  <c r="N44" i="2"/>
  <c r="M45" i="2" s="1"/>
  <c r="L44" i="2"/>
  <c r="K45" i="2" s="1"/>
  <c r="U44" i="2"/>
  <c r="X44" i="2"/>
  <c r="W45" i="2" s="1"/>
  <c r="AA44" i="2"/>
  <c r="J45" i="2" l="1"/>
  <c r="I46" i="2" s="1"/>
  <c r="R45" i="2"/>
  <c r="Q46" i="2" s="1"/>
  <c r="Z45" i="2"/>
  <c r="Y46" i="2" s="1"/>
  <c r="P45" i="2"/>
  <c r="O46" i="2" s="1"/>
  <c r="T45" i="2"/>
  <c r="S46" i="2" s="1"/>
  <c r="U45" i="2"/>
  <c r="L45" i="2"/>
  <c r="K46" i="2" s="1"/>
  <c r="N45" i="2"/>
  <c r="M46" i="2" s="1"/>
  <c r="X45" i="2"/>
  <c r="W46" i="2" s="1"/>
  <c r="AA45" i="2"/>
  <c r="R46" i="2" l="1"/>
  <c r="Q47" i="2" s="1"/>
  <c r="J46" i="2"/>
  <c r="I47" i="2" s="1"/>
  <c r="Z46" i="2"/>
  <c r="Y47" i="2" s="1"/>
  <c r="L46" i="2"/>
  <c r="K47" i="2" s="1"/>
  <c r="T46" i="2"/>
  <c r="S47" i="2" s="1"/>
  <c r="P46" i="2"/>
  <c r="O47" i="2" s="1"/>
  <c r="X46" i="2"/>
  <c r="W47" i="2" s="1"/>
  <c r="U46" i="2"/>
  <c r="N46" i="2"/>
  <c r="M47" i="2" s="1"/>
  <c r="AA46" i="2"/>
  <c r="R47" i="2" l="1"/>
  <c r="Q48" i="2" s="1"/>
  <c r="J47" i="2"/>
  <c r="I48" i="2" s="1"/>
  <c r="Z47" i="2"/>
  <c r="Y48" i="2" s="1"/>
  <c r="L47" i="2"/>
  <c r="K48" i="2" s="1"/>
  <c r="N47" i="2"/>
  <c r="M48" i="2" s="1"/>
  <c r="X47" i="2"/>
  <c r="W48" i="2" s="1"/>
  <c r="T47" i="2"/>
  <c r="S48" i="2" s="1"/>
  <c r="P47" i="2"/>
  <c r="O48" i="2" s="1"/>
  <c r="U47" i="2"/>
  <c r="AA47" i="2"/>
  <c r="R48" i="2" l="1"/>
  <c r="Q49" i="2" s="1"/>
  <c r="J48" i="2"/>
  <c r="I49" i="2" s="1"/>
  <c r="Z48" i="2"/>
  <c r="Y49" i="2" s="1"/>
  <c r="L48" i="2"/>
  <c r="K49" i="2" s="1"/>
  <c r="N48" i="2"/>
  <c r="M49" i="2" s="1"/>
  <c r="P48" i="2"/>
  <c r="O49" i="2" s="1"/>
  <c r="X48" i="2"/>
  <c r="W49" i="2" s="1"/>
  <c r="U48" i="2"/>
  <c r="T48" i="2"/>
  <c r="S49" i="2" s="1"/>
  <c r="AA48" i="2"/>
  <c r="R49" i="2" l="1"/>
  <c r="Q50" i="2" s="1"/>
  <c r="J49" i="2"/>
  <c r="I50" i="2" s="1"/>
  <c r="Z49" i="2"/>
  <c r="Y50" i="2" s="1"/>
  <c r="L49" i="2"/>
  <c r="K50" i="2" s="1"/>
  <c r="P49" i="2"/>
  <c r="O50" i="2" s="1"/>
  <c r="X49" i="2"/>
  <c r="W50" i="2" s="1"/>
  <c r="N49" i="2"/>
  <c r="M50" i="2" s="1"/>
  <c r="T49" i="2"/>
  <c r="S50" i="2" s="1"/>
  <c r="U49" i="2"/>
  <c r="AA49" i="2"/>
  <c r="R50" i="2" l="1"/>
  <c r="Q51" i="2" s="1"/>
  <c r="J50" i="2"/>
  <c r="I51" i="2" s="1"/>
  <c r="Z50" i="2"/>
  <c r="Y51" i="2" s="1"/>
  <c r="P50" i="2"/>
  <c r="O51" i="2" s="1"/>
  <c r="N50" i="2"/>
  <c r="M51" i="2" s="1"/>
  <c r="X50" i="2"/>
  <c r="W51" i="2" s="1"/>
  <c r="L50" i="2"/>
  <c r="K51" i="2" s="1"/>
  <c r="U50" i="2"/>
  <c r="T50" i="2"/>
  <c r="S51" i="2" s="1"/>
  <c r="AA50" i="2"/>
  <c r="R51" i="2" l="1"/>
  <c r="Q52" i="2" s="1"/>
  <c r="J51" i="2"/>
  <c r="I52" i="2" s="1"/>
  <c r="Z51" i="2"/>
  <c r="Y52" i="2" s="1"/>
  <c r="P51" i="2"/>
  <c r="O52" i="2" s="1"/>
  <c r="N51" i="2"/>
  <c r="M52" i="2" s="1"/>
  <c r="X51" i="2"/>
  <c r="W52" i="2" s="1"/>
  <c r="L51" i="2"/>
  <c r="K52" i="2" s="1"/>
  <c r="U51" i="2"/>
  <c r="T51" i="2"/>
  <c r="S52" i="2" s="1"/>
  <c r="AA51" i="2"/>
  <c r="R52" i="2" l="1"/>
  <c r="Q53" i="2" s="1"/>
  <c r="J52" i="2"/>
  <c r="I53" i="2" s="1"/>
  <c r="Z52" i="2"/>
  <c r="Y53" i="2" s="1"/>
  <c r="N52" i="2"/>
  <c r="M53" i="2" s="1"/>
  <c r="T52" i="2"/>
  <c r="S53" i="2" s="1"/>
  <c r="P52" i="2"/>
  <c r="O53" i="2" s="1"/>
  <c r="X52" i="2"/>
  <c r="W53" i="2" s="1"/>
  <c r="U52" i="2"/>
  <c r="L52" i="2"/>
  <c r="K53" i="2" s="1"/>
  <c r="AA52" i="2"/>
  <c r="R53" i="2" l="1"/>
  <c r="Q54" i="2" s="1"/>
  <c r="J53" i="2"/>
  <c r="I54" i="2" s="1"/>
  <c r="Z53" i="2"/>
  <c r="Y54" i="2" s="1"/>
  <c r="P53" i="2"/>
  <c r="O54" i="2" s="1"/>
  <c r="T53" i="2"/>
  <c r="S54" i="2" s="1"/>
  <c r="L53" i="2"/>
  <c r="K54" i="2" s="1"/>
  <c r="U53" i="2"/>
  <c r="X53" i="2"/>
  <c r="W54" i="2" s="1"/>
  <c r="N53" i="2"/>
  <c r="M54" i="2" s="1"/>
  <c r="AA53" i="2"/>
  <c r="R54" i="2" l="1"/>
  <c r="Q55" i="2" s="1"/>
  <c r="J54" i="2"/>
  <c r="I55" i="2" s="1"/>
  <c r="Z54" i="2"/>
  <c r="Y55" i="2" s="1"/>
  <c r="L54" i="2"/>
  <c r="K55" i="2" s="1"/>
  <c r="T54" i="2"/>
  <c r="S55" i="2" s="1"/>
  <c r="X54" i="2"/>
  <c r="W55" i="2" s="1"/>
  <c r="U54" i="2"/>
  <c r="P54" i="2"/>
  <c r="O55" i="2" s="1"/>
  <c r="N54" i="2"/>
  <c r="M55" i="2" s="1"/>
  <c r="AA54" i="2"/>
  <c r="R55" i="2" l="1"/>
  <c r="Q56" i="2" s="1"/>
  <c r="J55" i="2"/>
  <c r="I56" i="2" s="1"/>
  <c r="Z55" i="2"/>
  <c r="Y56" i="2" s="1"/>
  <c r="L55" i="2"/>
  <c r="K56" i="2" s="1"/>
  <c r="X55" i="2"/>
  <c r="W56" i="2" s="1"/>
  <c r="T55" i="2"/>
  <c r="S56" i="2" s="1"/>
  <c r="N55" i="2"/>
  <c r="M56" i="2" s="1"/>
  <c r="U55" i="2"/>
  <c r="P55" i="2"/>
  <c r="O56" i="2" s="1"/>
  <c r="AA55" i="2"/>
  <c r="R56" i="2" l="1"/>
  <c r="Q57" i="2" s="1"/>
  <c r="J56" i="2"/>
  <c r="I57" i="2" s="1"/>
  <c r="Z56" i="2"/>
  <c r="Y57" i="2" s="1"/>
  <c r="L56" i="2"/>
  <c r="K57" i="2" s="1"/>
  <c r="N56" i="2"/>
  <c r="M57" i="2" s="1"/>
  <c r="X56" i="2"/>
  <c r="W57" i="2" s="1"/>
  <c r="T56" i="2"/>
  <c r="S57" i="2" s="1"/>
  <c r="U56" i="2"/>
  <c r="P56" i="2"/>
  <c r="O57" i="2" s="1"/>
  <c r="AA56" i="2"/>
  <c r="R57" i="2" l="1"/>
  <c r="Q58" i="2" s="1"/>
  <c r="J57" i="2"/>
  <c r="I58" i="2" s="1"/>
  <c r="Z57" i="2"/>
  <c r="Y58" i="2" s="1"/>
  <c r="L57" i="2"/>
  <c r="K58" i="2" s="1"/>
  <c r="N57" i="2"/>
  <c r="M58" i="2" s="1"/>
  <c r="X57" i="2"/>
  <c r="W58" i="2" s="1"/>
  <c r="T57" i="2"/>
  <c r="S58" i="2" s="1"/>
  <c r="P57" i="2"/>
  <c r="O58" i="2" s="1"/>
  <c r="U57" i="2"/>
  <c r="AA57" i="2"/>
  <c r="R58" i="2" l="1"/>
  <c r="Q59" i="2" s="1"/>
  <c r="J58" i="2"/>
  <c r="I59" i="2" s="1"/>
  <c r="Z58" i="2"/>
  <c r="Y59" i="2" s="1"/>
  <c r="L58" i="2"/>
  <c r="K59" i="2" s="1"/>
  <c r="N58" i="2"/>
  <c r="M59" i="2" s="1"/>
  <c r="X58" i="2"/>
  <c r="W59" i="2" s="1"/>
  <c r="P58" i="2"/>
  <c r="O59" i="2" s="1"/>
  <c r="T58" i="2"/>
  <c r="S59" i="2" s="1"/>
  <c r="U58" i="2"/>
  <c r="AA58" i="2"/>
  <c r="R59" i="2" l="1"/>
  <c r="Q60" i="2" s="1"/>
  <c r="J59" i="2"/>
  <c r="I60" i="2" s="1"/>
  <c r="Z59" i="2"/>
  <c r="Y60" i="2" s="1"/>
  <c r="N59" i="2"/>
  <c r="M60" i="2" s="1"/>
  <c r="L59" i="2"/>
  <c r="K60" i="2" s="1"/>
  <c r="P59" i="2"/>
  <c r="O60" i="2" s="1"/>
  <c r="X59" i="2"/>
  <c r="W60" i="2" s="1"/>
  <c r="T59" i="2"/>
  <c r="S60" i="2" s="1"/>
  <c r="U59" i="2"/>
  <c r="AA59" i="2"/>
  <c r="R60" i="2" l="1"/>
  <c r="Q61" i="2" s="1"/>
  <c r="J60" i="2"/>
  <c r="I61" i="2" s="1"/>
  <c r="Z60" i="2"/>
  <c r="Y61" i="2" s="1"/>
  <c r="L60" i="2"/>
  <c r="K61" i="2" s="1"/>
  <c r="N60" i="2"/>
  <c r="M61" i="2" s="1"/>
  <c r="P60" i="2"/>
  <c r="O61" i="2" s="1"/>
  <c r="T60" i="2"/>
  <c r="S61" i="2" s="1"/>
  <c r="X60" i="2"/>
  <c r="W61" i="2" s="1"/>
  <c r="U60" i="2"/>
  <c r="AA60" i="2"/>
  <c r="R61" i="2" l="1"/>
  <c r="Q62" i="2" s="1"/>
  <c r="J61" i="2"/>
  <c r="I62" i="2" s="1"/>
  <c r="N61" i="2"/>
  <c r="M62" i="2" s="1"/>
  <c r="Z61" i="2"/>
  <c r="Y62" i="2" s="1"/>
  <c r="P61" i="2"/>
  <c r="O62" i="2" s="1"/>
  <c r="T61" i="2"/>
  <c r="S62" i="2" s="1"/>
  <c r="L61" i="2"/>
  <c r="K62" i="2" s="1"/>
  <c r="X61" i="2"/>
  <c r="W62" i="2" s="1"/>
  <c r="U61" i="2"/>
  <c r="AA61" i="2"/>
  <c r="R62" i="2" l="1"/>
  <c r="Q63" i="2" s="1"/>
  <c r="J62" i="2"/>
  <c r="I63" i="2" s="1"/>
  <c r="Z62" i="2"/>
  <c r="Y63" i="2" s="1"/>
  <c r="N62" i="2"/>
  <c r="M63" i="2" s="1"/>
  <c r="P62" i="2"/>
  <c r="O63" i="2" s="1"/>
  <c r="T62" i="2"/>
  <c r="S63" i="2" s="1"/>
  <c r="X62" i="2"/>
  <c r="W63" i="2" s="1"/>
  <c r="U62" i="2"/>
  <c r="L62" i="2"/>
  <c r="K63" i="2" s="1"/>
  <c r="AA62" i="2"/>
  <c r="R63" i="2" l="1"/>
  <c r="Q64" i="2" s="1"/>
  <c r="J63" i="2"/>
  <c r="I64" i="2" s="1"/>
  <c r="Z63" i="2"/>
  <c r="Y64" i="2" s="1"/>
  <c r="P63" i="2"/>
  <c r="O64" i="2" s="1"/>
  <c r="T63" i="2"/>
  <c r="S64" i="2" s="1"/>
  <c r="N63" i="2"/>
  <c r="M64" i="2" s="1"/>
  <c r="U63" i="2"/>
  <c r="L63" i="2"/>
  <c r="K64" i="2" s="1"/>
  <c r="X63" i="2"/>
  <c r="W64" i="2" s="1"/>
  <c r="AA63" i="2"/>
  <c r="R64" i="2" l="1"/>
  <c r="Q65" i="2" s="1"/>
  <c r="J64" i="2"/>
  <c r="I65" i="2" s="1"/>
  <c r="Z64" i="2"/>
  <c r="Y65" i="2" s="1"/>
  <c r="T64" i="2"/>
  <c r="S65" i="2" s="1"/>
  <c r="P64" i="2"/>
  <c r="O65" i="2" s="1"/>
  <c r="L64" i="2"/>
  <c r="K65" i="2" s="1"/>
  <c r="N64" i="2"/>
  <c r="M65" i="2" s="1"/>
  <c r="U64" i="2"/>
  <c r="X64" i="2"/>
  <c r="W65" i="2" s="1"/>
  <c r="AA64" i="2"/>
  <c r="R65" i="2" l="1"/>
  <c r="Q66" i="2" s="1"/>
  <c r="J65" i="2"/>
  <c r="I66" i="2" s="1"/>
  <c r="Z65" i="2"/>
  <c r="Y66" i="2" s="1"/>
  <c r="T65" i="2"/>
  <c r="S66" i="2" s="1"/>
  <c r="N65" i="2"/>
  <c r="M66" i="2" s="1"/>
  <c r="L65" i="2"/>
  <c r="K66" i="2" s="1"/>
  <c r="X65" i="2"/>
  <c r="W66" i="2" s="1"/>
  <c r="U65" i="2"/>
  <c r="P65" i="2"/>
  <c r="O66" i="2" s="1"/>
  <c r="AA65" i="2"/>
  <c r="R66" i="2" l="1"/>
  <c r="Q67" i="2" s="1"/>
  <c r="J66" i="2"/>
  <c r="I67" i="2" s="1"/>
  <c r="Z66" i="2"/>
  <c r="Y67" i="2" s="1"/>
  <c r="X66" i="2"/>
  <c r="W67" i="2" s="1"/>
  <c r="N66" i="2"/>
  <c r="M67" i="2" s="1"/>
  <c r="T66" i="2"/>
  <c r="S67" i="2" s="1"/>
  <c r="L66" i="2"/>
  <c r="K67" i="2" s="1"/>
  <c r="U66" i="2"/>
  <c r="P66" i="2"/>
  <c r="O67" i="2" s="1"/>
  <c r="AA66" i="2"/>
  <c r="R67" i="2" l="1"/>
  <c r="Q68" i="2" s="1"/>
  <c r="J67" i="2"/>
  <c r="I68" i="2" s="1"/>
  <c r="Z67" i="2"/>
  <c r="Y68" i="2" s="1"/>
  <c r="X67" i="2"/>
  <c r="W68" i="2" s="1"/>
  <c r="P67" i="2"/>
  <c r="O68" i="2" s="1"/>
  <c r="L67" i="2"/>
  <c r="K68" i="2" s="1"/>
  <c r="N67" i="2"/>
  <c r="M68" i="2" s="1"/>
  <c r="T67" i="2"/>
  <c r="S68" i="2" s="1"/>
  <c r="U67" i="2"/>
  <c r="AA67" i="2"/>
  <c r="R68" i="2" l="1"/>
  <c r="Q69" i="2" s="1"/>
  <c r="J68" i="2"/>
  <c r="I69" i="2" s="1"/>
  <c r="Z68" i="2"/>
  <c r="Y69" i="2" s="1"/>
  <c r="X68" i="2"/>
  <c r="W69" i="2" s="1"/>
  <c r="L68" i="2"/>
  <c r="K69" i="2" s="1"/>
  <c r="N68" i="2"/>
  <c r="M69" i="2" s="1"/>
  <c r="T68" i="2"/>
  <c r="S69" i="2" s="1"/>
  <c r="P68" i="2"/>
  <c r="O69" i="2" s="1"/>
  <c r="U68" i="2"/>
  <c r="AA68" i="2"/>
  <c r="R69" i="2" l="1"/>
  <c r="Q70" i="2" s="1"/>
  <c r="J69" i="2"/>
  <c r="I70" i="2" s="1"/>
  <c r="Z69" i="2"/>
  <c r="Y70" i="2" s="1"/>
  <c r="L69" i="2"/>
  <c r="K70" i="2" s="1"/>
  <c r="T69" i="2"/>
  <c r="S70" i="2" s="1"/>
  <c r="P69" i="2"/>
  <c r="O70" i="2" s="1"/>
  <c r="X69" i="2"/>
  <c r="W70" i="2" s="1"/>
  <c r="N69" i="2"/>
  <c r="M70" i="2" s="1"/>
  <c r="U69" i="2"/>
  <c r="AA69" i="2"/>
  <c r="R70" i="2" l="1"/>
  <c r="Q71" i="2" s="1"/>
  <c r="J70" i="2"/>
  <c r="I71" i="2" s="1"/>
  <c r="Z70" i="2"/>
  <c r="Y71" i="2" s="1"/>
  <c r="N70" i="2"/>
  <c r="M71" i="2" s="1"/>
  <c r="P70" i="2"/>
  <c r="O71" i="2" s="1"/>
  <c r="T70" i="2"/>
  <c r="S71" i="2" s="1"/>
  <c r="U70" i="2"/>
  <c r="X70" i="2"/>
  <c r="W71" i="2" s="1"/>
  <c r="L70" i="2"/>
  <c r="K71" i="2" s="1"/>
  <c r="AA70" i="2"/>
  <c r="R71" i="2" l="1"/>
  <c r="Q72" i="2" s="1"/>
  <c r="J71" i="2"/>
  <c r="I72" i="2" s="1"/>
  <c r="Z71" i="2"/>
  <c r="Y72" i="2" s="1"/>
  <c r="P71" i="2"/>
  <c r="O72" i="2" s="1"/>
  <c r="T71" i="2"/>
  <c r="S72" i="2" s="1"/>
  <c r="L71" i="2"/>
  <c r="K72" i="2" s="1"/>
  <c r="N71" i="2"/>
  <c r="M72" i="2" s="1"/>
  <c r="X71" i="2"/>
  <c r="W72" i="2" s="1"/>
  <c r="U71" i="2"/>
  <c r="AA71" i="2"/>
  <c r="R72" i="2" l="1"/>
  <c r="Q73" i="2" s="1"/>
  <c r="J72" i="2"/>
  <c r="I73" i="2" s="1"/>
  <c r="Z72" i="2"/>
  <c r="Y73" i="2" s="1"/>
  <c r="T72" i="2"/>
  <c r="S73" i="2" s="1"/>
  <c r="P72" i="2"/>
  <c r="O73" i="2" s="1"/>
  <c r="L72" i="2"/>
  <c r="K73" i="2" s="1"/>
  <c r="X72" i="2"/>
  <c r="W73" i="2" s="1"/>
  <c r="U72" i="2"/>
  <c r="N72" i="2"/>
  <c r="M73" i="2" s="1"/>
  <c r="AA72" i="2"/>
  <c r="R73" i="2" l="1"/>
  <c r="Q74" i="2" s="1"/>
  <c r="J73" i="2"/>
  <c r="I74" i="2" s="1"/>
  <c r="Z73" i="2"/>
  <c r="Y74" i="2" s="1"/>
  <c r="L73" i="2"/>
  <c r="K74" i="2" s="1"/>
  <c r="T73" i="2"/>
  <c r="S74" i="2" s="1"/>
  <c r="U73" i="2"/>
  <c r="X73" i="2"/>
  <c r="W74" i="2" s="1"/>
  <c r="P73" i="2"/>
  <c r="O74" i="2" s="1"/>
  <c r="N73" i="2"/>
  <c r="M74" i="2" s="1"/>
  <c r="AA73" i="2"/>
  <c r="R74" i="2" l="1"/>
  <c r="Q75" i="2" s="1"/>
  <c r="J74" i="2"/>
  <c r="I75" i="2" s="1"/>
  <c r="Z74" i="2"/>
  <c r="Y75" i="2" s="1"/>
  <c r="L74" i="2"/>
  <c r="K75" i="2" s="1"/>
  <c r="T74" i="2"/>
  <c r="S75" i="2" s="1"/>
  <c r="X74" i="2"/>
  <c r="W75" i="2" s="1"/>
  <c r="U74" i="2"/>
  <c r="P74" i="2"/>
  <c r="O75" i="2" s="1"/>
  <c r="N74" i="2"/>
  <c r="M75" i="2" s="1"/>
  <c r="AA74" i="2"/>
  <c r="R75" i="2" l="1"/>
  <c r="Q76" i="2" s="1"/>
  <c r="J75" i="2"/>
  <c r="I76" i="2" s="1"/>
  <c r="Z75" i="2"/>
  <c r="Y76" i="2" s="1"/>
  <c r="L75" i="2"/>
  <c r="K76" i="2" s="1"/>
  <c r="X75" i="2"/>
  <c r="W76" i="2" s="1"/>
  <c r="N75" i="2"/>
  <c r="M76" i="2" s="1"/>
  <c r="T75" i="2"/>
  <c r="S76" i="2" s="1"/>
  <c r="U75" i="2"/>
  <c r="P75" i="2"/>
  <c r="O76" i="2" s="1"/>
  <c r="AA75" i="2"/>
  <c r="R76" i="2" l="1"/>
  <c r="Q77" i="2" s="1"/>
  <c r="J76" i="2"/>
  <c r="I77" i="2" s="1"/>
  <c r="Z76" i="2"/>
  <c r="Y77" i="2" s="1"/>
  <c r="L76" i="2"/>
  <c r="K77" i="2" s="1"/>
  <c r="N76" i="2"/>
  <c r="M77" i="2" s="1"/>
  <c r="X76" i="2"/>
  <c r="W77" i="2" s="1"/>
  <c r="P76" i="2"/>
  <c r="O77" i="2" s="1"/>
  <c r="U76" i="2"/>
  <c r="T76" i="2"/>
  <c r="S77" i="2" s="1"/>
  <c r="AA76" i="2"/>
  <c r="R77" i="2" l="1"/>
  <c r="Q78" i="2" s="1"/>
  <c r="J77" i="2"/>
  <c r="I78" i="2" s="1"/>
  <c r="Z77" i="2"/>
  <c r="Y78" i="2" s="1"/>
  <c r="N77" i="2"/>
  <c r="M78" i="2" s="1"/>
  <c r="L77" i="2"/>
  <c r="K78" i="2" s="1"/>
  <c r="X77" i="2"/>
  <c r="W78" i="2" s="1"/>
  <c r="T77" i="2"/>
  <c r="S78" i="2" s="1"/>
  <c r="U77" i="2"/>
  <c r="P77" i="2"/>
  <c r="O78" i="2" s="1"/>
  <c r="AA77" i="2"/>
  <c r="R78" i="2" l="1"/>
  <c r="Q79" i="2" s="1"/>
  <c r="J78" i="2"/>
  <c r="I79" i="2" s="1"/>
  <c r="Z78" i="2"/>
  <c r="Y79" i="2" s="1"/>
  <c r="N78" i="2"/>
  <c r="M79" i="2" s="1"/>
  <c r="L78" i="2"/>
  <c r="K79" i="2" s="1"/>
  <c r="X78" i="2"/>
  <c r="W79" i="2" s="1"/>
  <c r="P78" i="2"/>
  <c r="O79" i="2" s="1"/>
  <c r="T78" i="2"/>
  <c r="S79" i="2" s="1"/>
  <c r="U78" i="2"/>
  <c r="AA78" i="2"/>
  <c r="R79" i="2" l="1"/>
  <c r="Q80" i="2" s="1"/>
  <c r="J79" i="2"/>
  <c r="I80" i="2" s="1"/>
  <c r="N79" i="2"/>
  <c r="M80" i="2" s="1"/>
  <c r="Z79" i="2"/>
  <c r="Y80" i="2" s="1"/>
  <c r="P79" i="2"/>
  <c r="O80" i="2" s="1"/>
  <c r="U79" i="2"/>
  <c r="T79" i="2"/>
  <c r="S80" i="2" s="1"/>
  <c r="X79" i="2"/>
  <c r="W80" i="2" s="1"/>
  <c r="L79" i="2"/>
  <c r="K80" i="2" s="1"/>
  <c r="AA79" i="2"/>
  <c r="R80" i="2" l="1"/>
  <c r="Q81" i="2" s="1"/>
  <c r="J80" i="2"/>
  <c r="I81" i="2" s="1"/>
  <c r="Z80" i="2"/>
  <c r="Y81" i="2" s="1"/>
  <c r="P80" i="2"/>
  <c r="O81" i="2" s="1"/>
  <c r="T80" i="2"/>
  <c r="S81" i="2" s="1"/>
  <c r="L80" i="2"/>
  <c r="K81" i="2" s="1"/>
  <c r="U80" i="2"/>
  <c r="N80" i="2"/>
  <c r="M81" i="2" s="1"/>
  <c r="X80" i="2"/>
  <c r="W81" i="2" s="1"/>
  <c r="AA80" i="2"/>
  <c r="R81" i="2" l="1"/>
  <c r="Q82" i="2" s="1"/>
  <c r="J81" i="2"/>
  <c r="I82" i="2" s="1"/>
  <c r="Z81" i="2"/>
  <c r="Y82" i="2" s="1"/>
  <c r="T81" i="2"/>
  <c r="S82" i="2" s="1"/>
  <c r="P81" i="2"/>
  <c r="O82" i="2" s="1"/>
  <c r="U81" i="2"/>
  <c r="L81" i="2"/>
  <c r="K82" i="2" s="1"/>
  <c r="X81" i="2"/>
  <c r="W82" i="2" s="1"/>
  <c r="N81" i="2"/>
  <c r="M82" i="2" s="1"/>
  <c r="AA81" i="2"/>
  <c r="R82" i="2" l="1"/>
  <c r="Q83" i="2" s="1"/>
  <c r="J82" i="2"/>
  <c r="I83" i="2" s="1"/>
  <c r="Z82" i="2"/>
  <c r="Y83" i="2" s="1"/>
  <c r="L82" i="2"/>
  <c r="K83" i="2" s="1"/>
  <c r="N82" i="2"/>
  <c r="M83" i="2" s="1"/>
  <c r="X82" i="2"/>
  <c r="W83" i="2" s="1"/>
  <c r="T82" i="2"/>
  <c r="S83" i="2" s="1"/>
  <c r="P82" i="2"/>
  <c r="O83" i="2" s="1"/>
  <c r="U82" i="2"/>
  <c r="AA82" i="2"/>
  <c r="R83" i="2" l="1"/>
  <c r="Q84" i="2" s="1"/>
  <c r="J83" i="2"/>
  <c r="I84" i="2" s="1"/>
  <c r="Z83" i="2"/>
  <c r="Y84" i="2" s="1"/>
  <c r="L83" i="2"/>
  <c r="K84" i="2" s="1"/>
  <c r="P83" i="2"/>
  <c r="O84" i="2" s="1"/>
  <c r="X83" i="2"/>
  <c r="W84" i="2" s="1"/>
  <c r="N83" i="2"/>
  <c r="M84" i="2" s="1"/>
  <c r="U83" i="2"/>
  <c r="T83" i="2"/>
  <c r="S84" i="2" s="1"/>
  <c r="AA83" i="2"/>
  <c r="R84" i="2" l="1"/>
  <c r="Q85" i="2" s="1"/>
  <c r="J84" i="2"/>
  <c r="I85" i="2" s="1"/>
  <c r="Z84" i="2"/>
  <c r="Y85" i="2" s="1"/>
  <c r="L84" i="2"/>
  <c r="K85" i="2" s="1"/>
  <c r="X84" i="2"/>
  <c r="W85" i="2" s="1"/>
  <c r="P84" i="2"/>
  <c r="O85" i="2" s="1"/>
  <c r="U84" i="2"/>
  <c r="T84" i="2"/>
  <c r="S85" i="2" s="1"/>
  <c r="N84" i="2"/>
  <c r="M85" i="2" s="1"/>
  <c r="AA84" i="2"/>
  <c r="R85" i="2" l="1"/>
  <c r="Q86" i="2" s="1"/>
  <c r="J85" i="2"/>
  <c r="I86" i="2" s="1"/>
  <c r="P85" i="2"/>
  <c r="O86" i="2" s="1"/>
  <c r="Z85" i="2"/>
  <c r="Y86" i="2" s="1"/>
  <c r="L85" i="2"/>
  <c r="K86" i="2" s="1"/>
  <c r="N85" i="2"/>
  <c r="M86" i="2" s="1"/>
  <c r="X85" i="2"/>
  <c r="W86" i="2" s="1"/>
  <c r="U85" i="2"/>
  <c r="T85" i="2"/>
  <c r="S86" i="2" s="1"/>
  <c r="AA85" i="2"/>
  <c r="R86" i="2" l="1"/>
  <c r="Q87" i="2" s="1"/>
  <c r="J86" i="2"/>
  <c r="I87" i="2" s="1"/>
  <c r="Z86" i="2"/>
  <c r="Y87" i="2" s="1"/>
  <c r="N86" i="2"/>
  <c r="M87" i="2" s="1"/>
  <c r="P86" i="2"/>
  <c r="O87" i="2" s="1"/>
  <c r="U86" i="2"/>
  <c r="T86" i="2"/>
  <c r="S87" i="2" s="1"/>
  <c r="X86" i="2"/>
  <c r="W87" i="2" s="1"/>
  <c r="L86" i="2"/>
  <c r="K87" i="2" s="1"/>
  <c r="AA86" i="2"/>
  <c r="R87" i="2" l="1"/>
  <c r="Q88" i="2" s="1"/>
  <c r="J87" i="2"/>
  <c r="I88" i="2" s="1"/>
  <c r="Z87" i="2"/>
  <c r="Y88" i="2" s="1"/>
  <c r="P87" i="2"/>
  <c r="O88" i="2" s="1"/>
  <c r="L87" i="2"/>
  <c r="K88" i="2" s="1"/>
  <c r="T87" i="2"/>
  <c r="S88" i="2" s="1"/>
  <c r="X87" i="2"/>
  <c r="W88" i="2" s="1"/>
  <c r="N87" i="2"/>
  <c r="M88" i="2" s="1"/>
  <c r="U87" i="2"/>
  <c r="AA87" i="2"/>
  <c r="R88" i="2" l="1"/>
  <c r="Q89" i="2" s="1"/>
  <c r="J88" i="2"/>
  <c r="I89" i="2" s="1"/>
  <c r="Z88" i="2"/>
  <c r="Y89" i="2" s="1"/>
  <c r="N88" i="2"/>
  <c r="M89" i="2" s="1"/>
  <c r="U88" i="2"/>
  <c r="T88" i="2"/>
  <c r="S89" i="2" s="1"/>
  <c r="L88" i="2"/>
  <c r="K89" i="2" s="1"/>
  <c r="X88" i="2"/>
  <c r="W89" i="2" s="1"/>
  <c r="P88" i="2"/>
  <c r="O89" i="2" s="1"/>
  <c r="AA88" i="2"/>
  <c r="R89" i="2" l="1"/>
  <c r="Q90" i="2" s="1"/>
  <c r="J89" i="2"/>
  <c r="I90" i="2" s="1"/>
  <c r="Z89" i="2"/>
  <c r="Y90" i="2" s="1"/>
  <c r="P89" i="2"/>
  <c r="O90" i="2" s="1"/>
  <c r="U89" i="2"/>
  <c r="L89" i="2"/>
  <c r="K90" i="2" s="1"/>
  <c r="N89" i="2"/>
  <c r="M90" i="2" s="1"/>
  <c r="X89" i="2"/>
  <c r="W90" i="2" s="1"/>
  <c r="T89" i="2"/>
  <c r="S90" i="2" s="1"/>
  <c r="AA89" i="2"/>
  <c r="R90" i="2" l="1"/>
  <c r="Q91" i="2" s="1"/>
  <c r="J90" i="2"/>
  <c r="I91" i="2" s="1"/>
  <c r="Z90" i="2"/>
  <c r="Y91" i="2" s="1"/>
  <c r="P90" i="2"/>
  <c r="O91" i="2" s="1"/>
  <c r="T90" i="2"/>
  <c r="S91" i="2" s="1"/>
  <c r="U90" i="2"/>
  <c r="N90" i="2"/>
  <c r="M91" i="2" s="1"/>
  <c r="L90" i="2"/>
  <c r="K91" i="2" s="1"/>
  <c r="X90" i="2"/>
  <c r="W91" i="2" s="1"/>
  <c r="AA90" i="2"/>
  <c r="R91" i="2" l="1"/>
  <c r="Q92" i="2" s="1"/>
  <c r="J91" i="2"/>
  <c r="I92" i="2" s="1"/>
  <c r="Z91" i="2"/>
  <c r="Y92" i="2" s="1"/>
  <c r="P91" i="2"/>
  <c r="O92" i="2" s="1"/>
  <c r="T91" i="2"/>
  <c r="S92" i="2" s="1"/>
  <c r="U91" i="2"/>
  <c r="L91" i="2"/>
  <c r="K92" i="2" s="1"/>
  <c r="N91" i="2"/>
  <c r="M92" i="2" s="1"/>
  <c r="X91" i="2"/>
  <c r="W92" i="2" s="1"/>
  <c r="AA91" i="2"/>
  <c r="R92" i="2" l="1"/>
  <c r="Q93" i="2" s="1"/>
  <c r="J92" i="2"/>
  <c r="I93" i="2" s="1"/>
  <c r="Z92" i="2"/>
  <c r="Y93" i="2" s="1"/>
  <c r="T92" i="2"/>
  <c r="S93" i="2" s="1"/>
  <c r="U92" i="2"/>
  <c r="L92" i="2"/>
  <c r="K93" i="2" s="1"/>
  <c r="N92" i="2"/>
  <c r="M93" i="2" s="1"/>
  <c r="P92" i="2"/>
  <c r="O93" i="2" s="1"/>
  <c r="X92" i="2"/>
  <c r="W93" i="2" s="1"/>
  <c r="AA92" i="2"/>
  <c r="R93" i="2" l="1"/>
  <c r="Q94" i="2" s="1"/>
  <c r="J93" i="2"/>
  <c r="I94" i="2" s="1"/>
  <c r="Z93" i="2"/>
  <c r="Y94" i="2" s="1"/>
  <c r="T93" i="2"/>
  <c r="S94" i="2" s="1"/>
  <c r="N93" i="2"/>
  <c r="M94" i="2" s="1"/>
  <c r="U93" i="2"/>
  <c r="L93" i="2"/>
  <c r="K94" i="2" s="1"/>
  <c r="P93" i="2"/>
  <c r="O94" i="2" s="1"/>
  <c r="X93" i="2"/>
  <c r="W94" i="2" s="1"/>
  <c r="AA93" i="2"/>
  <c r="R94" i="2" l="1"/>
  <c r="Q95" i="2" s="1"/>
  <c r="J94" i="2"/>
  <c r="I95" i="2" s="1"/>
  <c r="Z94" i="2"/>
  <c r="Y95" i="2" s="1"/>
  <c r="U94" i="2"/>
  <c r="P94" i="2"/>
  <c r="O95" i="2" s="1"/>
  <c r="L94" i="2"/>
  <c r="K95" i="2" s="1"/>
  <c r="N94" i="2"/>
  <c r="M95" i="2" s="1"/>
  <c r="T94" i="2"/>
  <c r="S95" i="2" s="1"/>
  <c r="X94" i="2"/>
  <c r="W95" i="2" s="1"/>
  <c r="AA94" i="2"/>
  <c r="R95" i="2" l="1"/>
  <c r="Q96" i="2" s="1"/>
  <c r="J95" i="2"/>
  <c r="I96" i="2" s="1"/>
  <c r="N95" i="2"/>
  <c r="M96" i="2" s="1"/>
  <c r="Z95" i="2"/>
  <c r="Y96" i="2" s="1"/>
  <c r="L95" i="2"/>
  <c r="K96" i="2" s="1"/>
  <c r="U95" i="2"/>
  <c r="P95" i="2"/>
  <c r="O96" i="2" s="1"/>
  <c r="T95" i="2"/>
  <c r="S96" i="2" s="1"/>
  <c r="X95" i="2"/>
  <c r="W96" i="2" s="1"/>
  <c r="AA95" i="2"/>
  <c r="R96" i="2" l="1"/>
  <c r="Q97" i="2" s="1"/>
  <c r="J96" i="2"/>
  <c r="I97" i="2" s="1"/>
  <c r="N96" i="2"/>
  <c r="M97" i="2" s="1"/>
  <c r="Z96" i="2"/>
  <c r="Y97" i="2" s="1"/>
  <c r="T96" i="2"/>
  <c r="S97" i="2" s="1"/>
  <c r="L96" i="2"/>
  <c r="K97" i="2" s="1"/>
  <c r="P96" i="2"/>
  <c r="O97" i="2" s="1"/>
  <c r="U96" i="2"/>
  <c r="X96" i="2"/>
  <c r="W97" i="2" s="1"/>
  <c r="AA96" i="2"/>
  <c r="R97" i="2" l="1"/>
  <c r="Q98" i="2" s="1"/>
  <c r="J97" i="2"/>
  <c r="I98" i="2" s="1"/>
  <c r="N97" i="2"/>
  <c r="M98" i="2" s="1"/>
  <c r="U97" i="2"/>
  <c r="Z97" i="2"/>
  <c r="Y98" i="2" s="1"/>
  <c r="L97" i="2"/>
  <c r="K98" i="2" s="1"/>
  <c r="T97" i="2"/>
  <c r="S98" i="2" s="1"/>
  <c r="P97" i="2"/>
  <c r="O98" i="2" s="1"/>
  <c r="X97" i="2"/>
  <c r="W98" i="2" s="1"/>
  <c r="AA97" i="2"/>
  <c r="R98" i="2" l="1"/>
  <c r="Q99" i="2" s="1"/>
  <c r="J98" i="2"/>
  <c r="I99" i="2" s="1"/>
  <c r="N98" i="2"/>
  <c r="M99" i="2" s="1"/>
  <c r="Z98" i="2"/>
  <c r="Y99" i="2" s="1"/>
  <c r="L98" i="2"/>
  <c r="K99" i="2" s="1"/>
  <c r="T98" i="2"/>
  <c r="S99" i="2" s="1"/>
  <c r="U98" i="2"/>
  <c r="P98" i="2"/>
  <c r="O99" i="2" s="1"/>
  <c r="X98" i="2"/>
  <c r="W99" i="2" s="1"/>
  <c r="AA98" i="2"/>
  <c r="R99" i="2" l="1"/>
  <c r="Q100" i="2" s="1"/>
  <c r="J99" i="2"/>
  <c r="I100" i="2" s="1"/>
  <c r="P99" i="2"/>
  <c r="O100" i="2" s="1"/>
  <c r="Z99" i="2"/>
  <c r="Y100" i="2" s="1"/>
  <c r="U99" i="2"/>
  <c r="N99" i="2"/>
  <c r="M100" i="2" s="1"/>
  <c r="L99" i="2"/>
  <c r="K100" i="2" s="1"/>
  <c r="T99" i="2"/>
  <c r="S100" i="2" s="1"/>
  <c r="X99" i="2"/>
  <c r="W100" i="2" s="1"/>
  <c r="AA99" i="2"/>
  <c r="R100" i="2" l="1"/>
  <c r="Q101" i="2" s="1"/>
  <c r="J100" i="2"/>
  <c r="I101" i="2" s="1"/>
  <c r="Z100" i="2"/>
  <c r="Y101" i="2" s="1"/>
  <c r="P100" i="2"/>
  <c r="O101" i="2" s="1"/>
  <c r="N100" i="2"/>
  <c r="M101" i="2" s="1"/>
  <c r="H36" i="1"/>
  <c r="L100" i="2"/>
  <c r="K101" i="2" s="1"/>
  <c r="U100" i="2"/>
  <c r="T100" i="2"/>
  <c r="S101" i="2" s="1"/>
  <c r="X100" i="2"/>
  <c r="W101" i="2" s="1"/>
  <c r="AA100" i="2"/>
  <c r="R101" i="2" l="1"/>
  <c r="Q102" i="2" s="1"/>
  <c r="J101" i="2"/>
  <c r="I102" i="2" s="1"/>
  <c r="Z101" i="2"/>
  <c r="Y102" i="2" s="1"/>
  <c r="N101" i="2"/>
  <c r="M102" i="2" s="1"/>
  <c r="P101" i="2"/>
  <c r="O102" i="2" s="1"/>
  <c r="L101" i="2"/>
  <c r="K102" i="2" s="1"/>
  <c r="T101" i="2"/>
  <c r="S102" i="2" s="1"/>
  <c r="U101" i="2"/>
  <c r="X101" i="2"/>
  <c r="W102" i="2" s="1"/>
  <c r="AA101" i="2"/>
  <c r="R102" i="2" l="1"/>
  <c r="Q103" i="2" s="1"/>
  <c r="J102" i="2"/>
  <c r="I103" i="2" s="1"/>
  <c r="Z102" i="2"/>
  <c r="Y103" i="2" s="1"/>
  <c r="N102" i="2"/>
  <c r="M103" i="2" s="1"/>
  <c r="P102" i="2"/>
  <c r="O103" i="2" s="1"/>
  <c r="U102" i="2"/>
  <c r="L102" i="2"/>
  <c r="K103" i="2" s="1"/>
  <c r="T102" i="2"/>
  <c r="S103" i="2" s="1"/>
  <c r="X102" i="2"/>
  <c r="W103" i="2" s="1"/>
  <c r="AA102" i="2"/>
  <c r="R103" i="2" l="1"/>
  <c r="Q104" i="2" s="1"/>
  <c r="J103" i="2"/>
  <c r="I104" i="2" s="1"/>
  <c r="Z103" i="2"/>
  <c r="Y104" i="2" s="1"/>
  <c r="N103" i="2"/>
  <c r="M104" i="2" s="1"/>
  <c r="P103" i="2"/>
  <c r="O104" i="2" s="1"/>
  <c r="U103" i="2"/>
  <c r="T103" i="2"/>
  <c r="S104" i="2" s="1"/>
  <c r="L103" i="2"/>
  <c r="K104" i="2" s="1"/>
  <c r="X103" i="2"/>
  <c r="W104" i="2" s="1"/>
  <c r="AA103" i="2"/>
  <c r="R104" i="2" l="1"/>
  <c r="Q105" i="2" s="1"/>
  <c r="J104" i="2"/>
  <c r="I105" i="2" s="1"/>
  <c r="Z104" i="2"/>
  <c r="Y105" i="2" s="1"/>
  <c r="T104" i="2"/>
  <c r="S105" i="2" s="1"/>
  <c r="P104" i="2"/>
  <c r="O105" i="2" s="1"/>
  <c r="U104" i="2"/>
  <c r="N104" i="2"/>
  <c r="M105" i="2" s="1"/>
  <c r="L104" i="2"/>
  <c r="K105" i="2" s="1"/>
  <c r="X104" i="2"/>
  <c r="W105" i="2" s="1"/>
  <c r="AA104" i="2"/>
  <c r="R105" i="2" l="1"/>
  <c r="Q106" i="2" s="1"/>
  <c r="J105" i="2"/>
  <c r="I106" i="2" s="1"/>
  <c r="Z105" i="2"/>
  <c r="Y106" i="2" s="1"/>
  <c r="P105" i="2"/>
  <c r="O106" i="2" s="1"/>
  <c r="T105" i="2"/>
  <c r="S106" i="2" s="1"/>
  <c r="N105" i="2"/>
  <c r="M106" i="2" s="1"/>
  <c r="U105" i="2"/>
  <c r="L105" i="2"/>
  <c r="K106" i="2" s="1"/>
  <c r="X105" i="2"/>
  <c r="W106" i="2" s="1"/>
  <c r="AA105" i="2"/>
  <c r="R106" i="2" l="1"/>
  <c r="Q107" i="2" s="1"/>
  <c r="J106" i="2"/>
  <c r="I107" i="2" s="1"/>
  <c r="P106" i="2"/>
  <c r="O107" i="2" s="1"/>
  <c r="Z106" i="2"/>
  <c r="Y107" i="2" s="1"/>
  <c r="T106" i="2"/>
  <c r="S107" i="2" s="1"/>
  <c r="U106" i="2"/>
  <c r="N106" i="2"/>
  <c r="M107" i="2" s="1"/>
  <c r="L106" i="2"/>
  <c r="K107" i="2" s="1"/>
  <c r="X106" i="2"/>
  <c r="W107" i="2" s="1"/>
  <c r="AA106" i="2"/>
  <c r="J107" i="2" l="1"/>
  <c r="I108" i="2" s="1"/>
  <c r="R107" i="2"/>
  <c r="Q108" i="2" s="1"/>
  <c r="Z107" i="2"/>
  <c r="Y108" i="2" s="1"/>
  <c r="T107" i="2"/>
  <c r="S108" i="2" s="1"/>
  <c r="P107" i="2"/>
  <c r="O108" i="2" s="1"/>
  <c r="U107" i="2"/>
  <c r="N107" i="2"/>
  <c r="M108" i="2" s="1"/>
  <c r="L107" i="2"/>
  <c r="K108" i="2" s="1"/>
  <c r="X107" i="2"/>
  <c r="W108" i="2" s="1"/>
  <c r="AA107" i="2"/>
  <c r="R108" i="2" l="1"/>
  <c r="Q109" i="2" s="1"/>
  <c r="J108" i="2"/>
  <c r="I109" i="2" s="1"/>
  <c r="Z108" i="2"/>
  <c r="Y109" i="2" s="1"/>
  <c r="T108" i="2"/>
  <c r="S109" i="2" s="1"/>
  <c r="P108" i="2"/>
  <c r="O109" i="2" s="1"/>
  <c r="U108" i="2"/>
  <c r="N108" i="2"/>
  <c r="M109" i="2" s="1"/>
  <c r="L108" i="2"/>
  <c r="K109" i="2" s="1"/>
  <c r="X108" i="2"/>
  <c r="W109" i="2" s="1"/>
  <c r="AA108" i="2"/>
  <c r="R109" i="2" l="1"/>
  <c r="Q110" i="2" s="1"/>
  <c r="J109" i="2"/>
  <c r="I110" i="2" s="1"/>
  <c r="Z109" i="2"/>
  <c r="Y110" i="2" s="1"/>
  <c r="P109" i="2"/>
  <c r="O110" i="2" s="1"/>
  <c r="T109" i="2"/>
  <c r="S110" i="2" s="1"/>
  <c r="U109" i="2"/>
  <c r="N109" i="2"/>
  <c r="M110" i="2" s="1"/>
  <c r="L109" i="2"/>
  <c r="K110" i="2" s="1"/>
  <c r="X109" i="2"/>
  <c r="W110" i="2" s="1"/>
  <c r="AA109" i="2"/>
  <c r="R110" i="2" l="1"/>
  <c r="Q111" i="2" s="1"/>
  <c r="J110" i="2"/>
  <c r="I111" i="2" s="1"/>
  <c r="Z110" i="2"/>
  <c r="Y111" i="2" s="1"/>
  <c r="P110" i="2"/>
  <c r="O111" i="2" s="1"/>
  <c r="T110" i="2"/>
  <c r="S111" i="2" s="1"/>
  <c r="N110" i="2"/>
  <c r="M111" i="2" s="1"/>
  <c r="U110" i="2"/>
  <c r="L110" i="2"/>
  <c r="K111" i="2" s="1"/>
  <c r="X110" i="2"/>
  <c r="W111" i="2" s="1"/>
  <c r="AA110" i="2"/>
  <c r="R111" i="2" l="1"/>
  <c r="Q112" i="2" s="1"/>
  <c r="J111" i="2"/>
  <c r="I112" i="2" s="1"/>
  <c r="Z111" i="2"/>
  <c r="Y112" i="2" s="1"/>
  <c r="T111" i="2"/>
  <c r="S112" i="2" s="1"/>
  <c r="U111" i="2"/>
  <c r="P111" i="2"/>
  <c r="O112" i="2" s="1"/>
  <c r="N111" i="2"/>
  <c r="M112" i="2" s="1"/>
  <c r="L111" i="2"/>
  <c r="K112" i="2" s="1"/>
  <c r="X111" i="2"/>
  <c r="W112" i="2" s="1"/>
  <c r="AA111" i="2"/>
  <c r="R112" i="2" l="1"/>
  <c r="Q113" i="2" s="1"/>
  <c r="J112" i="2"/>
  <c r="I113" i="2" s="1"/>
  <c r="Z112" i="2"/>
  <c r="Y113" i="2" s="1"/>
  <c r="T112" i="2"/>
  <c r="S113" i="2" s="1"/>
  <c r="P112" i="2"/>
  <c r="O113" i="2" s="1"/>
  <c r="N112" i="2"/>
  <c r="M113" i="2" s="1"/>
  <c r="U112" i="2"/>
  <c r="L112" i="2"/>
  <c r="K113" i="2" s="1"/>
  <c r="X112" i="2"/>
  <c r="W113" i="2" s="1"/>
  <c r="AA112" i="2"/>
  <c r="R113" i="2" l="1"/>
  <c r="Q114" i="2" s="1"/>
  <c r="J113" i="2"/>
  <c r="I114" i="2" s="1"/>
  <c r="Z113" i="2"/>
  <c r="Y114" i="2" s="1"/>
  <c r="T113" i="2"/>
  <c r="S114" i="2" s="1"/>
  <c r="N113" i="2"/>
  <c r="M114" i="2" s="1"/>
  <c r="U113" i="2"/>
  <c r="P113" i="2"/>
  <c r="O114" i="2" s="1"/>
  <c r="L113" i="2"/>
  <c r="K114" i="2" s="1"/>
  <c r="X113" i="2"/>
  <c r="W114" i="2" s="1"/>
  <c r="AA113" i="2"/>
  <c r="R114" i="2" l="1"/>
  <c r="Q115" i="2" s="1"/>
  <c r="J114" i="2"/>
  <c r="I115" i="2" s="1"/>
  <c r="P114" i="2"/>
  <c r="O115" i="2" s="1"/>
  <c r="T114" i="2"/>
  <c r="S115" i="2" s="1"/>
  <c r="Z114" i="2"/>
  <c r="Y115" i="2" s="1"/>
  <c r="U114" i="2"/>
  <c r="N114" i="2"/>
  <c r="M115" i="2" s="1"/>
  <c r="L114" i="2"/>
  <c r="K115" i="2" s="1"/>
  <c r="X114" i="2"/>
  <c r="W115" i="2" s="1"/>
  <c r="AA114" i="2"/>
  <c r="R115" i="2" l="1"/>
  <c r="Q116" i="2" s="1"/>
  <c r="J115" i="2"/>
  <c r="I116" i="2" s="1"/>
  <c r="Z115" i="2"/>
  <c r="Y116" i="2" s="1"/>
  <c r="T115" i="2"/>
  <c r="S116" i="2" s="1"/>
  <c r="N115" i="2"/>
  <c r="M116" i="2" s="1"/>
  <c r="P115" i="2"/>
  <c r="O116" i="2" s="1"/>
  <c r="U115" i="2"/>
  <c r="L115" i="2"/>
  <c r="K116" i="2" s="1"/>
  <c r="X115" i="2"/>
  <c r="W116" i="2" s="1"/>
  <c r="AA115" i="2"/>
  <c r="R116" i="2" l="1"/>
  <c r="Q117" i="2" s="1"/>
  <c r="J116" i="2"/>
  <c r="I117" i="2" s="1"/>
  <c r="Z116" i="2"/>
  <c r="Y117" i="2" s="1"/>
  <c r="U116" i="2"/>
  <c r="T116" i="2"/>
  <c r="S117" i="2" s="1"/>
  <c r="P116" i="2"/>
  <c r="O117" i="2" s="1"/>
  <c r="N116" i="2"/>
  <c r="M117" i="2" s="1"/>
  <c r="L116" i="2"/>
  <c r="K117" i="2" s="1"/>
  <c r="X116" i="2"/>
  <c r="W117" i="2" s="1"/>
  <c r="AA116" i="2"/>
  <c r="R117" i="2" l="1"/>
  <c r="Q118" i="2" s="1"/>
  <c r="J117" i="2"/>
  <c r="I118" i="2" s="1"/>
  <c r="Z117" i="2"/>
  <c r="Y118" i="2" s="1"/>
  <c r="U117" i="2"/>
  <c r="N117" i="2"/>
  <c r="M118" i="2" s="1"/>
  <c r="P117" i="2"/>
  <c r="O118" i="2" s="1"/>
  <c r="T117" i="2"/>
  <c r="S118" i="2" s="1"/>
  <c r="L117" i="2"/>
  <c r="K118" i="2" s="1"/>
  <c r="X117" i="2"/>
  <c r="W118" i="2" s="1"/>
  <c r="AA117" i="2"/>
  <c r="R118" i="2" l="1"/>
  <c r="Q119" i="2" s="1"/>
  <c r="J118" i="2"/>
  <c r="I119" i="2" s="1"/>
  <c r="Z118" i="2"/>
  <c r="Y119" i="2" s="1"/>
  <c r="T118" i="2"/>
  <c r="S119" i="2" s="1"/>
  <c r="N118" i="2"/>
  <c r="M119" i="2" s="1"/>
  <c r="U118" i="2"/>
  <c r="P118" i="2"/>
  <c r="O119" i="2" s="1"/>
  <c r="L118" i="2"/>
  <c r="K119" i="2" s="1"/>
  <c r="X118" i="2"/>
  <c r="W119" i="2" s="1"/>
  <c r="AA118" i="2"/>
  <c r="R119" i="2" l="1"/>
  <c r="Q120" i="2" s="1"/>
  <c r="J119" i="2"/>
  <c r="I120" i="2" s="1"/>
  <c r="Z119" i="2"/>
  <c r="Y120" i="2" s="1"/>
  <c r="U119" i="2"/>
  <c r="T119" i="2"/>
  <c r="S120" i="2" s="1"/>
  <c r="P119" i="2"/>
  <c r="O120" i="2" s="1"/>
  <c r="N119" i="2"/>
  <c r="M120" i="2" s="1"/>
  <c r="L119" i="2"/>
  <c r="K120" i="2" s="1"/>
  <c r="X119" i="2"/>
  <c r="W120" i="2" s="1"/>
  <c r="AA119" i="2"/>
  <c r="R120" i="2" l="1"/>
  <c r="Q121" i="2" s="1"/>
  <c r="J120" i="2"/>
  <c r="I121" i="2" s="1"/>
  <c r="Z120" i="2"/>
  <c r="Y121" i="2" s="1"/>
  <c r="N120" i="2"/>
  <c r="M121" i="2" s="1"/>
  <c r="P120" i="2"/>
  <c r="O121" i="2" s="1"/>
  <c r="U120" i="2"/>
  <c r="T120" i="2"/>
  <c r="S121" i="2" s="1"/>
  <c r="L120" i="2"/>
  <c r="K121" i="2" s="1"/>
  <c r="X120" i="2"/>
  <c r="W121" i="2" s="1"/>
  <c r="AA120" i="2"/>
  <c r="R121" i="2" l="1"/>
  <c r="Q122" i="2" s="1"/>
  <c r="J121" i="2"/>
  <c r="I122" i="2" s="1"/>
  <c r="Z121" i="2"/>
  <c r="Y122" i="2" s="1"/>
  <c r="P121" i="2"/>
  <c r="O122" i="2" s="1"/>
  <c r="N121" i="2"/>
  <c r="M122" i="2" s="1"/>
  <c r="U121" i="2"/>
  <c r="T121" i="2"/>
  <c r="S122" i="2" s="1"/>
  <c r="L121" i="2"/>
  <c r="K122" i="2" s="1"/>
  <c r="X121" i="2"/>
  <c r="W122" i="2" s="1"/>
  <c r="AA121" i="2"/>
  <c r="R122" i="2" l="1"/>
  <c r="Q123" i="2" s="1"/>
  <c r="J122" i="2"/>
  <c r="I123" i="2" s="1"/>
  <c r="T122" i="2"/>
  <c r="S123" i="2" s="1"/>
  <c r="Z122" i="2"/>
  <c r="Y123" i="2" s="1"/>
  <c r="P122" i="2"/>
  <c r="O123" i="2" s="1"/>
  <c r="U122" i="2"/>
  <c r="N122" i="2"/>
  <c r="M123" i="2" s="1"/>
  <c r="L122" i="2"/>
  <c r="K123" i="2" s="1"/>
  <c r="X122" i="2"/>
  <c r="W123" i="2" s="1"/>
  <c r="AA122" i="2"/>
  <c r="R123" i="2" l="1"/>
  <c r="Q124" i="2" s="1"/>
  <c r="J123" i="2"/>
  <c r="I124" i="2" s="1"/>
  <c r="Z123" i="2"/>
  <c r="Y124" i="2" s="1"/>
  <c r="T123" i="2"/>
  <c r="S124" i="2" s="1"/>
  <c r="P123" i="2"/>
  <c r="O124" i="2" s="1"/>
  <c r="U123" i="2"/>
  <c r="N123" i="2"/>
  <c r="M124" i="2" s="1"/>
  <c r="L123" i="2"/>
  <c r="K124" i="2" s="1"/>
  <c r="X123" i="2"/>
  <c r="W124" i="2" s="1"/>
  <c r="AA123" i="2"/>
  <c r="R124" i="2" l="1"/>
  <c r="Q125" i="2" s="1"/>
  <c r="J124" i="2"/>
  <c r="I125" i="2" s="1"/>
  <c r="T124" i="2"/>
  <c r="S125" i="2" s="1"/>
  <c r="Z124" i="2"/>
  <c r="Y125" i="2" s="1"/>
  <c r="U124" i="2"/>
  <c r="P124" i="2"/>
  <c r="O125" i="2" s="1"/>
  <c r="N124" i="2"/>
  <c r="M125" i="2" s="1"/>
  <c r="L124" i="2"/>
  <c r="K125" i="2" s="1"/>
  <c r="X124" i="2"/>
  <c r="W125" i="2" s="1"/>
  <c r="AA124" i="2"/>
  <c r="R125" i="2" l="1"/>
  <c r="Q126" i="2" s="1"/>
  <c r="J125" i="2"/>
  <c r="I126" i="2" s="1"/>
  <c r="Z125" i="2"/>
  <c r="Y126" i="2" s="1"/>
  <c r="N125" i="2"/>
  <c r="M126" i="2" s="1"/>
  <c r="T125" i="2"/>
  <c r="S126" i="2" s="1"/>
  <c r="P125" i="2"/>
  <c r="O126" i="2" s="1"/>
  <c r="U125" i="2"/>
  <c r="L125" i="2"/>
  <c r="K126" i="2" s="1"/>
  <c r="X125" i="2"/>
  <c r="W126" i="2" s="1"/>
  <c r="AA125" i="2"/>
  <c r="R126" i="2" l="1"/>
  <c r="Q127" i="2" s="1"/>
  <c r="J126" i="2"/>
  <c r="I127" i="2" s="1"/>
  <c r="N126" i="2"/>
  <c r="M127" i="2" s="1"/>
  <c r="T126" i="2"/>
  <c r="S127" i="2" s="1"/>
  <c r="Z126" i="2"/>
  <c r="Y127" i="2" s="1"/>
  <c r="U126" i="2"/>
  <c r="P126" i="2"/>
  <c r="O127" i="2" s="1"/>
  <c r="L126" i="2"/>
  <c r="K127" i="2" s="1"/>
  <c r="X126" i="2"/>
  <c r="W127" i="2" s="1"/>
  <c r="AA126" i="2"/>
  <c r="R127" i="2" l="1"/>
  <c r="Q128" i="2" s="1"/>
  <c r="J127" i="2"/>
  <c r="I128" i="2" s="1"/>
  <c r="U127" i="2"/>
  <c r="Z127" i="2"/>
  <c r="Y128" i="2" s="1"/>
  <c r="P127" i="2"/>
  <c r="O128" i="2" s="1"/>
  <c r="T127" i="2"/>
  <c r="S128" i="2" s="1"/>
  <c r="L127" i="2"/>
  <c r="K128" i="2" s="1"/>
  <c r="N127" i="2"/>
  <c r="M128" i="2" s="1"/>
  <c r="X127" i="2"/>
  <c r="W128" i="2" s="1"/>
  <c r="AA127" i="2"/>
  <c r="R128" i="2" l="1"/>
  <c r="Q129" i="2" s="1"/>
  <c r="J128" i="2"/>
  <c r="I129" i="2" s="1"/>
  <c r="P128" i="2"/>
  <c r="O129" i="2" s="1"/>
  <c r="T128" i="2"/>
  <c r="S129" i="2" s="1"/>
  <c r="Z128" i="2"/>
  <c r="Y129" i="2" s="1"/>
  <c r="L128" i="2"/>
  <c r="K129" i="2" s="1"/>
  <c r="U128" i="2"/>
  <c r="N128" i="2"/>
  <c r="M129" i="2" s="1"/>
  <c r="X128" i="2"/>
  <c r="W129" i="2" s="1"/>
  <c r="AA128" i="2"/>
  <c r="R129" i="2" l="1"/>
  <c r="Q130" i="2" s="1"/>
  <c r="J129" i="2"/>
  <c r="I130" i="2" s="1"/>
  <c r="T129" i="2"/>
  <c r="S130" i="2" s="1"/>
  <c r="Z129" i="2"/>
  <c r="Y130" i="2" s="1"/>
  <c r="P129" i="2"/>
  <c r="O130" i="2" s="1"/>
  <c r="N129" i="2"/>
  <c r="M130" i="2" s="1"/>
  <c r="L129" i="2"/>
  <c r="K130" i="2" s="1"/>
  <c r="U129" i="2"/>
  <c r="X129" i="2"/>
  <c r="W130" i="2" s="1"/>
  <c r="AA129" i="2"/>
  <c r="R130" i="2" l="1"/>
  <c r="Q131" i="2" s="1"/>
  <c r="J130" i="2"/>
  <c r="I131" i="2" s="1"/>
  <c r="Z130" i="2"/>
  <c r="Y131" i="2" s="1"/>
  <c r="U130" i="2"/>
  <c r="T130" i="2"/>
  <c r="S131" i="2" s="1"/>
  <c r="N130" i="2"/>
  <c r="M131" i="2" s="1"/>
  <c r="P130" i="2"/>
  <c r="O131" i="2" s="1"/>
  <c r="L130" i="2"/>
  <c r="K131" i="2" s="1"/>
  <c r="X130" i="2"/>
  <c r="W131" i="2" s="1"/>
  <c r="AA130" i="2"/>
  <c r="R131" i="2" l="1"/>
  <c r="Q132" i="2" s="1"/>
  <c r="J131" i="2"/>
  <c r="I132" i="2" s="1"/>
  <c r="Z131" i="2"/>
  <c r="Y132" i="2" s="1"/>
  <c r="N131" i="2"/>
  <c r="M132" i="2" s="1"/>
  <c r="P131" i="2"/>
  <c r="O132" i="2" s="1"/>
  <c r="U131" i="2"/>
  <c r="T131" i="2"/>
  <c r="S132" i="2" s="1"/>
  <c r="L131" i="2"/>
  <c r="K132" i="2" s="1"/>
  <c r="X131" i="2"/>
  <c r="W132" i="2" s="1"/>
  <c r="AA131" i="2"/>
  <c r="R132" i="2" l="1"/>
  <c r="Q133" i="2" s="1"/>
  <c r="J132" i="2"/>
  <c r="I133" i="2" s="1"/>
  <c r="Z132" i="2"/>
  <c r="Y133" i="2" s="1"/>
  <c r="P132" i="2"/>
  <c r="O133" i="2" s="1"/>
  <c r="T132" i="2"/>
  <c r="S133" i="2" s="1"/>
  <c r="N132" i="2"/>
  <c r="M133" i="2" s="1"/>
  <c r="U132" i="2"/>
  <c r="L132" i="2"/>
  <c r="K133" i="2" s="1"/>
  <c r="X132" i="2"/>
  <c r="W133" i="2" s="1"/>
  <c r="AA132" i="2"/>
  <c r="R133" i="2" l="1"/>
  <c r="Q134" i="2" s="1"/>
  <c r="J133" i="2"/>
  <c r="I134" i="2" s="1"/>
  <c r="N133" i="2"/>
  <c r="M134" i="2" s="1"/>
  <c r="P133" i="2"/>
  <c r="O134" i="2" s="1"/>
  <c r="T133" i="2"/>
  <c r="S134" i="2" s="1"/>
  <c r="U133" i="2"/>
  <c r="Z133" i="2"/>
  <c r="Y134" i="2" s="1"/>
  <c r="L133" i="2"/>
  <c r="K134" i="2" s="1"/>
  <c r="X133" i="2"/>
  <c r="W134" i="2" s="1"/>
  <c r="AA133" i="2"/>
  <c r="J134" i="2" l="1"/>
  <c r="I135" i="2" s="1"/>
  <c r="R134" i="2"/>
  <c r="Q135" i="2" s="1"/>
  <c r="P134" i="2"/>
  <c r="O135" i="2" s="1"/>
  <c r="Z134" i="2"/>
  <c r="Y135" i="2" s="1"/>
  <c r="T134" i="2"/>
  <c r="S135" i="2" s="1"/>
  <c r="N134" i="2"/>
  <c r="M135" i="2" s="1"/>
  <c r="L134" i="2"/>
  <c r="K135" i="2" s="1"/>
  <c r="U134" i="2"/>
  <c r="X134" i="2"/>
  <c r="W135" i="2" s="1"/>
  <c r="AA134" i="2"/>
  <c r="R135" i="2" l="1"/>
  <c r="Q136" i="2" s="1"/>
  <c r="J135" i="2"/>
  <c r="I136" i="2" s="1"/>
  <c r="Z135" i="2"/>
  <c r="Y136" i="2" s="1"/>
  <c r="T135" i="2"/>
  <c r="S136" i="2" s="1"/>
  <c r="N135" i="2"/>
  <c r="M136" i="2" s="1"/>
  <c r="P135" i="2"/>
  <c r="O136" i="2" s="1"/>
  <c r="U135" i="2"/>
  <c r="L135" i="2"/>
  <c r="K136" i="2" s="1"/>
  <c r="X135" i="2"/>
  <c r="W136" i="2" s="1"/>
  <c r="AA135" i="2"/>
  <c r="R136" i="2" l="1"/>
  <c r="J136" i="2"/>
  <c r="Z136" i="2"/>
  <c r="P136" i="2"/>
  <c r="N136" i="2"/>
  <c r="T136" i="2"/>
  <c r="U136" i="2"/>
  <c r="L136" i="2"/>
  <c r="X136" i="2"/>
  <c r="AA136" i="2"/>
  <c r="O2" i="14" l="1" a="1"/>
  <c r="O8" i="14" l="1"/>
  <c r="O3" i="14"/>
  <c r="O7" i="14"/>
  <c r="O2" i="14"/>
  <c r="O9" i="14"/>
  <c r="O5" i="14"/>
  <c r="O4" i="14"/>
  <c r="O6" i="14"/>
  <c r="O12" i="14" l="1" a="1"/>
  <c r="O17" i="14" s="1"/>
  <c r="O16" i="14" l="1"/>
  <c r="O13" i="14"/>
  <c r="O14" i="14"/>
  <c r="O15" i="14"/>
  <c r="O19" i="14"/>
  <c r="O18" i="14"/>
  <c r="O12" i="14"/>
  <c r="O22" i="14" l="1" a="1"/>
  <c r="O29" i="14" s="1"/>
  <c r="O24" i="14" l="1"/>
  <c r="O25" i="14"/>
  <c r="O23" i="14"/>
  <c r="O26" i="14"/>
  <c r="O22" i="14"/>
  <c r="O28" i="14"/>
  <c r="O27" i="14"/>
  <c r="O32" i="14" l="1" a="1"/>
  <c r="O34" i="14" s="1"/>
  <c r="O32" i="14" l="1"/>
  <c r="O39" i="14"/>
  <c r="O36" i="14"/>
  <c r="O35" i="14"/>
  <c r="O37" i="14"/>
  <c r="O38" i="14"/>
  <c r="O33" i="14"/>
  <c r="O42" i="14" l="1" a="1"/>
  <c r="O49" i="14" s="1"/>
  <c r="O45" i="14" l="1"/>
  <c r="O44" i="14"/>
  <c r="O47" i="14"/>
  <c r="O43" i="14"/>
  <c r="O48" i="14"/>
  <c r="O42" i="14"/>
  <c r="O46" i="14"/>
  <c r="F65" i="14" a="1"/>
  <c r="F65" i="14" l="1"/>
  <c r="G67" i="14"/>
  <c r="H65" i="14"/>
  <c r="H71" i="14"/>
  <c r="I71" i="14"/>
  <c r="F71" i="14"/>
  <c r="J67" i="14"/>
  <c r="K65" i="14"/>
  <c r="K67" i="14"/>
  <c r="K69" i="14"/>
  <c r="K71" i="14"/>
  <c r="L65" i="14"/>
  <c r="L67" i="14"/>
  <c r="L69" i="14"/>
  <c r="L71" i="14"/>
  <c r="M65" i="14"/>
  <c r="M67" i="14"/>
  <c r="M69" i="14"/>
  <c r="M71" i="14"/>
  <c r="J66" i="14"/>
  <c r="F69" i="14"/>
  <c r="F72" i="14"/>
  <c r="F70" i="14"/>
  <c r="G66" i="14"/>
  <c r="G68" i="14"/>
  <c r="G70" i="14"/>
  <c r="G72" i="14"/>
  <c r="H66" i="14"/>
  <c r="H68" i="14"/>
  <c r="H70" i="14"/>
  <c r="H72" i="14"/>
  <c r="I66" i="14"/>
  <c r="I68" i="14"/>
  <c r="I70" i="14"/>
  <c r="I72" i="14"/>
  <c r="F67" i="14"/>
  <c r="J69" i="14"/>
  <c r="J72" i="14"/>
  <c r="J71" i="14"/>
  <c r="K66" i="14"/>
  <c r="K68" i="14"/>
  <c r="K70" i="14"/>
  <c r="K72" i="14"/>
  <c r="L66" i="14"/>
  <c r="L68" i="14"/>
  <c r="L70" i="14"/>
  <c r="L72" i="14"/>
  <c r="M66" i="14"/>
  <c r="M68" i="14"/>
  <c r="M70" i="14"/>
  <c r="J65" i="14"/>
  <c r="F68" i="14"/>
  <c r="J70" i="14"/>
  <c r="M72" i="14"/>
  <c r="G65" i="14"/>
  <c r="G69" i="14"/>
  <c r="G71" i="14"/>
  <c r="H67" i="14"/>
  <c r="H69" i="14"/>
  <c r="I65" i="14"/>
  <c r="I67" i="14"/>
  <c r="I69" i="14"/>
  <c r="F66" i="14"/>
  <c r="J68" i="14"/>
  <c r="H130" i="14" l="1"/>
  <c r="H126" i="14"/>
  <c r="H127" i="14"/>
  <c r="H131" i="14"/>
  <c r="H133" i="14"/>
  <c r="H132" i="14"/>
  <c r="H129" i="14"/>
  <c r="H128" i="14"/>
  <c r="F75" i="14" a="1"/>
  <c r="F75" i="14"/>
  <c r="F77" i="14"/>
  <c r="F79" i="14"/>
  <c r="F81" i="14"/>
  <c r="G75" i="14"/>
  <c r="G77" i="14"/>
  <c r="G79" i="14"/>
  <c r="G81" i="14"/>
  <c r="H75" i="14"/>
  <c r="H77" i="14"/>
  <c r="H79" i="14"/>
  <c r="H81" i="14"/>
  <c r="I75" i="14"/>
  <c r="I77" i="14"/>
  <c r="I79" i="14"/>
  <c r="I81" i="14"/>
  <c r="J75" i="14"/>
  <c r="J77" i="14"/>
  <c r="J79" i="14"/>
  <c r="J81" i="14"/>
  <c r="K75" i="14"/>
  <c r="K77" i="14"/>
  <c r="K79" i="14"/>
  <c r="K81" i="14"/>
  <c r="L75" i="14"/>
  <c r="L77" i="14"/>
  <c r="L79" i="14"/>
  <c r="L81" i="14"/>
  <c r="M75" i="14"/>
  <c r="M77" i="14"/>
  <c r="M79" i="14"/>
  <c r="M81" i="14"/>
  <c r="F76" i="14"/>
  <c r="F78" i="14"/>
  <c r="F80" i="14"/>
  <c r="F82" i="14"/>
  <c r="G76" i="14"/>
  <c r="G78" i="14"/>
  <c r="G80" i="14"/>
  <c r="G82" i="14"/>
  <c r="H76" i="14"/>
  <c r="H78" i="14"/>
  <c r="H80" i="14"/>
  <c r="H82" i="14"/>
  <c r="I76" i="14"/>
  <c r="I78" i="14"/>
  <c r="I80" i="14"/>
  <c r="I82" i="14"/>
  <c r="J76" i="14"/>
  <c r="J78" i="14"/>
  <c r="J80" i="14"/>
  <c r="J82" i="14"/>
  <c r="K76" i="14"/>
  <c r="K78" i="14"/>
  <c r="K80" i="14"/>
  <c r="K82" i="14"/>
  <c r="L76" i="14"/>
  <c r="L78" i="14"/>
  <c r="L80" i="14"/>
  <c r="L82" i="14"/>
  <c r="M76" i="14"/>
  <c r="M78" i="14"/>
  <c r="M80" i="14"/>
  <c r="M82" i="14"/>
  <c r="I133" i="14" l="1"/>
  <c r="I132" i="14"/>
  <c r="I127" i="14"/>
  <c r="I129" i="14"/>
  <c r="I128" i="14"/>
  <c r="I131" i="14"/>
  <c r="I126" i="14"/>
  <c r="I130" i="14"/>
  <c r="F55" i="14" a="1"/>
  <c r="M62" i="14"/>
  <c r="M60" i="14"/>
  <c r="M58" i="14"/>
  <c r="M56" i="14"/>
  <c r="G62" i="14"/>
  <c r="K57" i="14"/>
  <c r="J61" i="14"/>
  <c r="J57" i="14"/>
  <c r="H62" i="14"/>
  <c r="H60" i="14"/>
  <c r="H58" i="14"/>
  <c r="H56" i="14"/>
  <c r="K61" i="14"/>
  <c r="G58" i="14"/>
  <c r="F62" i="14"/>
  <c r="F58" i="14"/>
  <c r="I55" i="14"/>
  <c r="L60" i="14"/>
  <c r="G59" i="14"/>
  <c r="I62" i="14"/>
  <c r="I60" i="14"/>
  <c r="I58" i="14"/>
  <c r="I56" i="14"/>
  <c r="K60" i="14"/>
  <c r="K56" i="14"/>
  <c r="J60" i="14"/>
  <c r="J56" i="14"/>
  <c r="L61" i="14"/>
  <c r="L59" i="14"/>
  <c r="L57" i="14"/>
  <c r="L55" i="14"/>
  <c r="G61" i="14"/>
  <c r="G57" i="14"/>
  <c r="F61" i="14"/>
  <c r="F57" i="14"/>
  <c r="K58" i="14"/>
  <c r="L56" i="14"/>
  <c r="F59" i="14"/>
  <c r="M61" i="14"/>
  <c r="M59" i="14"/>
  <c r="M57" i="14"/>
  <c r="M55" i="14"/>
  <c r="K59" i="14"/>
  <c r="K55" i="14"/>
  <c r="J59" i="14"/>
  <c r="J55" i="14"/>
  <c r="H61" i="14"/>
  <c r="H59" i="14"/>
  <c r="H57" i="14"/>
  <c r="H55" i="14"/>
  <c r="G60" i="14"/>
  <c r="G56" i="14"/>
  <c r="F60" i="14"/>
  <c r="F56" i="14"/>
  <c r="I61" i="14"/>
  <c r="I59" i="14"/>
  <c r="I57" i="14"/>
  <c r="J62" i="14"/>
  <c r="J58" i="14"/>
  <c r="L62" i="14"/>
  <c r="L58" i="14"/>
  <c r="K62" i="14"/>
  <c r="G55" i="14"/>
  <c r="F55" i="14"/>
  <c r="G126" i="14" l="1"/>
  <c r="G132" i="14"/>
  <c r="G133" i="14"/>
  <c r="G129" i="14"/>
  <c r="G128" i="14"/>
  <c r="G127" i="14"/>
  <c r="G130" i="14"/>
  <c r="G131" i="14"/>
  <c r="F45" i="14" a="1"/>
  <c r="F45" i="14"/>
  <c r="F47" i="14"/>
  <c r="F49" i="14"/>
  <c r="F51" i="14"/>
  <c r="G45" i="14"/>
  <c r="G47" i="14"/>
  <c r="G49" i="14"/>
  <c r="G51" i="14"/>
  <c r="H45" i="14"/>
  <c r="H47" i="14"/>
  <c r="H49" i="14"/>
  <c r="H51" i="14"/>
  <c r="I45" i="14"/>
  <c r="I47" i="14"/>
  <c r="I49" i="14"/>
  <c r="I51" i="14"/>
  <c r="F48" i="14"/>
  <c r="F52" i="14"/>
  <c r="G48" i="14"/>
  <c r="G52" i="14"/>
  <c r="H48" i="14"/>
  <c r="H52" i="14"/>
  <c r="I48" i="14"/>
  <c r="I52" i="14"/>
  <c r="J46" i="14"/>
  <c r="J50" i="14"/>
  <c r="K46" i="14"/>
  <c r="K52" i="14"/>
  <c r="L48" i="14"/>
  <c r="L50" i="14"/>
  <c r="M46" i="14"/>
  <c r="M50" i="14"/>
  <c r="J45" i="14"/>
  <c r="J47" i="14"/>
  <c r="J49" i="14"/>
  <c r="J51" i="14"/>
  <c r="K45" i="14"/>
  <c r="K47" i="14"/>
  <c r="K49" i="14"/>
  <c r="K51" i="14"/>
  <c r="L45" i="14"/>
  <c r="L47" i="14"/>
  <c r="L49" i="14"/>
  <c r="L51" i="14"/>
  <c r="M45" i="14"/>
  <c r="M47" i="14"/>
  <c r="M49" i="14"/>
  <c r="M51" i="14"/>
  <c r="F46" i="14"/>
  <c r="F50" i="14"/>
  <c r="G46" i="14"/>
  <c r="G50" i="14"/>
  <c r="H46" i="14"/>
  <c r="H50" i="14"/>
  <c r="I46" i="14"/>
  <c r="I50" i="14"/>
  <c r="J48" i="14"/>
  <c r="J52" i="14"/>
  <c r="K48" i="14"/>
  <c r="K50" i="14"/>
  <c r="L46" i="14"/>
  <c r="L52" i="14"/>
  <c r="M48" i="14"/>
  <c r="M52" i="14"/>
  <c r="F129" i="14" l="1"/>
  <c r="F130" i="14"/>
  <c r="F128" i="14"/>
  <c r="F133" i="14"/>
  <c r="F132" i="14"/>
  <c r="F131" i="14"/>
  <c r="F126" i="14"/>
  <c r="F127" i="14"/>
  <c r="F95" i="14" a="1"/>
  <c r="G95" i="14" l="1"/>
  <c r="G97" i="14"/>
  <c r="G99" i="14"/>
  <c r="G101" i="14"/>
  <c r="H95" i="14"/>
  <c r="H97" i="14"/>
  <c r="H99" i="14"/>
  <c r="H101" i="14"/>
  <c r="I95" i="14"/>
  <c r="I97" i="14"/>
  <c r="I99" i="14"/>
  <c r="I101" i="14"/>
  <c r="F95" i="14"/>
  <c r="F97" i="14"/>
  <c r="F99" i="14"/>
  <c r="F101" i="14"/>
  <c r="G98" i="14"/>
  <c r="G102" i="14"/>
  <c r="H98" i="14"/>
  <c r="H102" i="14"/>
  <c r="I98" i="14"/>
  <c r="I102" i="14"/>
  <c r="F98" i="14"/>
  <c r="F102" i="14"/>
  <c r="K96" i="14"/>
  <c r="K100" i="14"/>
  <c r="L96" i="14"/>
  <c r="L100" i="14"/>
  <c r="M96" i="14"/>
  <c r="M100" i="14"/>
  <c r="J96" i="14"/>
  <c r="J100" i="14"/>
  <c r="K95" i="14"/>
  <c r="K97" i="14"/>
  <c r="K99" i="14"/>
  <c r="K101" i="14"/>
  <c r="L95" i="14"/>
  <c r="L97" i="14"/>
  <c r="L99" i="14"/>
  <c r="L101" i="14"/>
  <c r="M95" i="14"/>
  <c r="M97" i="14"/>
  <c r="M99" i="14"/>
  <c r="M101" i="14"/>
  <c r="J95" i="14"/>
  <c r="J97" i="14"/>
  <c r="J99" i="14"/>
  <c r="J101" i="14"/>
  <c r="G96" i="14"/>
  <c r="G100" i="14"/>
  <c r="H96" i="14"/>
  <c r="H100" i="14"/>
  <c r="I96" i="14"/>
  <c r="I100" i="14"/>
  <c r="F96" i="14"/>
  <c r="F100" i="14"/>
  <c r="K98" i="14"/>
  <c r="K102" i="14"/>
  <c r="L98" i="14"/>
  <c r="L102" i="14"/>
  <c r="M98" i="14"/>
  <c r="M102" i="14"/>
  <c r="J98" i="14"/>
  <c r="J102" i="14"/>
  <c r="K129" i="14" l="1"/>
  <c r="K130" i="14"/>
  <c r="K128" i="14"/>
  <c r="K131" i="14"/>
  <c r="K127" i="14"/>
  <c r="K126" i="14"/>
  <c r="K133" i="14"/>
  <c r="K132" i="14"/>
  <c r="F105" i="14" a="1"/>
  <c r="F111" i="14" l="1"/>
  <c r="G106" i="14"/>
  <c r="G108" i="14"/>
  <c r="G110" i="14"/>
  <c r="G112" i="14"/>
  <c r="H106" i="14"/>
  <c r="H108" i="14"/>
  <c r="H110" i="14"/>
  <c r="H112" i="14"/>
  <c r="I106" i="14"/>
  <c r="I108" i="14"/>
  <c r="I110" i="14"/>
  <c r="I112" i="14"/>
  <c r="F106" i="14"/>
  <c r="F108" i="14"/>
  <c r="F110" i="14"/>
  <c r="F112" i="14"/>
  <c r="K106" i="14"/>
  <c r="K108" i="14"/>
  <c r="K110" i="14"/>
  <c r="K112" i="14"/>
  <c r="L106" i="14"/>
  <c r="L108" i="14"/>
  <c r="L110" i="14"/>
  <c r="L112" i="14"/>
  <c r="M106" i="14"/>
  <c r="M108" i="14"/>
  <c r="M110" i="14"/>
  <c r="M112" i="14"/>
  <c r="J106" i="14"/>
  <c r="J108" i="14"/>
  <c r="J110" i="14"/>
  <c r="J112" i="14"/>
  <c r="G105" i="14"/>
  <c r="G107" i="14"/>
  <c r="G109" i="14"/>
  <c r="G111" i="14"/>
  <c r="H105" i="14"/>
  <c r="H107" i="14"/>
  <c r="H109" i="14"/>
  <c r="H111" i="14"/>
  <c r="I105" i="14"/>
  <c r="I107" i="14"/>
  <c r="I109" i="14"/>
  <c r="I111" i="14"/>
  <c r="F105" i="14"/>
  <c r="F107" i="14"/>
  <c r="F109" i="14"/>
  <c r="K105" i="14"/>
  <c r="K107" i="14"/>
  <c r="K109" i="14"/>
  <c r="K111" i="14"/>
  <c r="L105" i="14"/>
  <c r="L107" i="14"/>
  <c r="L109" i="14"/>
  <c r="L111" i="14"/>
  <c r="M105" i="14"/>
  <c r="M107" i="14"/>
  <c r="M109" i="14"/>
  <c r="M111" i="14"/>
  <c r="J105" i="14"/>
  <c r="J107" i="14"/>
  <c r="J109" i="14"/>
  <c r="J111" i="14"/>
  <c r="L130" i="14" l="1"/>
  <c r="L131" i="14"/>
  <c r="L126" i="14"/>
  <c r="L128" i="14"/>
  <c r="L133" i="14"/>
  <c r="L127" i="14"/>
  <c r="L129" i="14"/>
  <c r="L132" i="14"/>
  <c r="F189" i="14" l="1" a="1"/>
  <c r="F136" i="14" a="1"/>
  <c r="H194" i="14" l="1"/>
  <c r="H203" i="14" s="1"/>
  <c r="H191" i="14"/>
  <c r="H200" i="14" s="1"/>
  <c r="F189" i="14"/>
  <c r="F198" i="14" s="1"/>
  <c r="F207" i="14" s="1"/>
  <c r="I192" i="14"/>
  <c r="I201" i="14" s="1"/>
  <c r="H192" i="14"/>
  <c r="H201" i="14" s="1"/>
  <c r="G192" i="14"/>
  <c r="G201" i="14" s="1"/>
  <c r="F192" i="14"/>
  <c r="F201" i="14" s="1"/>
  <c r="M191" i="14"/>
  <c r="M200" i="14" s="1"/>
  <c r="L191" i="14"/>
  <c r="L200" i="14" s="1"/>
  <c r="K191" i="14"/>
  <c r="K200" i="14" s="1"/>
  <c r="J191" i="14"/>
  <c r="J200" i="14" s="1"/>
  <c r="I189" i="14"/>
  <c r="I198" i="14" s="1"/>
  <c r="I207" i="14" s="1"/>
  <c r="H189" i="14"/>
  <c r="H198" i="14" s="1"/>
  <c r="H207" i="14" s="1"/>
  <c r="G189" i="14"/>
  <c r="G198" i="14" s="1"/>
  <c r="G207" i="14" s="1"/>
  <c r="M196" i="14"/>
  <c r="M205" i="14" s="1"/>
  <c r="L196" i="14"/>
  <c r="L205" i="14" s="1"/>
  <c r="K196" i="14"/>
  <c r="K205" i="14" s="1"/>
  <c r="J196" i="14"/>
  <c r="J205" i="14" s="1"/>
  <c r="I195" i="14"/>
  <c r="I204" i="14" s="1"/>
  <c r="I190" i="14"/>
  <c r="I199" i="14" s="1"/>
  <c r="H190" i="14"/>
  <c r="H199" i="14" s="1"/>
  <c r="G190" i="14"/>
  <c r="G199" i="14" s="1"/>
  <c r="F190" i="14"/>
  <c r="F199" i="14" s="1"/>
  <c r="M189" i="14"/>
  <c r="M198" i="14" s="1"/>
  <c r="M207" i="14" s="1"/>
  <c r="L189" i="14"/>
  <c r="L198" i="14" s="1"/>
  <c r="L207" i="14" s="1"/>
  <c r="K189" i="14"/>
  <c r="K198" i="14" s="1"/>
  <c r="K207" i="14" s="1"/>
  <c r="J189" i="14"/>
  <c r="J198" i="14" s="1"/>
  <c r="J207" i="14" s="1"/>
  <c r="H195" i="14"/>
  <c r="H204" i="14" s="1"/>
  <c r="G195" i="14"/>
  <c r="G204" i="14" s="1"/>
  <c r="F195" i="14"/>
  <c r="F204" i="14" s="1"/>
  <c r="M194" i="14"/>
  <c r="M203" i="14" s="1"/>
  <c r="L194" i="14"/>
  <c r="L203" i="14" s="1"/>
  <c r="K194" i="14"/>
  <c r="K203" i="14" s="1"/>
  <c r="J194" i="14"/>
  <c r="J203" i="14" s="1"/>
  <c r="I196" i="14"/>
  <c r="I205" i="14" s="1"/>
  <c r="H196" i="14"/>
  <c r="H205" i="14" s="1"/>
  <c r="G196" i="14"/>
  <c r="G205" i="14" s="1"/>
  <c r="F196" i="14"/>
  <c r="F205" i="14" s="1"/>
  <c r="M195" i="14"/>
  <c r="M204" i="14" s="1"/>
  <c r="L195" i="14"/>
  <c r="L204" i="14" s="1"/>
  <c r="K195" i="14"/>
  <c r="K204" i="14" s="1"/>
  <c r="J195" i="14"/>
  <c r="J204" i="14" s="1"/>
  <c r="I193" i="14"/>
  <c r="I202" i="14" s="1"/>
  <c r="H193" i="14"/>
  <c r="H202" i="14" s="1"/>
  <c r="G193" i="14"/>
  <c r="G202" i="14" s="1"/>
  <c r="F193" i="14"/>
  <c r="F202" i="14" s="1"/>
  <c r="M192" i="14"/>
  <c r="M201" i="14" s="1"/>
  <c r="L192" i="14"/>
  <c r="L201" i="14" s="1"/>
  <c r="K192" i="14"/>
  <c r="K201" i="14" s="1"/>
  <c r="J192" i="14"/>
  <c r="J201" i="14" s="1"/>
  <c r="I194" i="14"/>
  <c r="I203" i="14" s="1"/>
  <c r="G194" i="14"/>
  <c r="G203" i="14" s="1"/>
  <c r="F194" i="14"/>
  <c r="F203" i="14" s="1"/>
  <c r="M193" i="14"/>
  <c r="M202" i="14" s="1"/>
  <c r="L193" i="14"/>
  <c r="L202" i="14" s="1"/>
  <c r="K193" i="14"/>
  <c r="K202" i="14" s="1"/>
  <c r="J193" i="14"/>
  <c r="J202" i="14" s="1"/>
  <c r="I191" i="14"/>
  <c r="I200" i="14" s="1"/>
  <c r="G191" i="14"/>
  <c r="G200" i="14" s="1"/>
  <c r="F191" i="14"/>
  <c r="F200" i="14" s="1"/>
  <c r="M190" i="14"/>
  <c r="M199" i="14" s="1"/>
  <c r="L190" i="14"/>
  <c r="L199" i="14" s="1"/>
  <c r="K190" i="14"/>
  <c r="K199" i="14" s="1"/>
  <c r="J190" i="14"/>
  <c r="J199" i="14" s="1"/>
  <c r="L143" i="14"/>
  <c r="L140" i="14"/>
  <c r="I143" i="14"/>
  <c r="F141" i="14"/>
  <c r="J136" i="14"/>
  <c r="J139" i="14"/>
  <c r="K137" i="14"/>
  <c r="H137" i="14"/>
  <c r="I138" i="14"/>
  <c r="L136" i="14"/>
  <c r="M136" i="14"/>
  <c r="I141" i="14"/>
  <c r="K138" i="14"/>
  <c r="K140" i="14"/>
  <c r="K142" i="14"/>
  <c r="H143" i="14"/>
  <c r="J140" i="14"/>
  <c r="F140" i="14"/>
  <c r="M137" i="14"/>
  <c r="L138" i="14"/>
  <c r="J143" i="14"/>
  <c r="M140" i="14"/>
  <c r="H141" i="14"/>
  <c r="G137" i="14"/>
  <c r="M141" i="14"/>
  <c r="L137" i="14"/>
  <c r="J142" i="14"/>
  <c r="F143" i="14"/>
  <c r="G140" i="14"/>
  <c r="G136" i="14"/>
  <c r="I136" i="14"/>
  <c r="J141" i="14"/>
  <c r="F139" i="14"/>
  <c r="I140" i="14"/>
  <c r="G139" i="14"/>
  <c r="H139" i="14"/>
  <c r="M142" i="14"/>
  <c r="G143" i="14"/>
  <c r="I137" i="14"/>
  <c r="F137" i="14"/>
  <c r="K136" i="14"/>
  <c r="I139" i="14"/>
  <c r="M143" i="14"/>
  <c r="M139" i="14"/>
  <c r="H138" i="14"/>
  <c r="I142" i="14"/>
  <c r="J137" i="14"/>
  <c r="K139" i="14"/>
  <c r="F142" i="14"/>
  <c r="H136" i="14"/>
  <c r="G142" i="14"/>
  <c r="F136" i="14"/>
  <c r="G141" i="14"/>
  <c r="L141" i="14"/>
  <c r="L139" i="14"/>
  <c r="L142" i="14"/>
  <c r="K141" i="14"/>
  <c r="F138" i="14"/>
  <c r="H140" i="14"/>
  <c r="J138" i="14"/>
  <c r="K143" i="14"/>
  <c r="G138" i="14"/>
  <c r="M138" i="14"/>
  <c r="H142" i="14"/>
  <c r="F146" i="14" l="1" a="1"/>
  <c r="I146" i="14" s="1"/>
  <c r="G146" i="14" l="1"/>
  <c r="G153" i="14" s="1"/>
  <c r="L146" i="14"/>
  <c r="L154" i="14" s="1"/>
  <c r="M146" i="14"/>
  <c r="M153" i="14" s="1"/>
  <c r="H146" i="14"/>
  <c r="H154" i="14" s="1"/>
  <c r="J146" i="14"/>
  <c r="J151" i="14" s="1"/>
  <c r="K146" i="14"/>
  <c r="K153" i="14" s="1"/>
  <c r="F146" i="14"/>
  <c r="F148" i="14" s="1"/>
  <c r="I155" i="14"/>
  <c r="I148" i="14"/>
  <c r="I154" i="14"/>
  <c r="I151" i="14"/>
  <c r="I153" i="14"/>
  <c r="I150" i="14"/>
  <c r="I152" i="14"/>
  <c r="I149" i="14"/>
  <c r="G154" i="14" l="1"/>
  <c r="G148" i="14"/>
  <c r="J154" i="14"/>
  <c r="F153" i="14"/>
  <c r="G151" i="14"/>
  <c r="J149" i="14"/>
  <c r="G150" i="14"/>
  <c r="F155" i="14"/>
  <c r="G149" i="14"/>
  <c r="G152" i="14"/>
  <c r="J153" i="14"/>
  <c r="G155" i="14"/>
  <c r="J152" i="14"/>
  <c r="J148" i="14"/>
  <c r="J155" i="14"/>
  <c r="J150" i="14"/>
  <c r="L151" i="14"/>
  <c r="M150" i="14"/>
  <c r="M149" i="14"/>
  <c r="F150" i="14"/>
  <c r="M151" i="14"/>
  <c r="D169" i="14"/>
  <c r="M152" i="14"/>
  <c r="F154" i="14"/>
  <c r="H155" i="14"/>
  <c r="M154" i="14"/>
  <c r="M148" i="14"/>
  <c r="F149" i="14"/>
  <c r="F152" i="14"/>
  <c r="H153" i="14"/>
  <c r="M155" i="14"/>
  <c r="F151" i="14"/>
  <c r="H151" i="14"/>
  <c r="H152" i="14"/>
  <c r="L149" i="14"/>
  <c r="K151" i="14"/>
  <c r="H150" i="14"/>
  <c r="H148" i="14"/>
  <c r="L150" i="14"/>
  <c r="K154" i="14"/>
  <c r="L153" i="14"/>
  <c r="K150" i="14"/>
  <c r="K149" i="14"/>
  <c r="H149" i="14"/>
  <c r="L148" i="14"/>
  <c r="L152" i="14"/>
  <c r="K155" i="14"/>
  <c r="K148" i="14"/>
  <c r="L155" i="14"/>
  <c r="K152" i="14"/>
  <c r="Y62" i="14" l="1"/>
  <c r="F169" i="14"/>
  <c r="O180" i="14" a="1"/>
  <c r="O184" i="14" s="1"/>
  <c r="Y134" i="14"/>
  <c r="W89" i="14"/>
  <c r="X68" i="14"/>
  <c r="Y110" i="14"/>
  <c r="Y97" i="14"/>
  <c r="Y128" i="14"/>
  <c r="Y78" i="14"/>
  <c r="Y2" i="14"/>
  <c r="Y98" i="14"/>
  <c r="Y26" i="14"/>
  <c r="Y46" i="14"/>
  <c r="Y94" i="14"/>
  <c r="Y120" i="14"/>
  <c r="Y15" i="14"/>
  <c r="Y113" i="14"/>
  <c r="Y90" i="14"/>
  <c r="Y42" i="14"/>
  <c r="Y40" i="14"/>
  <c r="Y82" i="14"/>
  <c r="Y104" i="14"/>
  <c r="Y37" i="14"/>
  <c r="Y68" i="14"/>
  <c r="Y108" i="14"/>
  <c r="Y129" i="14"/>
  <c r="Y116" i="14"/>
  <c r="Y5" i="14"/>
  <c r="Y54" i="14"/>
  <c r="AA33" i="14"/>
  <c r="AA42" i="14"/>
  <c r="Y91" i="14"/>
  <c r="Y125" i="14"/>
  <c r="Y126" i="14"/>
  <c r="Y11" i="14"/>
  <c r="Y121" i="14"/>
  <c r="Y127" i="14"/>
  <c r="Y123" i="14"/>
  <c r="Y9" i="14"/>
  <c r="Y112" i="14"/>
  <c r="Y103" i="14"/>
  <c r="Y64" i="14"/>
  <c r="Y130" i="14"/>
  <c r="Z20" i="14"/>
  <c r="Z21" i="14"/>
  <c r="X5" i="14"/>
  <c r="Z77" i="14"/>
  <c r="AA11" i="14"/>
  <c r="AA13" i="14"/>
  <c r="W21" i="14"/>
  <c r="Z92" i="14"/>
  <c r="Z44" i="14"/>
  <c r="Y114" i="14"/>
  <c r="Y20" i="14"/>
  <c r="Y25" i="14"/>
  <c r="Y105" i="14"/>
  <c r="Y30" i="14"/>
  <c r="Y45" i="14"/>
  <c r="Y19" i="14"/>
  <c r="Y32" i="14"/>
  <c r="Y67" i="14"/>
  <c r="Y58" i="14"/>
  <c r="Y80" i="14"/>
  <c r="Y49" i="14"/>
  <c r="Y96" i="14"/>
  <c r="Y118" i="14"/>
  <c r="W78" i="14"/>
  <c r="V42" i="14"/>
  <c r="W31" i="14"/>
  <c r="Z3" i="14"/>
  <c r="U52" i="14"/>
  <c r="Y13" i="14"/>
  <c r="Y51" i="14"/>
  <c r="Y86" i="14"/>
  <c r="Y50" i="14"/>
  <c r="Y81" i="14"/>
  <c r="Y106" i="14"/>
  <c r="Y119" i="14"/>
  <c r="Y4" i="14"/>
  <c r="Y55" i="14"/>
  <c r="Y12" i="14"/>
  <c r="Y44" i="14"/>
  <c r="Y56" i="14"/>
  <c r="Y136" i="14"/>
  <c r="Y14" i="14"/>
  <c r="Y63" i="14"/>
  <c r="Y10" i="14"/>
  <c r="Y60" i="14"/>
  <c r="W77" i="14"/>
  <c r="W64" i="14"/>
  <c r="W22" i="14"/>
  <c r="W18" i="14"/>
  <c r="W127" i="14"/>
  <c r="W97" i="14"/>
  <c r="AA88" i="14"/>
  <c r="Z38" i="14"/>
  <c r="Z57" i="14"/>
  <c r="Z65" i="14"/>
  <c r="Z100" i="14"/>
  <c r="W48" i="14"/>
  <c r="W29" i="14"/>
  <c r="W129" i="14"/>
  <c r="W125" i="14"/>
  <c r="O171" i="14" a="1"/>
  <c r="O178" i="14" s="1"/>
  <c r="X60" i="14"/>
  <c r="V57" i="14"/>
  <c r="T85" i="14"/>
  <c r="X42" i="14"/>
  <c r="Z95" i="14"/>
  <c r="Z126" i="14"/>
  <c r="Z23" i="14"/>
  <c r="Z72" i="14"/>
  <c r="Z119" i="14"/>
  <c r="AA134" i="14"/>
  <c r="V63" i="14"/>
  <c r="AA49" i="14"/>
  <c r="AA100" i="14"/>
  <c r="Z16" i="14"/>
  <c r="Z66" i="14"/>
  <c r="Z29" i="14"/>
  <c r="W123" i="14"/>
  <c r="W126" i="14"/>
  <c r="W43" i="14"/>
  <c r="W107" i="14"/>
  <c r="X38" i="14"/>
  <c r="Z48" i="14"/>
  <c r="Z63" i="14"/>
  <c r="Z64" i="14"/>
  <c r="Z87" i="14"/>
  <c r="Z70" i="14"/>
  <c r="Z4" i="14"/>
  <c r="Z94" i="14"/>
  <c r="Z131" i="14"/>
  <c r="V45" i="14"/>
  <c r="Y7" i="14"/>
  <c r="Y57" i="14"/>
  <c r="Y61" i="14"/>
  <c r="Y69" i="14"/>
  <c r="Y31" i="14"/>
  <c r="Y29" i="14"/>
  <c r="Y102" i="14"/>
  <c r="Y124" i="14"/>
  <c r="Y36" i="14"/>
  <c r="Y75" i="14"/>
  <c r="Y93" i="14"/>
  <c r="Y6" i="14"/>
  <c r="Y21" i="14"/>
  <c r="Y18" i="14"/>
  <c r="Y24" i="14"/>
  <c r="Y100" i="14"/>
  <c r="Y8" i="14"/>
  <c r="Y83" i="14"/>
  <c r="Y115" i="14"/>
  <c r="Y22" i="14"/>
  <c r="Y48" i="14"/>
  <c r="Y133" i="14"/>
  <c r="Y76" i="14"/>
  <c r="Y33" i="14"/>
  <c r="Y28" i="14"/>
  <c r="Y74" i="14"/>
  <c r="Y47" i="14"/>
  <c r="Y23" i="14"/>
  <c r="Y72" i="14"/>
  <c r="Y131" i="14"/>
  <c r="Y95" i="14"/>
  <c r="Y52" i="14"/>
  <c r="Y73" i="14"/>
  <c r="W56" i="14"/>
  <c r="W46" i="14"/>
  <c r="W94" i="14"/>
  <c r="W7" i="14"/>
  <c r="W16" i="14"/>
  <c r="W5" i="14"/>
  <c r="W67" i="14"/>
  <c r="W66" i="14"/>
  <c r="X3" i="14"/>
  <c r="X107" i="14"/>
  <c r="Z105" i="14"/>
  <c r="Z13" i="14"/>
  <c r="Z10" i="14"/>
  <c r="Z133" i="14"/>
  <c r="Z90" i="14"/>
  <c r="Z73" i="14"/>
  <c r="Z25" i="14"/>
  <c r="V36" i="14"/>
  <c r="V4" i="14"/>
  <c r="Y16" i="14"/>
  <c r="Y101" i="14"/>
  <c r="Y135" i="14"/>
  <c r="Y87" i="14"/>
  <c r="Y89" i="14"/>
  <c r="Y77" i="14"/>
  <c r="Y88" i="14"/>
  <c r="Y66" i="14"/>
  <c r="Y109" i="14"/>
  <c r="Y117" i="14"/>
  <c r="Y99" i="14"/>
  <c r="Y35" i="14"/>
  <c r="Y53" i="14"/>
  <c r="Y132" i="14"/>
  <c r="Y27" i="14"/>
  <c r="Y59" i="14"/>
  <c r="Y41" i="14"/>
  <c r="Y111" i="14"/>
  <c r="Y70" i="14"/>
  <c r="Y39" i="14"/>
  <c r="Y84" i="14"/>
  <c r="Y65" i="14"/>
  <c r="Y92" i="14"/>
  <c r="Y38" i="14"/>
  <c r="Y85" i="14"/>
  <c r="Y43" i="14"/>
  <c r="Y122" i="14"/>
  <c r="Y34" i="14"/>
  <c r="Y17" i="14"/>
  <c r="Y3" i="14"/>
  <c r="Y107" i="14"/>
  <c r="Y79" i="14"/>
  <c r="Y71" i="14"/>
  <c r="W26" i="14"/>
  <c r="W40" i="14"/>
  <c r="W121" i="14"/>
  <c r="W11" i="14"/>
  <c r="W133" i="14"/>
  <c r="W28" i="14"/>
  <c r="W54" i="14"/>
  <c r="W70" i="14"/>
  <c r="X53" i="14"/>
  <c r="X121" i="14"/>
  <c r="U134" i="14"/>
  <c r="U50" i="14"/>
  <c r="U104" i="14"/>
  <c r="Z61" i="14"/>
  <c r="Z86" i="14"/>
  <c r="Z104" i="14"/>
  <c r="Z106" i="14"/>
  <c r="Z8" i="14"/>
  <c r="Z108" i="14"/>
  <c r="Z51" i="14"/>
  <c r="Z49" i="14"/>
  <c r="Z28" i="14"/>
  <c r="Z68" i="14"/>
  <c r="Z82" i="14"/>
  <c r="Z24" i="14"/>
  <c r="Z34" i="14"/>
  <c r="Z135" i="14"/>
  <c r="Z103" i="14"/>
  <c r="Z97" i="14"/>
  <c r="Z128" i="14"/>
  <c r="Z6" i="14"/>
  <c r="Z2" i="14"/>
  <c r="Z36" i="14"/>
  <c r="Z134" i="14"/>
  <c r="Z33" i="14"/>
  <c r="Z102" i="14"/>
  <c r="Z98" i="14"/>
  <c r="Z62" i="14"/>
  <c r="Z96" i="14"/>
  <c r="Z76" i="14"/>
  <c r="Z50" i="14"/>
  <c r="Z118" i="14"/>
  <c r="Z129" i="14"/>
  <c r="Z93" i="14"/>
  <c r="Z125" i="14"/>
  <c r="Z78" i="14"/>
  <c r="Z115" i="14"/>
  <c r="Z14" i="14"/>
  <c r="Z83" i="14"/>
  <c r="Z112" i="14"/>
  <c r="Z5" i="14"/>
  <c r="Z85" i="14"/>
  <c r="Z59" i="14"/>
  <c r="Z122" i="14"/>
  <c r="Z41" i="14"/>
  <c r="Z107" i="14"/>
  <c r="Z67" i="14"/>
  <c r="Z136" i="14"/>
  <c r="Z12" i="14"/>
  <c r="Z84" i="14"/>
  <c r="Z15" i="14"/>
  <c r="Z40" i="14"/>
  <c r="Z127" i="14"/>
  <c r="Z7" i="14"/>
  <c r="Z56" i="14"/>
  <c r="Z19" i="14"/>
  <c r="Z114" i="14"/>
  <c r="Z54" i="14"/>
  <c r="Z32" i="14"/>
  <c r="Z91" i="14"/>
  <c r="Z111" i="14"/>
  <c r="Z110" i="14"/>
  <c r="Z26" i="14"/>
  <c r="Z35" i="14"/>
  <c r="Z80" i="14"/>
  <c r="Z88" i="14"/>
  <c r="Z75" i="14"/>
  <c r="Z53" i="14"/>
  <c r="Z17" i="14"/>
  <c r="Z43" i="14"/>
  <c r="Z121" i="14"/>
  <c r="W49" i="14"/>
  <c r="W119" i="14"/>
  <c r="W9" i="14"/>
  <c r="W106" i="14"/>
  <c r="W14" i="14"/>
  <c r="W120" i="14"/>
  <c r="W62" i="14"/>
  <c r="W32" i="14"/>
  <c r="W30" i="14"/>
  <c r="W12" i="14"/>
  <c r="W80" i="14"/>
  <c r="W58" i="14"/>
  <c r="W128" i="14"/>
  <c r="W115" i="14"/>
  <c r="W85" i="14"/>
  <c r="W100" i="14"/>
  <c r="W36" i="14"/>
  <c r="W134" i="14"/>
  <c r="W6" i="14"/>
  <c r="W4" i="14"/>
  <c r="W92" i="14"/>
  <c r="W110" i="14"/>
  <c r="W82" i="14"/>
  <c r="W47" i="14"/>
  <c r="W50" i="14"/>
  <c r="W10" i="14"/>
  <c r="W84" i="14"/>
  <c r="W13" i="14"/>
  <c r="W3" i="14"/>
  <c r="W76" i="14"/>
  <c r="W73" i="14"/>
  <c r="W8" i="14"/>
  <c r="W37" i="14"/>
  <c r="W75" i="14"/>
  <c r="W68" i="14"/>
  <c r="W38" i="14"/>
  <c r="W39" i="14"/>
  <c r="W81" i="14"/>
  <c r="W131" i="14"/>
  <c r="W104" i="14"/>
  <c r="W42" i="14"/>
  <c r="W88" i="14"/>
  <c r="W33" i="14"/>
  <c r="W132" i="14"/>
  <c r="W122" i="14"/>
  <c r="W83" i="14"/>
  <c r="W117" i="14"/>
  <c r="W24" i="14"/>
  <c r="W111" i="14"/>
  <c r="W102" i="14"/>
  <c r="W20" i="14"/>
  <c r="W74" i="14"/>
  <c r="W34" i="14"/>
  <c r="W101" i="14"/>
  <c r="W2" i="14"/>
  <c r="W114" i="14"/>
  <c r="W90" i="14"/>
  <c r="W91" i="14"/>
  <c r="W60" i="14"/>
  <c r="W135" i="14"/>
  <c r="W15" i="14"/>
  <c r="W96" i="14"/>
  <c r="W23" i="14"/>
  <c r="W63" i="14"/>
  <c r="W124" i="14"/>
  <c r="W87" i="14"/>
  <c r="W93" i="14"/>
  <c r="Z9" i="14"/>
  <c r="Z120" i="14"/>
  <c r="Z89" i="14"/>
  <c r="Z74" i="14"/>
  <c r="Z69" i="14"/>
  <c r="Z81" i="14"/>
  <c r="Z109" i="14"/>
  <c r="Z52" i="14"/>
  <c r="Z11" i="14"/>
  <c r="Z116" i="14"/>
  <c r="Z132" i="14"/>
  <c r="Z101" i="14"/>
  <c r="Z123" i="14"/>
  <c r="Z58" i="14"/>
  <c r="Z42" i="14"/>
  <c r="Z71" i="14"/>
  <c r="Z45" i="14"/>
  <c r="V78" i="14"/>
  <c r="U45" i="14"/>
  <c r="W69" i="14"/>
  <c r="W55" i="14"/>
  <c r="W53" i="14"/>
  <c r="W65" i="14"/>
  <c r="W79" i="14"/>
  <c r="W98" i="14"/>
  <c r="W113" i="14"/>
  <c r="W59" i="14"/>
  <c r="W44" i="14"/>
  <c r="W41" i="14"/>
  <c r="W35" i="14"/>
  <c r="W71" i="14"/>
  <c r="W105" i="14"/>
  <c r="W130" i="14"/>
  <c r="W19" i="14"/>
  <c r="W57" i="14"/>
  <c r="W116" i="14"/>
  <c r="X23" i="14"/>
  <c r="X51" i="14"/>
  <c r="X22" i="14"/>
  <c r="V3" i="14"/>
  <c r="V18" i="14"/>
  <c r="V35" i="14"/>
  <c r="V49" i="14"/>
  <c r="V65" i="14"/>
  <c r="V112" i="14"/>
  <c r="V99" i="14"/>
  <c r="V2" i="14"/>
  <c r="T135" i="14"/>
  <c r="T12" i="14"/>
  <c r="T31" i="14"/>
  <c r="X73" i="14"/>
  <c r="X117" i="14"/>
  <c r="X44" i="14"/>
  <c r="X95" i="14"/>
  <c r="X119" i="14"/>
  <c r="X57" i="14"/>
  <c r="X65" i="14"/>
  <c r="X13" i="14"/>
  <c r="X129" i="14"/>
  <c r="X34" i="14"/>
  <c r="X43" i="14"/>
  <c r="X9" i="14"/>
  <c r="X47" i="14"/>
  <c r="X18" i="14"/>
  <c r="X108" i="14"/>
  <c r="X71" i="14"/>
  <c r="X46" i="14"/>
  <c r="Z113" i="14"/>
  <c r="Z31" i="14"/>
  <c r="Z60" i="14"/>
  <c r="Z55" i="14"/>
  <c r="Z117" i="14"/>
  <c r="Z79" i="14"/>
  <c r="Z99" i="14"/>
  <c r="Z27" i="14"/>
  <c r="Z37" i="14"/>
  <c r="Z47" i="14"/>
  <c r="Z22" i="14"/>
  <c r="Z46" i="14"/>
  <c r="Z130" i="14"/>
  <c r="Z18" i="14"/>
  <c r="Z30" i="14"/>
  <c r="Z39" i="14"/>
  <c r="Z124" i="14"/>
  <c r="V135" i="14"/>
  <c r="V23" i="14"/>
  <c r="U111" i="14"/>
  <c r="T86" i="14"/>
  <c r="W95" i="14"/>
  <c r="W17" i="14"/>
  <c r="W109" i="14"/>
  <c r="W103" i="14"/>
  <c r="W108" i="14"/>
  <c r="W118" i="14"/>
  <c r="W52" i="14"/>
  <c r="W72" i="14"/>
  <c r="W27" i="14"/>
  <c r="W112" i="14"/>
  <c r="W61" i="14"/>
  <c r="W25" i="14"/>
  <c r="W51" i="14"/>
  <c r="W45" i="14"/>
  <c r="W86" i="14"/>
  <c r="W136" i="14"/>
  <c r="W99" i="14"/>
  <c r="X76" i="14"/>
  <c r="X12" i="14"/>
  <c r="X52" i="14"/>
  <c r="X92" i="14"/>
  <c r="V74" i="14"/>
  <c r="U74" i="14"/>
  <c r="U76" i="14"/>
  <c r="U21" i="14"/>
  <c r="U132" i="14"/>
  <c r="U24" i="14"/>
  <c r="U112" i="14"/>
  <c r="U32" i="14"/>
  <c r="U56" i="14"/>
  <c r="U2" i="14"/>
  <c r="U58" i="14"/>
  <c r="U93" i="14"/>
  <c r="U43" i="14"/>
  <c r="U16" i="14"/>
  <c r="U85" i="14"/>
  <c r="U23" i="14"/>
  <c r="U130" i="14"/>
  <c r="U30" i="14"/>
  <c r="U12" i="14"/>
  <c r="U122" i="14"/>
  <c r="U133" i="14"/>
  <c r="U123" i="14"/>
  <c r="U105" i="14"/>
  <c r="U59" i="14"/>
  <c r="U68" i="14"/>
  <c r="U41" i="14"/>
  <c r="U116" i="14"/>
  <c r="AA22" i="14"/>
  <c r="AA41" i="14"/>
  <c r="AA125" i="14"/>
  <c r="AA74" i="14"/>
  <c r="V46" i="14"/>
  <c r="V88" i="14"/>
  <c r="V25" i="14"/>
  <c r="V60" i="14"/>
  <c r="V20" i="14"/>
  <c r="V9" i="14"/>
  <c r="V105" i="14"/>
  <c r="V16" i="14"/>
  <c r="V98" i="14"/>
  <c r="V52" i="14"/>
  <c r="U81" i="14"/>
  <c r="U27" i="14"/>
  <c r="U44" i="14"/>
  <c r="X19" i="14"/>
  <c r="X83" i="14"/>
  <c r="X6" i="14"/>
  <c r="X90" i="14"/>
  <c r="X128" i="14"/>
  <c r="X109" i="14"/>
  <c r="X64" i="14"/>
  <c r="X36" i="14"/>
  <c r="X21" i="14"/>
  <c r="X127" i="14"/>
  <c r="X15" i="14"/>
  <c r="X100" i="14"/>
  <c r="X63" i="14"/>
  <c r="X82" i="14"/>
  <c r="X55" i="14"/>
  <c r="X101" i="14"/>
  <c r="X122" i="14"/>
  <c r="X49" i="14"/>
  <c r="X33" i="14"/>
  <c r="X56" i="14"/>
  <c r="X112" i="14"/>
  <c r="X131" i="14"/>
  <c r="X31" i="14"/>
  <c r="X132" i="14"/>
  <c r="X115" i="14"/>
  <c r="X134" i="14"/>
  <c r="X93" i="14"/>
  <c r="X67" i="14"/>
  <c r="X48" i="14"/>
  <c r="X30" i="14"/>
  <c r="X58" i="14"/>
  <c r="X66" i="14"/>
  <c r="X123" i="14"/>
  <c r="X97" i="14"/>
  <c r="X37" i="14"/>
  <c r="X85" i="14"/>
  <c r="X27" i="14"/>
  <c r="X99" i="14"/>
  <c r="X7" i="14"/>
  <c r="X70" i="14"/>
  <c r="X133" i="14"/>
  <c r="X80" i="14"/>
  <c r="X126" i="14"/>
  <c r="X124" i="14"/>
  <c r="X103" i="14"/>
  <c r="X88" i="14"/>
  <c r="X41" i="14"/>
  <c r="X77" i="14"/>
  <c r="X4" i="14"/>
  <c r="X135" i="14"/>
  <c r="X45" i="14"/>
  <c r="X26" i="14"/>
  <c r="X29" i="14"/>
  <c r="X91" i="14"/>
  <c r="X120" i="14"/>
  <c r="X28" i="14"/>
  <c r="X69" i="14"/>
  <c r="X110" i="14"/>
  <c r="X61" i="14"/>
  <c r="X116" i="14"/>
  <c r="X105" i="14"/>
  <c r="X104" i="14"/>
  <c r="X25" i="14"/>
  <c r="X74" i="14"/>
  <c r="X81" i="14"/>
  <c r="X114" i="14"/>
  <c r="X14" i="14"/>
  <c r="X89" i="14"/>
  <c r="V113" i="14"/>
  <c r="V24" i="14"/>
  <c r="V123" i="14"/>
  <c r="V129" i="14"/>
  <c r="V6" i="14"/>
  <c r="V59" i="14"/>
  <c r="V47" i="14"/>
  <c r="V72" i="14"/>
  <c r="V89" i="14"/>
  <c r="V21" i="14"/>
  <c r="V95" i="14"/>
  <c r="V28" i="14"/>
  <c r="V12" i="14"/>
  <c r="V76" i="14"/>
  <c r="V80" i="14"/>
  <c r="V40" i="14"/>
  <c r="V134" i="14"/>
  <c r="V27" i="14"/>
  <c r="V124" i="14"/>
  <c r="V22" i="14"/>
  <c r="V54" i="14"/>
  <c r="V39" i="14"/>
  <c r="V94" i="14"/>
  <c r="V19" i="14"/>
  <c r="V81" i="14"/>
  <c r="V71" i="14"/>
  <c r="V120" i="14"/>
  <c r="V97" i="14"/>
  <c r="V53" i="14"/>
  <c r="V37" i="14"/>
  <c r="V125" i="14"/>
  <c r="V84" i="14"/>
  <c r="V96" i="14"/>
  <c r="V31" i="14"/>
  <c r="V62" i="14"/>
  <c r="V126" i="14"/>
  <c r="V30" i="14"/>
  <c r="V133" i="14"/>
  <c r="V61" i="14"/>
  <c r="V118" i="14"/>
  <c r="V93" i="14"/>
  <c r="V13" i="14"/>
  <c r="V11" i="14"/>
  <c r="V50" i="14"/>
  <c r="V110" i="14"/>
  <c r="V104" i="14"/>
  <c r="V26" i="14"/>
  <c r="V121" i="14"/>
  <c r="V56" i="14"/>
  <c r="V128" i="14"/>
  <c r="V103" i="14"/>
  <c r="V131" i="14"/>
  <c r="V48" i="14"/>
  <c r="V69" i="14"/>
  <c r="V44" i="14"/>
  <c r="V117" i="14"/>
  <c r="V116" i="14"/>
  <c r="V115" i="14"/>
  <c r="V77" i="14"/>
  <c r="V67" i="14"/>
  <c r="V101" i="14"/>
  <c r="V114" i="14"/>
  <c r="V38" i="14"/>
  <c r="V66" i="14"/>
  <c r="T59" i="14"/>
  <c r="T75" i="14"/>
  <c r="T108" i="14"/>
  <c r="T7" i="14"/>
  <c r="T117" i="14"/>
  <c r="T133" i="14"/>
  <c r="T136" i="14"/>
  <c r="T107" i="14"/>
  <c r="AA92" i="14"/>
  <c r="AA35" i="14"/>
  <c r="AA94" i="14"/>
  <c r="AA65" i="14"/>
  <c r="AA97" i="14"/>
  <c r="AA52" i="14"/>
  <c r="V58" i="14"/>
  <c r="V75" i="14"/>
  <c r="V82" i="14"/>
  <c r="V17" i="14"/>
  <c r="V51" i="14"/>
  <c r="V102" i="14"/>
  <c r="V132" i="14"/>
  <c r="V109" i="14"/>
  <c r="V64" i="14"/>
  <c r="V107" i="14"/>
  <c r="V130" i="14"/>
  <c r="V122" i="14"/>
  <c r="V108" i="14"/>
  <c r="V127" i="14"/>
  <c r="V5" i="14"/>
  <c r="V83" i="14"/>
  <c r="V119" i="14"/>
  <c r="V15" i="14"/>
  <c r="U63" i="14"/>
  <c r="U117" i="14"/>
  <c r="U22" i="14"/>
  <c r="U67" i="14"/>
  <c r="U77" i="14"/>
  <c r="U88" i="14"/>
  <c r="T53" i="14"/>
  <c r="T54" i="14"/>
  <c r="X125" i="14"/>
  <c r="X130" i="14"/>
  <c r="X79" i="14"/>
  <c r="X54" i="14"/>
  <c r="X75" i="14"/>
  <c r="X2" i="14"/>
  <c r="X32" i="14"/>
  <c r="X102" i="14"/>
  <c r="X94" i="14"/>
  <c r="X62" i="14"/>
  <c r="X10" i="14"/>
  <c r="X50" i="14"/>
  <c r="X24" i="14"/>
  <c r="X72" i="14"/>
  <c r="X16" i="14"/>
  <c r="X35" i="14"/>
  <c r="X86" i="14"/>
  <c r="AA54" i="14"/>
  <c r="AA133" i="14"/>
  <c r="AA24" i="14"/>
  <c r="V90" i="14"/>
  <c r="V10" i="14"/>
  <c r="V111" i="14"/>
  <c r="V14" i="14"/>
  <c r="V86" i="14"/>
  <c r="V33" i="14"/>
  <c r="V91" i="14"/>
  <c r="U11" i="14"/>
  <c r="U47" i="14"/>
  <c r="U36" i="14"/>
  <c r="AA84" i="14"/>
  <c r="AA87" i="14"/>
  <c r="AA30" i="14"/>
  <c r="AA81" i="14"/>
  <c r="AA71" i="14"/>
  <c r="V41" i="14"/>
  <c r="V136" i="14"/>
  <c r="V7" i="14"/>
  <c r="V8" i="14"/>
  <c r="V106" i="14"/>
  <c r="V68" i="14"/>
  <c r="V70" i="14"/>
  <c r="V55" i="14"/>
  <c r="V34" i="14"/>
  <c r="V32" i="14"/>
  <c r="V79" i="14"/>
  <c r="V29" i="14"/>
  <c r="V100" i="14"/>
  <c r="V87" i="14"/>
  <c r="V85" i="14"/>
  <c r="V43" i="14"/>
  <c r="V92" i="14"/>
  <c r="V73" i="14"/>
  <c r="U95" i="14"/>
  <c r="U7" i="14"/>
  <c r="U35" i="14"/>
  <c r="U29" i="14"/>
  <c r="U124" i="14"/>
  <c r="U46" i="14"/>
  <c r="T38" i="14"/>
  <c r="T25" i="14"/>
  <c r="X113" i="14"/>
  <c r="X20" i="14"/>
  <c r="X111" i="14"/>
  <c r="X17" i="14"/>
  <c r="X40" i="14"/>
  <c r="X98" i="14"/>
  <c r="X11" i="14"/>
  <c r="X87" i="14"/>
  <c r="X106" i="14"/>
  <c r="X118" i="14"/>
  <c r="X59" i="14"/>
  <c r="X8" i="14"/>
  <c r="X96" i="14"/>
  <c r="X136" i="14"/>
  <c r="X78" i="14"/>
  <c r="X84" i="14"/>
  <c r="X39" i="14"/>
  <c r="AA16" i="14"/>
  <c r="T100" i="14"/>
  <c r="AA66" i="14"/>
  <c r="AA50" i="14"/>
  <c r="AA51" i="14"/>
  <c r="AA123" i="14"/>
  <c r="AA91" i="14"/>
  <c r="AA121" i="14"/>
  <c r="AA107" i="14"/>
  <c r="AA78" i="14"/>
  <c r="AA127" i="14"/>
  <c r="AA31" i="14"/>
  <c r="AA10" i="14"/>
  <c r="AA69" i="14"/>
  <c r="AA130" i="14"/>
  <c r="AA96" i="14"/>
  <c r="AA103" i="14"/>
  <c r="AA3" i="14"/>
  <c r="AA118" i="14"/>
  <c r="AA17" i="14"/>
  <c r="AA64" i="14"/>
  <c r="AA70" i="14"/>
  <c r="AA26" i="14"/>
  <c r="AA115" i="14"/>
  <c r="T97" i="14"/>
  <c r="T22" i="14"/>
  <c r="T63" i="14"/>
  <c r="T16" i="14"/>
  <c r="T58" i="14"/>
  <c r="T62" i="14"/>
  <c r="T19" i="14"/>
  <c r="T43" i="14"/>
  <c r="T18" i="14"/>
  <c r="T116" i="14"/>
  <c r="T35" i="14"/>
  <c r="T29" i="14"/>
  <c r="T82" i="14"/>
  <c r="T105" i="14"/>
  <c r="T21" i="14"/>
  <c r="T66" i="14"/>
  <c r="T93" i="14"/>
  <c r="T80" i="14"/>
  <c r="T69" i="14"/>
  <c r="T26" i="14"/>
  <c r="T61" i="14"/>
  <c r="T36" i="14"/>
  <c r="T40" i="14"/>
  <c r="T134" i="14"/>
  <c r="T10" i="14"/>
  <c r="T55" i="14"/>
  <c r="T91" i="14"/>
  <c r="T74" i="14"/>
  <c r="T17" i="14"/>
  <c r="T2" i="14"/>
  <c r="T37" i="14"/>
  <c r="T79" i="14"/>
  <c r="T113" i="14"/>
  <c r="T32" i="14"/>
  <c r="T126" i="14"/>
  <c r="T27" i="14"/>
  <c r="T76" i="14"/>
  <c r="T15" i="14"/>
  <c r="T70" i="14"/>
  <c r="T67" i="14"/>
  <c r="T48" i="14"/>
  <c r="T28" i="14"/>
  <c r="T125" i="14"/>
  <c r="T99" i="14"/>
  <c r="T98" i="14"/>
  <c r="T102" i="14"/>
  <c r="T24" i="14"/>
  <c r="T42" i="14"/>
  <c r="T77" i="14"/>
  <c r="T106" i="14"/>
  <c r="T95" i="14"/>
  <c r="T81" i="14"/>
  <c r="T94" i="14"/>
  <c r="T4" i="14"/>
  <c r="T127" i="14"/>
  <c r="T8" i="14"/>
  <c r="T45" i="14"/>
  <c r="T64" i="14"/>
  <c r="T132" i="14"/>
  <c r="T20" i="14"/>
  <c r="T90" i="14"/>
  <c r="T120" i="14"/>
  <c r="T49" i="14"/>
  <c r="T88" i="14"/>
  <c r="T115" i="14"/>
  <c r="T101" i="14"/>
  <c r="T3" i="14"/>
  <c r="T6" i="14"/>
  <c r="T39" i="14"/>
  <c r="T51" i="14"/>
  <c r="T13" i="14"/>
  <c r="T73" i="14"/>
  <c r="T57" i="14"/>
  <c r="T14" i="14"/>
  <c r="T60" i="14"/>
  <c r="T33" i="14"/>
  <c r="T46" i="14"/>
  <c r="T114" i="14"/>
  <c r="T5" i="14"/>
  <c r="T112" i="14"/>
  <c r="T110" i="14"/>
  <c r="T124" i="14"/>
  <c r="T111" i="14"/>
  <c r="U42" i="14"/>
  <c r="U65" i="14"/>
  <c r="U99" i="14"/>
  <c r="U49" i="14"/>
  <c r="U5" i="14"/>
  <c r="U129" i="14"/>
  <c r="U55" i="14"/>
  <c r="U127" i="14"/>
  <c r="U48" i="14"/>
  <c r="U28" i="14"/>
  <c r="U19" i="14"/>
  <c r="U115" i="14"/>
  <c r="U120" i="14"/>
  <c r="U110" i="14"/>
  <c r="U51" i="14"/>
  <c r="U14" i="14"/>
  <c r="U125" i="14"/>
  <c r="U66" i="14"/>
  <c r="U75" i="14"/>
  <c r="U83" i="14"/>
  <c r="U73" i="14"/>
  <c r="U98" i="14"/>
  <c r="U78" i="14"/>
  <c r="U8" i="14"/>
  <c r="U31" i="14"/>
  <c r="U87" i="14"/>
  <c r="U57" i="14"/>
  <c r="U94" i="14"/>
  <c r="U84" i="14"/>
  <c r="U89" i="14"/>
  <c r="U103" i="14"/>
  <c r="U114" i="14"/>
  <c r="U69" i="14"/>
  <c r="U18" i="14"/>
  <c r="U107" i="14"/>
  <c r="U25" i="14"/>
  <c r="U100" i="14"/>
  <c r="U109" i="14"/>
  <c r="U102" i="14"/>
  <c r="U6" i="14"/>
  <c r="U126" i="14"/>
  <c r="U131" i="14"/>
  <c r="U13" i="14"/>
  <c r="U113" i="14"/>
  <c r="U119" i="14"/>
  <c r="U79" i="14"/>
  <c r="U40" i="14"/>
  <c r="U72" i="14"/>
  <c r="U4" i="14"/>
  <c r="U108" i="14"/>
  <c r="U10" i="14"/>
  <c r="U26" i="14"/>
  <c r="U90" i="14"/>
  <c r="U121" i="14"/>
  <c r="U9" i="14"/>
  <c r="U92" i="14"/>
  <c r="U39" i="14"/>
  <c r="U37" i="14"/>
  <c r="U34" i="14"/>
  <c r="U15" i="14"/>
  <c r="U136" i="14"/>
  <c r="U3" i="14"/>
  <c r="U20" i="14"/>
  <c r="U135" i="14"/>
  <c r="U91" i="14"/>
  <c r="U64" i="14"/>
  <c r="U17" i="14"/>
  <c r="U82" i="14"/>
  <c r="AA93" i="14"/>
  <c r="AA128" i="14"/>
  <c r="AA14" i="14"/>
  <c r="AA38" i="14"/>
  <c r="AA102" i="14"/>
  <c r="AA12" i="14"/>
  <c r="AA72" i="14"/>
  <c r="AA61" i="14"/>
  <c r="AA27" i="14"/>
  <c r="AA25" i="14"/>
  <c r="AA59" i="14"/>
  <c r="AA113" i="14"/>
  <c r="AA58" i="14"/>
  <c r="AA79" i="14"/>
  <c r="AA86" i="14"/>
  <c r="AA83" i="14"/>
  <c r="AA129" i="14"/>
  <c r="AA20" i="14"/>
  <c r="AA8" i="14"/>
  <c r="AA82" i="14"/>
  <c r="AA57" i="14"/>
  <c r="AA19" i="14"/>
  <c r="AA32" i="14"/>
  <c r="AA39" i="14"/>
  <c r="U97" i="14"/>
  <c r="U101" i="14"/>
  <c r="U54" i="14"/>
  <c r="U60" i="14"/>
  <c r="U38" i="14"/>
  <c r="U96" i="14"/>
  <c r="U53" i="14"/>
  <c r="U71" i="14"/>
  <c r="U70" i="14"/>
  <c r="U118" i="14"/>
  <c r="U33" i="14"/>
  <c r="U128" i="14"/>
  <c r="U61" i="14"/>
  <c r="U62" i="14"/>
  <c r="U86" i="14"/>
  <c r="U106" i="14"/>
  <c r="U80" i="14"/>
  <c r="T47" i="14"/>
  <c r="T103" i="14"/>
  <c r="T129" i="14"/>
  <c r="T44" i="14"/>
  <c r="T92" i="14"/>
  <c r="T109" i="14"/>
  <c r="T65" i="14"/>
  <c r="T52" i="14"/>
  <c r="T71" i="14"/>
  <c r="T104" i="14"/>
  <c r="T89" i="14"/>
  <c r="T131" i="14"/>
  <c r="T119" i="14"/>
  <c r="T87" i="14"/>
  <c r="T122" i="14"/>
  <c r="T30" i="14"/>
  <c r="T56" i="14"/>
  <c r="AA46" i="14"/>
  <c r="AA116" i="14"/>
  <c r="AA101" i="14"/>
  <c r="AA104" i="14"/>
  <c r="AA2" i="14"/>
  <c r="AA23" i="14"/>
  <c r="AA29" i="14"/>
  <c r="AA43" i="14"/>
  <c r="AA28" i="14"/>
  <c r="AA77" i="14"/>
  <c r="AA15" i="14"/>
  <c r="AA75" i="14"/>
  <c r="AA105" i="14"/>
  <c r="AA44" i="14"/>
  <c r="AA56" i="14"/>
  <c r="AA21" i="14"/>
  <c r="AA89" i="14"/>
  <c r="AA90" i="14"/>
  <c r="AA124" i="14"/>
  <c r="AA9" i="14"/>
  <c r="AA4" i="14"/>
  <c r="AA76" i="14"/>
  <c r="AA132" i="14"/>
  <c r="AA126" i="14"/>
  <c r="AA73" i="14"/>
  <c r="AA109" i="14"/>
  <c r="AA119" i="14"/>
  <c r="AA136" i="14"/>
  <c r="AA63" i="14"/>
  <c r="AA135" i="14"/>
  <c r="AA6" i="14"/>
  <c r="AA67" i="14"/>
  <c r="AA45" i="14"/>
  <c r="AA68" i="14"/>
  <c r="AA85" i="14"/>
  <c r="AA40" i="14"/>
  <c r="AA80" i="14"/>
  <c r="AA18" i="14"/>
  <c r="AA98" i="14"/>
  <c r="AA108" i="14"/>
  <c r="AA106" i="14"/>
  <c r="AA47" i="14"/>
  <c r="AA5" i="14"/>
  <c r="AA36" i="14"/>
  <c r="AA95" i="14"/>
  <c r="AA62" i="14"/>
  <c r="AA131" i="14"/>
  <c r="AA60" i="14"/>
  <c r="AA122" i="14"/>
  <c r="AA117" i="14"/>
  <c r="AA112" i="14"/>
  <c r="AA7" i="14"/>
  <c r="AA110" i="14"/>
  <c r="AA114" i="14"/>
  <c r="AA53" i="14"/>
  <c r="AA55" i="14"/>
  <c r="AA111" i="14"/>
  <c r="AA37" i="14"/>
  <c r="AA99" i="14"/>
  <c r="AA120" i="14"/>
  <c r="AA34" i="14"/>
  <c r="AA48" i="14"/>
  <c r="T123" i="14"/>
  <c r="T83" i="14"/>
  <c r="T130" i="14"/>
  <c r="T11" i="14"/>
  <c r="T50" i="14"/>
  <c r="T128" i="14"/>
  <c r="T68" i="14"/>
  <c r="T23" i="14"/>
  <c r="T78" i="14"/>
  <c r="T84" i="14"/>
  <c r="T118" i="14"/>
  <c r="T121" i="14"/>
  <c r="T72" i="14"/>
  <c r="T96" i="14"/>
  <c r="T34" i="14"/>
  <c r="T9" i="14"/>
  <c r="T41" i="14"/>
  <c r="O173" i="14" l="1"/>
  <c r="O181" i="14"/>
  <c r="O182" i="14"/>
  <c r="O185" i="14"/>
  <c r="O186" i="14"/>
  <c r="O183" i="14"/>
  <c r="O187" i="14"/>
  <c r="O180" i="14"/>
  <c r="O176" i="14"/>
  <c r="O174" i="14"/>
  <c r="O172" i="14"/>
  <c r="O175" i="14"/>
  <c r="O171" i="14"/>
  <c r="O177" i="14"/>
</calcChain>
</file>

<file path=xl/sharedStrings.xml><?xml version="1.0" encoding="utf-8"?>
<sst xmlns="http://schemas.openxmlformats.org/spreadsheetml/2006/main" count="294" uniqueCount="193">
  <si>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</si>
  <si>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</si>
  <si>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</si>
  <si>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</si>
  <si>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</si>
  <si>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</si>
  <si>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</si>
  <si>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</si>
  <si>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</si>
  <si>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</si>
  <si>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</si>
  <si>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</si>
  <si>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</si>
  <si>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</si>
  <si>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</si>
  <si>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</si>
  <si>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</si>
  <si>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</si>
  <si>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</si>
  <si>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</si>
  <si>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</si>
  <si>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</si>
  <si>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</si>
  <si>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</si>
  <si>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</si>
  <si>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</si>
  <si>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</si>
  <si>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</si>
  <si>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</si>
  <si>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</si>
  <si>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</si>
  <si>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</si>
  <si>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</si>
  <si>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</si>
  <si>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</si>
  <si>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</si>
  <si>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</si>
  <si>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</si>
  <si>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</si>
  <si>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</si>
  <si>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</si>
  <si>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</si>
  <si>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</si>
  <si>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</si>
  <si>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</si>
  <si>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</si>
  <si>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</si>
  <si>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</si>
  <si>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</si>
  <si>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</si>
  <si>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</si>
  <si>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</si>
  <si>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</si>
  <si>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</si>
  <si>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</si>
  <si>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</si>
  <si>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</si>
  <si>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</si>
  <si>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</si>
  <si>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</si>
  <si>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</si>
  <si>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</si>
  <si>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</si>
  <si>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</si>
  <si>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</si>
  <si>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</si>
  <si>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</si>
  <si>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</si>
  <si>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</si>
  <si>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</si>
  <si>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</si>
  <si>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</si>
  <si>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</si>
  <si>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</si>
  <si>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</si>
  <si>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</si>
  <si>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</si>
  <si>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</si>
  <si>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</si>
  <si>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</si>
  <si>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</si>
  <si>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</si>
  <si>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</si>
  <si>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</si>
  <si>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</si>
  <si>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</si>
  <si>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</si>
  <si>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</si>
  <si>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</si>
  <si>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</si>
  <si>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</si>
  <si>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</si>
  <si>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</si>
  <si>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</si>
  <si>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</si>
  <si>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</si>
  <si>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</si>
  <si>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</si>
  <si>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</si>
  <si>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</si>
  <si>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</si>
  <si>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</si>
  <si>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</si>
  <si>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</si>
  <si>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</si>
  <si>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</si>
  <si>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</si>
  <si>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</si>
  <si>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</si>
  <si>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</si>
  <si>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</si>
  <si>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</si>
  <si>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</si>
  <si>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</si>
  <si>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</si>
  <si>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</si>
  <si>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</si>
  <si>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</si>
  <si>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</si>
  <si>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</si>
  <si>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</si>
  <si>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</si>
  <si>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</si>
  <si>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</si>
  <si>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</si>
  <si>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</si>
  <si>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</si>
  <si>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</si>
  <si>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</si>
  <si>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</si>
  <si>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</si>
  <si>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</si>
  <si>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</si>
  <si>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</si>
  <si>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</si>
  <si>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</si>
  <si>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</si>
  <si>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</si>
  <si>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</si>
  <si>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</si>
  <si>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</si>
  <si>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</si>
  <si>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Section macro de capture (cm-1)</t>
  </si>
  <si>
    <t>Val</t>
  </si>
  <si>
    <t xml:space="preserve">sensibilité </t>
  </si>
  <si>
    <t>fiss.</t>
  </si>
  <si>
    <t>capt.</t>
  </si>
  <si>
    <t>Y'=M.Y</t>
  </si>
  <si>
    <t>M=</t>
  </si>
  <si>
    <t>Y=</t>
  </si>
  <si>
    <t>Y''=M.Y'</t>
  </si>
  <si>
    <t>Y(3)=M.Y(2)</t>
  </si>
  <si>
    <t>Y(4)=M.Y(3)</t>
  </si>
  <si>
    <t>Y(5)=M.Y(4)</t>
  </si>
  <si>
    <t>M-1=</t>
  </si>
  <si>
    <t>A1</t>
  </si>
  <si>
    <t>ALPHA1</t>
  </si>
  <si>
    <t>ALPHA2</t>
  </si>
  <si>
    <t>ALPHA3</t>
  </si>
  <si>
    <t>ALPHA4</t>
  </si>
  <si>
    <t>ALPHA5</t>
  </si>
  <si>
    <t>ALPHA6</t>
  </si>
  <si>
    <t>ALPHA7</t>
  </si>
  <si>
    <t>ALPHA8</t>
  </si>
  <si>
    <t>polchar</t>
  </si>
  <si>
    <t>polchroot</t>
  </si>
  <si>
    <t>r</t>
  </si>
  <si>
    <t>A2</t>
  </si>
  <si>
    <t>A3</t>
  </si>
  <si>
    <t>A4</t>
  </si>
  <si>
    <t>A5</t>
  </si>
  <si>
    <t>A6</t>
  </si>
  <si>
    <t>A7</t>
  </si>
  <si>
    <t>A8</t>
  </si>
  <si>
    <t>Y1</t>
  </si>
  <si>
    <t>Y2</t>
  </si>
  <si>
    <t>Y3</t>
  </si>
  <si>
    <t>Y4</t>
  </si>
  <si>
    <t>Y5</t>
  </si>
  <si>
    <t>Y6</t>
  </si>
  <si>
    <t>Y7</t>
  </si>
  <si>
    <t>Y8</t>
  </si>
  <si>
    <t>A=</t>
  </si>
  <si>
    <t>A(-1)=</t>
  </si>
  <si>
    <t>K</t>
  </si>
  <si>
    <t>Exact</t>
  </si>
  <si>
    <t>Meth. Math.</t>
  </si>
  <si>
    <t>M*coeff=</t>
  </si>
  <si>
    <t>i=1</t>
  </si>
  <si>
    <t>i=2</t>
  </si>
  <si>
    <t>k=1</t>
  </si>
  <si>
    <t>k+2</t>
  </si>
  <si>
    <t>k=8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</si>
</sst>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7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  <font>
      <sz val="8"/>
      <color rgb="FF000000"/>
      <name val="Liberation Sans"/>
    </font>
    <font>
      <b/>
      <sz val="9"/>
      <color rgb="FF000000"/>
      <name val="Liberation Sans"/>
    </font>
    <font>
      <b/>
      <sz val="8"/>
      <color rgb="FF000000"/>
      <name val="Liberation Sans"/>
    </font>
    <font>
      <sz val="10"/>
      <color rgb="FF000000"/>
      <name val="Courier"/>
      <family val="3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28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3" fillId="9" borderId="16" xfId="0" applyFont="1" applyFill="1" applyBorder="1" applyAlignment="1">
      <alignment wrapText="1"/>
    </xf>
    <xf numFmtId="0" fontId="0" fillId="9" borderId="34" xfId="0" applyFill="1" applyBorder="1" applyAlignment="1">
      <alignment wrapText="1"/>
    </xf>
    <xf numFmtId="10" fontId="3" fillId="2" borderId="10" xfId="0" applyNumberFormat="1" applyFont="1" applyFill="1" applyBorder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164" fontId="3" fillId="3" borderId="28" xfId="0" applyNumberFormat="1" applyFont="1" applyFill="1" applyBorder="1" applyAlignment="1">
      <alignment horizontal="center" wrapText="1"/>
    </xf>
    <xf numFmtId="0" fontId="0" fillId="0" borderId="21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164" fontId="3" fillId="0" borderId="0" xfId="0" applyNumberFormat="1" applyFont="1" applyFill="1" applyBorder="1" applyAlignment="1">
      <alignment horizontal="center" wrapText="1"/>
    </xf>
    <xf numFmtId="164" fontId="3" fillId="0" borderId="0" xfId="0" applyNumberFormat="1" applyFont="1" applyFill="1" applyBorder="1" applyAlignment="1">
      <alignment horizontal="center"/>
    </xf>
    <xf numFmtId="11" fontId="13" fillId="0" borderId="0" xfId="0" applyNumberFormat="1" applyFont="1" applyFill="1" applyBorder="1" applyAlignment="1">
      <alignment horizontal="center"/>
    </xf>
    <xf numFmtId="11" fontId="13" fillId="0" borderId="10" xfId="0" applyNumberFormat="1" applyFont="1" applyFill="1" applyBorder="1" applyAlignment="1">
      <alignment horizontal="center"/>
    </xf>
    <xf numFmtId="0" fontId="13" fillId="0" borderId="10" xfId="0" applyNumberFormat="1" applyFont="1" applyFill="1" applyBorder="1" applyAlignment="1">
      <alignment horizontal="center"/>
    </xf>
    <xf numFmtId="164" fontId="14" fillId="0" borderId="0" xfId="0" applyNumberFormat="1" applyFont="1" applyFill="1" applyBorder="1" applyAlignment="1">
      <alignment horizontal="center"/>
    </xf>
    <xf numFmtId="11" fontId="15" fillId="0" borderId="0" xfId="0" applyNumberFormat="1" applyFont="1" applyFill="1" applyBorder="1" applyAlignment="1">
      <alignment horizontal="center"/>
    </xf>
    <xf numFmtId="0" fontId="16" fillId="0" borderId="0" xfId="0" applyFont="1"/>
    <xf numFmtId="11" fontId="16" fillId="0" borderId="0" xfId="0" applyNumberFormat="1" applyFont="1"/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3" fillId="13" borderId="0" xfId="0" applyFont="1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  <xf numFmtId="11" fontId="13" fillId="4" borderId="10" xfId="0" applyNumberFormat="1" applyFont="1" applyFill="1" applyBorder="1" applyAlignment="1">
      <alignment horizontal="center"/>
    </xf>
    <xf numFmtId="0" fontId="13" fillId="4" borderId="10" xfId="0" applyNumberFormat="1" applyFont="1" applyFill="1" applyBorder="1" applyAlignment="1">
      <alignment horizontal="center"/>
    </xf>
    <xf numFmtId="10" fontId="9" fillId="0" borderId="0" xfId="0" applyNumberFormat="1" applyFont="1"/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7.7460822262109225E+18</c:v>
                </c:pt>
                <c:pt idx="1">
                  <c:v>1.4022643440257964E+21</c:v>
                </c:pt>
                <c:pt idx="2">
                  <c:v>4.6574338606438718E+20</c:v>
                </c:pt>
                <c:pt idx="3">
                  <c:v>9.702987209674734E+19</c:v>
                </c:pt>
                <c:pt idx="4">
                  <c:v>3.2877890545178849E+19</c:v>
                </c:pt>
                <c:pt idx="5">
                  <c:v>2.0935906012576186E+19</c:v>
                </c:pt>
                <c:pt idx="6">
                  <c:v>5.7255366140277055E+19</c:v>
                </c:pt>
                <c:pt idx="7">
                  <c:v>1.0815324002538532E+22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762560"/>
        <c:axId val="141764096"/>
      </c:barChart>
      <c:catAx>
        <c:axId val="141762560"/>
        <c:scaling>
          <c:orientation val="minMax"/>
        </c:scaling>
        <c:delete val="0"/>
        <c:axPos val="b"/>
        <c:majorTickMark val="out"/>
        <c:minorTickMark val="none"/>
        <c:tickLblPos val="nextTo"/>
        <c:crossAx val="141764096"/>
        <c:crosses val="autoZero"/>
        <c:auto val="1"/>
        <c:lblAlgn val="ctr"/>
        <c:lblOffset val="100"/>
        <c:noMultiLvlLbl val="0"/>
      </c:catAx>
      <c:valAx>
        <c:axId val="141764096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41762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-1.113320079522917E-3</c:v>
                </c:pt>
                <c:pt idx="1">
                  <c:v>-1.1375270162666817E-3</c:v>
                </c:pt>
                <c:pt idx="2">
                  <c:v>4.3648003103857747E-4</c:v>
                </c:pt>
                <c:pt idx="3">
                  <c:v>-2.0098441345365314E-3</c:v>
                </c:pt>
                <c:pt idx="4">
                  <c:v>5.0118614053262789E-4</c:v>
                </c:pt>
                <c:pt idx="5">
                  <c:v>3.6295245322870429E-4</c:v>
                </c:pt>
                <c:pt idx="6">
                  <c:v>-2.1225644933057231E-3</c:v>
                </c:pt>
                <c:pt idx="7">
                  <c:v>4.8404662982526325E-4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-4.7829654385719289E-3</c:v>
                </c:pt>
                <c:pt idx="1">
                  <c:v>-3.956091729159894E-3</c:v>
                </c:pt>
                <c:pt idx="2">
                  <c:v>-2.6504282303463356E-3</c:v>
                </c:pt>
                <c:pt idx="3">
                  <c:v>-3.3815350389322374E-3</c:v>
                </c:pt>
                <c:pt idx="4">
                  <c:v>-3.4991530712311647E-3</c:v>
                </c:pt>
                <c:pt idx="5">
                  <c:v>-3.0758310658938193E-3</c:v>
                </c:pt>
                <c:pt idx="6">
                  <c:v>-3.8248304904668906E-3</c:v>
                </c:pt>
                <c:pt idx="7">
                  <c:v>4.6170148349984341E-3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801344"/>
        <c:axId val="141802880"/>
      </c:barChart>
      <c:catAx>
        <c:axId val="141801344"/>
        <c:scaling>
          <c:orientation val="minMax"/>
        </c:scaling>
        <c:delete val="0"/>
        <c:axPos val="b"/>
        <c:majorTickMark val="out"/>
        <c:minorTickMark val="none"/>
        <c:tickLblPos val="nextTo"/>
        <c:crossAx val="141802880"/>
        <c:crosses val="autoZero"/>
        <c:auto val="1"/>
        <c:lblAlgn val="ctr"/>
        <c:lblOffset val="100"/>
        <c:noMultiLvlLbl val="0"/>
      </c:catAx>
      <c:valAx>
        <c:axId val="1418028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4180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mod.math.!$D$43</c:f>
              <c:strCache>
                <c:ptCount val="1"/>
                <c:pt idx="0">
                  <c:v>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7"/>
          </c:marker>
          <c:x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xVal>
          <c:yVal>
            <c:numRef>
              <c:f>mod.math.!$D$44:$D$51</c:f>
              <c:numCache>
                <c:formatCode>0.00E+00</c:formatCode>
                <c:ptCount val="8"/>
                <c:pt idx="0">
                  <c:v>-10.560452950178306</c:v>
                </c:pt>
                <c:pt idx="1">
                  <c:v>-7.3583984921286021</c:v>
                </c:pt>
                <c:pt idx="2">
                  <c:v>-6.9395539422399555</c:v>
                </c:pt>
                <c:pt idx="3">
                  <c:v>-6.2828682160276221</c:v>
                </c:pt>
                <c:pt idx="4">
                  <c:v>-5.7422704201736652</c:v>
                </c:pt>
                <c:pt idx="5">
                  <c:v>-2.7195195999841908</c:v>
                </c:pt>
                <c:pt idx="6">
                  <c:v>-2.338164078560466</c:v>
                </c:pt>
                <c:pt idx="7">
                  <c:v>-0.98098234073362089</c:v>
                </c:pt>
              </c:numCache>
            </c:numRef>
          </c:yVal>
          <c:smooth val="0"/>
        </c:ser>
        <c:ser>
          <c:idx val="0"/>
          <c:order val="0"/>
          <c:spPr>
            <a:ln w="28575">
              <a:noFill/>
            </a:ln>
          </c:spPr>
          <c:marker>
            <c:symbol val="plus"/>
            <c:size val="7"/>
          </c:marker>
          <c:xVal>
            <c:numLit>
              <c:formatCode>General</c:formatCode>
              <c:ptCount val="8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</c:numLit>
          </c:xVal>
          <c:yVal>
            <c:numRef>
              <c:f>mod.math.!$F$42:$M$42</c:f>
              <c:numCache>
                <c:formatCode>0.00E+00</c:formatCode>
                <c:ptCount val="8"/>
                <c:pt idx="0">
                  <c:v>-5.7434633429516335</c:v>
                </c:pt>
                <c:pt idx="1">
                  <c:v>-6.9349911725794344</c:v>
                </c:pt>
                <c:pt idx="2">
                  <c:v>-2.7195273736977699</c:v>
                </c:pt>
                <c:pt idx="3">
                  <c:v>-10.560453001086941</c:v>
                </c:pt>
                <c:pt idx="4">
                  <c:v>-2.3381555221817427</c:v>
                </c:pt>
                <c:pt idx="5">
                  <c:v>-6.2828676916701518</c:v>
                </c:pt>
                <c:pt idx="6">
                  <c:v>-7.3617684041897036</c:v>
                </c:pt>
                <c:pt idx="7">
                  <c:v>-0.98098353166876462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325760"/>
        <c:axId val="191275392"/>
      </c:scatterChart>
      <c:valAx>
        <c:axId val="200325760"/>
        <c:scaling>
          <c:orientation val="minMax"/>
          <c:max val="2"/>
          <c:min val="-1"/>
        </c:scaling>
        <c:delete val="0"/>
        <c:axPos val="b"/>
        <c:numFmt formatCode="General" sourceLinked="1"/>
        <c:majorTickMark val="out"/>
        <c:minorTickMark val="none"/>
        <c:tickLblPos val="nextTo"/>
        <c:crossAx val="191275392"/>
        <c:crosses val="autoZero"/>
        <c:crossBetween val="midCat"/>
      </c:valAx>
      <c:valAx>
        <c:axId val="191275392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200325760"/>
        <c:crossesAt val="-1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mod.math.!$T$2:$T$94</c:f>
              <c:numCache>
                <c:formatCode>0.00</c:formatCode>
                <c:ptCount val="93"/>
                <c:pt idx="0">
                  <c:v>19.041708027546122</c:v>
                </c:pt>
                <c:pt idx="1">
                  <c:v>19.337364608228228</c:v>
                </c:pt>
                <c:pt idx="2">
                  <c:v>19.617461412093121</c:v>
                </c:pt>
                <c:pt idx="3">
                  <c:v>19.882444804961892</c:v>
                </c:pt>
                <c:pt idx="4">
                  <c:v>20.132750379406247</c:v>
                </c:pt>
                <c:pt idx="5">
                  <c:v>20.368803194436637</c:v>
                </c:pt>
                <c:pt idx="6">
                  <c:v>20.591018010100271</c:v>
                </c:pt>
                <c:pt idx="7">
                  <c:v>20.799799517092424</c:v>
                </c:pt>
                <c:pt idx="8">
                  <c:v>20.995542561485195</c:v>
                </c:pt>
                <c:pt idx="9">
                  <c:v>21.178632364673746</c:v>
                </c:pt>
                <c:pt idx="10">
                  <c:v>21.349444738639448</c:v>
                </c:pt>
                <c:pt idx="11">
                  <c:v>21.508346296625675</c:v>
                </c:pt>
                <c:pt idx="12">
                  <c:v>21.655694659322577</c:v>
                </c:pt>
                <c:pt idx="13">
                  <c:v>21.791838656651947</c:v>
                </c:pt>
                <c:pt idx="14">
                  <c:v>21.917118525244874</c:v>
                </c:pt>
                <c:pt idx="15">
                  <c:v>22.031866101699862</c:v>
                </c:pt>
                <c:pt idx="16">
                  <c:v>22.136405011710039</c:v>
                </c:pt>
                <c:pt idx="17">
                  <c:v>22.231050855144133</c:v>
                </c:pt>
                <c:pt idx="18">
                  <c:v>22.316111387165407</c:v>
                </c:pt>
                <c:pt idx="19">
                  <c:v>22.391886695470816</c:v>
                </c:pt>
                <c:pt idx="20">
                  <c:v>22.458669373730558</c:v>
                </c:pt>
                <c:pt idx="21">
                  <c:v>22.516744691307252</c:v>
                </c:pt>
                <c:pt idx="22">
                  <c:v>22.566390759331455</c:v>
                </c:pt>
                <c:pt idx="23">
                  <c:v>22.607878693209798</c:v>
                </c:pt>
                <c:pt idx="24">
                  <c:v>22.641472771639357</c:v>
                </c:pt>
                <c:pt idx="25">
                  <c:v>22.667430592201327</c:v>
                </c:pt>
                <c:pt idx="26">
                  <c:v>22.686003223604615</c:v>
                </c:pt>
                <c:pt idx="27">
                  <c:v>22.697435354649642</c:v>
                </c:pt>
                <c:pt idx="28">
                  <c:v>22.70196543998037</c:v>
                </c:pt>
                <c:pt idx="29">
                  <c:v>22.699825842691212</c:v>
                </c:pt>
                <c:pt idx="30">
                  <c:v>22.691242973854813</c:v>
                </c:pt>
                <c:pt idx="31">
                  <c:v>22.676437429034593</c:v>
                </c:pt>
                <c:pt idx="32">
                  <c:v>22.655624121845094</c:v>
                </c:pt>
                <c:pt idx="33">
                  <c:v>22.62901241462157</c:v>
                </c:pt>
                <c:pt idx="34">
                  <c:v>22.596806246259348</c:v>
                </c:pt>
                <c:pt idx="35">
                  <c:v>22.559204257282175</c:v>
                </c:pt>
                <c:pt idx="36">
                  <c:v>22.51639991219696</c:v>
                </c:pt>
                <c:pt idx="37">
                  <c:v>22.468581619192264</c:v>
                </c:pt>
                <c:pt idx="38">
                  <c:v>22.415932847235894</c:v>
                </c:pt>
                <c:pt idx="39">
                  <c:v>22.358632240625667</c:v>
                </c:pt>
                <c:pt idx="40">
                  <c:v>22.296853731047378</c:v>
                </c:pt>
                <c:pt idx="41">
                  <c:v>22.230766647191636</c:v>
                </c:pt>
                <c:pt idx="42">
                  <c:v>22.160535821980893</c:v>
                </c:pt>
                <c:pt idx="43">
                  <c:v>22.086321697457045</c:v>
                </c:pt>
                <c:pt idx="44">
                  <c:v>22.008280427378288</c:v>
                </c:pt>
                <c:pt idx="45">
                  <c:v>21.926563977573622</c:v>
                </c:pt>
                <c:pt idx="46">
                  <c:v>21.84132022410207</c:v>
                </c:pt>
                <c:pt idx="47">
                  <c:v>21.752693049262575</c:v>
                </c:pt>
                <c:pt idx="48">
                  <c:v>21.66082243550008</c:v>
                </c:pt>
                <c:pt idx="49">
                  <c:v>21.565844557251815</c:v>
                </c:pt>
                <c:pt idx="50">
                  <c:v>21.46789187077718</c:v>
                </c:pt>
                <c:pt idx="51">
                  <c:v>21.367093202013876</c:v>
                </c:pt>
                <c:pt idx="52">
                  <c:v>21.263573832501713</c:v>
                </c:pt>
                <c:pt idx="53">
                  <c:v>21.157455583414986</c:v>
                </c:pt>
                <c:pt idx="54">
                  <c:v>21.04885689774305</c:v>
                </c:pt>
                <c:pt idx="55">
                  <c:v>20.937892920658676</c:v>
                </c:pt>
                <c:pt idx="56">
                  <c:v>20.824675578112014</c:v>
                </c:pt>
                <c:pt idx="57">
                  <c:v>20.709313653687893</c:v>
                </c:pt>
                <c:pt idx="58">
                  <c:v>20.591912863763213</c:v>
                </c:pt>
                <c:pt idx="59">
                  <c:v>20.4725759310003</c:v>
                </c:pt>
                <c:pt idx="60">
                  <c:v>20.351402656211391</c:v>
                </c:pt>
                <c:pt idx="61">
                  <c:v>20.228489988629242</c:v>
                </c:pt>
                <c:pt idx="62">
                  <c:v>20.103932094616773</c:v>
                </c:pt>
                <c:pt idx="63">
                  <c:v>19.977820424849902</c:v>
                </c:pt>
                <c:pt idx="64">
                  <c:v>19.850243780005115</c:v>
                </c:pt>
                <c:pt idx="65">
                  <c:v>19.721288374983985</c:v>
                </c:pt>
                <c:pt idx="66">
                  <c:v>19.591037901705732</c:v>
                </c:pt>
                <c:pt idx="67">
                  <c:v>19.459573590497989</c:v>
                </c:pt>
                <c:pt idx="68">
                  <c:v>19.326974270115969</c:v>
                </c:pt>
                <c:pt idx="69">
                  <c:v>19.193316426419031</c:v>
                </c:pt>
                <c:pt idx="70">
                  <c:v>19.058674259733245</c:v>
                </c:pt>
                <c:pt idx="71">
                  <c:v>18.923119740928023</c:v>
                </c:pt>
                <c:pt idx="72">
                  <c:v>18.786722666234326</c:v>
                </c:pt>
                <c:pt idx="73">
                  <c:v>18.649550710831228</c:v>
                </c:pt>
                <c:pt idx="74">
                  <c:v>18.511669481227131</c:v>
                </c:pt>
                <c:pt idx="75">
                  <c:v>18.373142566461468</c:v>
                </c:pt>
                <c:pt idx="76">
                  <c:v>18.234031588152035</c:v>
                </c:pt>
                <c:pt idx="77">
                  <c:v>18.094396249412952</c:v>
                </c:pt>
                <c:pt idx="78">
                  <c:v>17.954294382666902</c:v>
                </c:pt>
                <c:pt idx="79">
                  <c:v>17.81378199637593</c:v>
                </c:pt>
                <c:pt idx="80">
                  <c:v>17.6729133207137</c:v>
                </c:pt>
                <c:pt idx="81">
                  <c:v>17.53174085220186</c:v>
                </c:pt>
                <c:pt idx="82">
                  <c:v>17.390315397333165</c:v>
                </c:pt>
                <c:pt idx="83">
                  <c:v>17.24868611520256</c:v>
                </c:pt>
                <c:pt idx="84">
                  <c:v>17.106900559168096</c:v>
                </c:pt>
                <c:pt idx="85">
                  <c:v>16.96500471756233</c:v>
                </c:pt>
                <c:pt idx="86">
                  <c:v>16.823043053474645</c:v>
                </c:pt>
                <c:pt idx="87">
                  <c:v>16.68105854362457</c:v>
                </c:pt>
                <c:pt idx="88">
                  <c:v>16.539092716345735</c:v>
                </c:pt>
                <c:pt idx="89">
                  <c:v>16.3971856886997</c:v>
                </c:pt>
                <c:pt idx="90">
                  <c:v>16.255376202738315</c:v>
                </c:pt>
                <c:pt idx="91">
                  <c:v>16.113701660933216</c:v>
                </c:pt>
                <c:pt idx="92">
                  <c:v>15.97219816079031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19.859172278637015</c:v>
                </c:pt>
                <c:pt idx="2">
                  <c:v>20.654017744576844</c:v>
                </c:pt>
                <c:pt idx="3">
                  <c:v>21.426693472754593</c:v>
                </c:pt>
                <c:pt idx="4">
                  <c:v>22.17764266891642</c:v>
                </c:pt>
                <c:pt idx="5">
                  <c:v>22.907302681183282</c:v>
                </c:pt>
                <c:pt idx="6">
                  <c:v>23.616104988622904</c:v>
                </c:pt>
                <c:pt idx="7">
                  <c:v>24.304475194163221</c:v>
                </c:pt>
                <c:pt idx="8">
                  <c:v>24.972833021641474</c:v>
                </c:pt>
                <c:pt idx="9">
                  <c:v>25.621592316790615</c:v>
                </c:pt>
                <c:pt idx="10">
                  <c:v>26.251161051971785</c:v>
                </c:pt>
                <c:pt idx="11">
                  <c:v>26.861941334468632</c:v>
                </c:pt>
                <c:pt idx="12">
                  <c:v>27.454329418165987</c:v>
                </c:pt>
                <c:pt idx="13">
                  <c:v>28.028715718441866</c:v>
                </c:pt>
                <c:pt idx="14">
                  <c:v>28.585484830108129</c:v>
                </c:pt>
                <c:pt idx="15">
                  <c:v>29.125015548241191</c:v>
                </c:pt>
                <c:pt idx="16">
                  <c:v>29.647680891750078</c:v>
                </c:pt>
                <c:pt idx="17">
                  <c:v>30.153848129534854</c:v>
                </c:pt>
                <c:pt idx="18">
                  <c:v>30.643878809093906</c:v>
                </c:pt>
                <c:pt idx="19">
                  <c:v>31.118128787443972</c:v>
                </c:pt>
                <c:pt idx="20">
                  <c:v>31.576948264221915</c:v>
                </c:pt>
                <c:pt idx="21">
                  <c:v>32.020681816842277</c:v>
                </c:pt>
                <c:pt idx="22">
                  <c:v>32.449668437589388</c:v>
                </c:pt>
                <c:pt idx="23">
                  <c:v>32.864241572527611</c:v>
                </c:pt>
                <c:pt idx="24">
                  <c:v>33.264729162117661</c:v>
                </c:pt>
                <c:pt idx="25">
                  <c:v>33.651453683431399</c:v>
                </c:pt>
                <c:pt idx="26">
                  <c:v>34.024732193861695</c:v>
                </c:pt>
                <c:pt idx="27">
                  <c:v>34.384876376227979</c:v>
                </c:pt>
                <c:pt idx="28">
                  <c:v>34.732192585182119</c:v>
                </c:pt>
                <c:pt idx="29">
                  <c:v>35.066981894823016</c:v>
                </c:pt>
                <c:pt idx="30">
                  <c:v>35.389540147431923</c:v>
                </c:pt>
                <c:pt idx="31">
                  <c:v>35.700158003244255</c:v>
                </c:pt>
                <c:pt idx="32">
                  <c:v>35.999120991176788</c:v>
                </c:pt>
                <c:pt idx="33">
                  <c:v>36.286709560432755</c:v>
                </c:pt>
                <c:pt idx="34">
                  <c:v>36.563199132910313</c:v>
                </c:pt>
                <c:pt idx="35">
                  <c:v>36.828860156343119</c:v>
                </c:pt>
                <c:pt idx="36">
                  <c:v>37.083958158104636</c:v>
                </c:pt>
                <c:pt idx="37">
                  <c:v>37.328753799610688</c:v>
                </c:pt>
                <c:pt idx="38">
                  <c:v>37.563502931257652</c:v>
                </c:pt>
                <c:pt idx="39">
                  <c:v>37.788456647836199</c:v>
                </c:pt>
                <c:pt idx="40">
                  <c:v>38.003861344363273</c:v>
                </c:pt>
                <c:pt idx="41">
                  <c:v>38.209958772277368</c:v>
                </c:pt>
                <c:pt idx="42">
                  <c:v>38.406986095944646</c:v>
                </c:pt>
                <c:pt idx="43">
                  <c:v>38.595175949425744</c:v>
                </c:pt>
                <c:pt idx="44">
                  <c:v>38.774756493455349</c:v>
                </c:pt>
                <c:pt idx="45">
                  <c:v>38.945951472588895</c:v>
                </c:pt>
                <c:pt idx="46">
                  <c:v>39.108980272472643</c:v>
                </c:pt>
                <c:pt idx="47">
                  <c:v>39.264057977195613</c:v>
                </c:pt>
                <c:pt idx="48">
                  <c:v>39.41139542668369</c:v>
                </c:pt>
                <c:pt idx="49">
                  <c:v>39.551199274098067</c:v>
                </c:pt>
                <c:pt idx="50">
                  <c:v>39.683672043202129</c:v>
                </c:pt>
                <c:pt idx="51">
                  <c:v>39.809012185662439</c:v>
                </c:pt>
                <c:pt idx="52">
                  <c:v>39.927414138251386</c:v>
                </c:pt>
                <c:pt idx="53">
                  <c:v>40.039068379920479</c:v>
                </c:pt>
                <c:pt idx="54">
                  <c:v>40.144161488714936</c:v>
                </c:pt>
                <c:pt idx="55">
                  <c:v>40.242876198501733</c:v>
                </c:pt>
                <c:pt idx="56">
                  <c:v>40.335391455484647</c:v>
                </c:pt>
                <c:pt idx="57">
                  <c:v>40.421882474481286</c:v>
                </c:pt>
                <c:pt idx="58">
                  <c:v>40.502520794938441</c:v>
                </c:pt>
                <c:pt idx="59">
                  <c:v>40.577474336663307</c:v>
                </c:pt>
                <c:pt idx="60">
                  <c:v>40.646907455249526</c:v>
                </c:pt>
                <c:pt idx="61">
                  <c:v>40.710980997177984</c:v>
                </c:pt>
                <c:pt idx="62">
                  <c:v>40.769852354573658</c:v>
                </c:pt>
                <c:pt idx="63">
                  <c:v>40.823675519600776</c:v>
                </c:pt>
                <c:pt idx="64">
                  <c:v>40.872601138479659</c:v>
                </c:pt>
                <c:pt idx="65">
                  <c:v>40.916776565109672</c:v>
                </c:pt>
                <c:pt idx="66">
                  <c:v>40.956345914283631</c:v>
                </c:pt>
                <c:pt idx="67">
                  <c:v>40.991450114480031</c:v>
                </c:pt>
                <c:pt idx="68">
                  <c:v>41.022226960220273</c:v>
                </c:pt>
                <c:pt idx="69">
                  <c:v>41.048811163979074</c:v>
                </c:pt>
                <c:pt idx="70">
                  <c:v>41.07133440763694</c:v>
                </c:pt>
                <c:pt idx="71">
                  <c:v>41.089925393464519</c:v>
                </c:pt>
                <c:pt idx="72">
                  <c:v>41.104709894629266</c:v>
                </c:pt>
                <c:pt idx="73">
                  <c:v>41.115810805215816</c:v>
                </c:pt>
                <c:pt idx="74">
                  <c:v>41.123348189751901</c:v>
                </c:pt>
                <c:pt idx="75">
                  <c:v>41.127439332232569</c:v>
                </c:pt>
                <c:pt idx="76">
                  <c:v>41.128198784636005</c:v>
                </c:pt>
                <c:pt idx="77">
                  <c:v>41.125738414924832</c:v>
                </c:pt>
                <c:pt idx="78">
                  <c:v>41.120167454527504</c:v>
                </c:pt>
                <c:pt idx="79">
                  <c:v>41.111592545294862</c:v>
                </c:pt>
                <c:pt idx="80">
                  <c:v>41.100117785927537</c:v>
                </c:pt>
                <c:pt idx="81">
                  <c:v>41.085844777870378</c:v>
                </c:pt>
                <c:pt idx="82">
                  <c:v>41.068872670670601</c:v>
                </c:pt>
                <c:pt idx="83">
                  <c:v>41.049298206796841</c:v>
                </c:pt>
                <c:pt idx="84">
                  <c:v>41.027215765916736</c:v>
                </c:pt>
                <c:pt idx="85">
                  <c:v>41.002717408631149</c:v>
                </c:pt>
                <c:pt idx="86">
                  <c:v>40.975892919663458</c:v>
                </c:pt>
                <c:pt idx="87">
                  <c:v>40.946829850502887</c:v>
                </c:pt>
                <c:pt idx="88">
                  <c:v>40.915613561501111</c:v>
                </c:pt>
                <c:pt idx="89">
                  <c:v>40.882327263421793</c:v>
                </c:pt>
                <c:pt idx="90">
                  <c:v>40.847052058443033</c:v>
                </c:pt>
                <c:pt idx="91">
                  <c:v>40.809866980613087</c:v>
                </c:pt>
                <c:pt idx="92">
                  <c:v>40.770849035759959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896128"/>
        <c:axId val="142914688"/>
      </c:scatterChart>
      <c:valAx>
        <c:axId val="142896128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42914688"/>
        <c:crosses val="autoZero"/>
        <c:crossBetween val="midCat"/>
      </c:valAx>
      <c:valAx>
        <c:axId val="142914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428961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3456.2842968609007</c:v>
                </c:pt>
                <c:pt idx="2">
                  <c:v>3450.9376391538235</c:v>
                </c:pt>
                <c:pt idx="3">
                  <c:v>3445.5432887122533</c:v>
                </c:pt>
                <c:pt idx="4">
                  <c:v>3440.1024063157511</c:v>
                </c:pt>
                <c:pt idx="5">
                  <c:v>3434.6161324215141</c:v>
                </c:pt>
                <c:pt idx="6">
                  <c:v>3429.0855875132534</c:v>
                </c:pt>
                <c:pt idx="7">
                  <c:v>3423.5118724436561</c:v>
                </c:pt>
                <c:pt idx="8">
                  <c:v>3417.8960687705739</c:v>
                </c:pt>
                <c:pt idx="9">
                  <c:v>3412.2392390870632</c:v>
                </c:pt>
                <c:pt idx="10">
                  <c:v>3406.54242734541</c:v>
                </c:pt>
                <c:pt idx="11">
                  <c:v>3400.8066591752618</c:v>
                </c:pt>
                <c:pt idx="12">
                  <c:v>3395.0329421959868</c:v>
                </c:pt>
                <c:pt idx="13">
                  <c:v>3389.2222663233852</c:v>
                </c:pt>
                <c:pt idx="14">
                  <c:v>3383.3756040708636</c:v>
                </c:pt>
                <c:pt idx="15">
                  <c:v>3377.4939108451867</c:v>
                </c:pt>
                <c:pt idx="16">
                  <c:v>3371.5781252369206</c:v>
                </c:pt>
                <c:pt idx="17">
                  <c:v>3365.6291693056701</c:v>
                </c:pt>
                <c:pt idx="18">
                  <c:v>3359.6479488602213</c:v>
                </c:pt>
                <c:pt idx="19">
                  <c:v>3353.6353537336872</c:v>
                </c:pt>
                <c:pt idx="20">
                  <c:v>3347.5922580537613</c:v>
                </c:pt>
                <c:pt idx="21">
                  <c:v>3341.5195205081736</c:v>
                </c:pt>
                <c:pt idx="22">
                  <c:v>3335.4179846054481</c:v>
                </c:pt>
                <c:pt idx="23">
                  <c:v>3329.2884789310533</c:v>
                </c:pt>
                <c:pt idx="24">
                  <c:v>3323.1318173990376</c:v>
                </c:pt>
                <c:pt idx="25">
                  <c:v>3316.9487994992387</c:v>
                </c:pt>
                <c:pt idx="26">
                  <c:v>3310.7402105401566</c:v>
                </c:pt>
                <c:pt idx="27">
                  <c:v>3304.5068218875704</c:v>
                </c:pt>
                <c:pt idx="28">
                  <c:v>3298.2493911989882</c:v>
                </c:pt>
                <c:pt idx="29">
                  <c:v>3291.9686626540051</c:v>
                </c:pt>
                <c:pt idx="30">
                  <c:v>3285.6653671806562</c:v>
                </c:pt>
                <c:pt idx="31">
                  <c:v>3279.3402226778344</c:v>
                </c:pt>
                <c:pt idx="32">
                  <c:v>3272.9939342338557</c:v>
                </c:pt>
                <c:pt idx="33">
                  <c:v>3266.6271943412403</c:v>
                </c:pt>
                <c:pt idx="34">
                  <c:v>3260.2406831077878</c:v>
                </c:pt>
                <c:pt idx="35">
                  <c:v>3253.8350684640136</c:v>
                </c:pt>
                <c:pt idx="36">
                  <c:v>3247.4110063670155</c:v>
                </c:pt>
                <c:pt idx="37">
                  <c:v>3240.9691410008409</c:v>
                </c:pt>
                <c:pt idx="38">
                  <c:v>3234.5101049734199</c:v>
                </c:pt>
                <c:pt idx="39">
                  <c:v>3228.0345195101272</c:v>
                </c:pt>
                <c:pt idx="40">
                  <c:v>3221.5429946440399</c:v>
                </c:pt>
                <c:pt idx="41">
                  <c:v>3215.0361294029485</c:v>
                </c:pt>
                <c:pt idx="42">
                  <c:v>3208.5145119931867</c:v>
                </c:pt>
                <c:pt idx="43">
                  <c:v>3201.9787199803345</c:v>
                </c:pt>
                <c:pt idx="44">
                  <c:v>3195.429320466857</c:v>
                </c:pt>
                <c:pt idx="45">
                  <c:v>3188.8668702667333</c:v>
                </c:pt>
                <c:pt idx="46">
                  <c:v>3182.2919160771294</c:v>
                </c:pt>
                <c:pt idx="47">
                  <c:v>3175.7049946471752</c:v>
                </c:pt>
                <c:pt idx="48">
                  <c:v>3169.1066329438913</c:v>
                </c:pt>
                <c:pt idx="49">
                  <c:v>3162.497348315324</c:v>
                </c:pt>
                <c:pt idx="50">
                  <c:v>3155.877648650936</c:v>
                </c:pt>
                <c:pt idx="51">
                  <c:v>3149.2480325393026</c:v>
                </c:pt>
                <c:pt idx="52">
                  <c:v>3142.6089894231654</c:v>
                </c:pt>
                <c:pt idx="53">
                  <c:v>3135.9609997518878</c:v>
                </c:pt>
                <c:pt idx="54">
                  <c:v>3129.3045351313599</c:v>
                </c:pt>
                <c:pt idx="55">
                  <c:v>3122.6400584714002</c:v>
                </c:pt>
                <c:pt idx="56">
                  <c:v>3115.9680241306987</c:v>
                </c:pt>
                <c:pt idx="57">
                  <c:v>3109.2888780593416</c:v>
                </c:pt>
                <c:pt idx="58">
                  <c:v>3102.6030579389676</c:v>
                </c:pt>
                <c:pt idx="59">
                  <c:v>3095.9109933205914</c:v>
                </c:pt>
                <c:pt idx="60">
                  <c:v>3089.2131057601382</c:v>
                </c:pt>
                <c:pt idx="61">
                  <c:v>3082.5098089517328</c:v>
                </c:pt>
                <c:pt idx="62">
                  <c:v>3075.8015088587758</c:v>
                </c:pt>
                <c:pt idx="63">
                  <c:v>3069.0886038428548</c:v>
                </c:pt>
                <c:pt idx="64">
                  <c:v>3062.3714847905185</c:v>
                </c:pt>
                <c:pt idx="65">
                  <c:v>3055.6505352379609</c:v>
                </c:pt>
                <c:pt idx="66">
                  <c:v>3048.9261314936452</c:v>
                </c:pt>
                <c:pt idx="67">
                  <c:v>3042.1986427589068</c:v>
                </c:pt>
                <c:pt idx="68">
                  <c:v>3035.4684312465683</c:v>
                </c:pt>
                <c:pt idx="69">
                  <c:v>3028.7358522976028</c:v>
                </c:pt>
                <c:pt idx="70">
                  <c:v>3022.001254495879</c:v>
                </c:pt>
                <c:pt idx="71">
                  <c:v>3015.26497978102</c:v>
                </c:pt>
                <c:pt idx="72">
                  <c:v>3008.5273635594071</c:v>
                </c:pt>
                <c:pt idx="73">
                  <c:v>3001.7887348133677</c:v>
                </c:pt>
                <c:pt idx="74">
                  <c:v>2995.049416208567</c:v>
                </c:pt>
                <c:pt idx="75">
                  <c:v>2988.3097241996438</c:v>
                </c:pt>
                <c:pt idx="76">
                  <c:v>2981.5699691341165</c:v>
                </c:pt>
                <c:pt idx="77">
                  <c:v>2974.8304553545868</c:v>
                </c:pt>
                <c:pt idx="78">
                  <c:v>2968.091481299276</c:v>
                </c:pt>
                <c:pt idx="79">
                  <c:v>2961.3533396009157</c:v>
                </c:pt>
                <c:pt idx="80">
                  <c:v>2954.6163171840235</c:v>
                </c:pt>
                <c:pt idx="81">
                  <c:v>2947.8806953605936</c:v>
                </c:pt>
                <c:pt idx="82">
                  <c:v>2941.1467499242235</c:v>
                </c:pt>
                <c:pt idx="83">
                  <c:v>2934.4147512427066</c:v>
                </c:pt>
                <c:pt idx="84">
                  <c:v>2927.6849643491178</c:v>
                </c:pt>
                <c:pt idx="85">
                  <c:v>2920.957649031413</c:v>
                </c:pt>
                <c:pt idx="86">
                  <c:v>2914.2330599205716</c:v>
                </c:pt>
                <c:pt idx="87">
                  <c:v>2907.511446577304</c:v>
                </c:pt>
                <c:pt idx="88">
                  <c:v>2900.793053577348</c:v>
                </c:pt>
                <c:pt idx="89">
                  <c:v>2894.0781205953781</c:v>
                </c:pt>
                <c:pt idx="90">
                  <c:v>2887.3668824875526</c:v>
                </c:pt>
                <c:pt idx="91">
                  <c:v>2880.6595693727168</c:v>
                </c:pt>
                <c:pt idx="92">
                  <c:v>2873.9564067122888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mod.math.!$U$2:$U$94</c:f>
              <c:numCache>
                <c:formatCode>0.00</c:formatCode>
                <c:ptCount val="93"/>
                <c:pt idx="0">
                  <c:v>3461.5820803761335</c:v>
                </c:pt>
                <c:pt idx="1">
                  <c:v>3456.2597393701708</c:v>
                </c:pt>
                <c:pt idx="2">
                  <c:v>3450.8876340835659</c:v>
                </c:pt>
                <c:pt idx="3">
                  <c:v>3445.4669795127925</c:v>
                </c:pt>
                <c:pt idx="4">
                  <c:v>3439.998969530167</c:v>
                </c:pt>
                <c:pt idx="5">
                  <c:v>3434.4847772245375</c:v>
                </c:pt>
                <c:pt idx="6">
                  <c:v>3428.9255552367636</c:v>
                </c:pt>
                <c:pt idx="7">
                  <c:v>3423.3224360900876</c:v>
                </c:pt>
                <c:pt idx="8">
                  <c:v>3417.6765325154483</c:v>
                </c:pt>
                <c:pt idx="9">
                  <c:v>3411.9889377718237</c:v>
                </c:pt>
                <c:pt idx="10">
                  <c:v>3406.260725961662</c:v>
                </c:pt>
                <c:pt idx="11">
                  <c:v>3400.4929523414785</c:v>
                </c:pt>
                <c:pt idx="12">
                  <c:v>3394.6866536276843</c:v>
                </c:pt>
                <c:pt idx="13">
                  <c:v>3388.8428482977147</c:v>
                </c:pt>
                <c:pt idx="14">
                  <c:v>3382.9625368865227</c:v>
                </c:pt>
                <c:pt idx="15">
                  <c:v>3377.0467022785115</c:v>
                </c:pt>
                <c:pt idx="16">
                  <c:v>3371.0963099949608</c:v>
                </c:pt>
                <c:pt idx="17">
                  <c:v>3365.1123084770197</c:v>
                </c:pt>
                <c:pt idx="18">
                  <c:v>3359.0956293643244</c:v>
                </c:pt>
                <c:pt idx="19">
                  <c:v>3353.0471877693121</c:v>
                </c:pt>
                <c:pt idx="20">
                  <c:v>3346.9678825472811</c:v>
                </c:pt>
                <c:pt idx="21">
                  <c:v>3340.8585965622697</c:v>
                </c:pt>
                <c:pt idx="22">
                  <c:v>3334.7201969488087</c:v>
                </c:pt>
                <c:pt idx="23">
                  <c:v>3328.5535353696091</c:v>
                </c:pt>
                <c:pt idx="24">
                  <c:v>3322.3594482692411</c:v>
                </c:pt>
                <c:pt idx="25">
                  <c:v>3316.1387571238706</c:v>
                </c:pt>
                <c:pt idx="26">
                  <c:v>3309.8922686871001</c:v>
                </c:pt>
                <c:pt idx="27">
                  <c:v>3303.6207752319788</c:v>
                </c:pt>
                <c:pt idx="28">
                  <c:v>3297.3250547892335</c:v>
                </c:pt>
                <c:pt idx="29">
                  <c:v>3291.0058713817821</c:v>
                </c:pt>
                <c:pt idx="30">
                  <c:v>3284.6639752555707</c:v>
                </c:pt>
                <c:pt idx="31">
                  <c:v>3278.3001031068084</c:v>
                </c:pt>
                <c:pt idx="32">
                  <c:v>3271.9149783056291</c:v>
                </c:pt>
                <c:pt idx="33">
                  <c:v>3265.5093111162573</c:v>
                </c:pt>
                <c:pt idx="34">
                  <c:v>3259.0837989137067</c:v>
                </c:pt>
                <c:pt idx="35">
                  <c:v>3252.6391263970827</c:v>
                </c:pt>
                <c:pt idx="36">
                  <c:v>3246.1759657995226</c:v>
                </c:pt>
                <c:pt idx="37">
                  <c:v>3239.6949770948358</c:v>
                </c:pt>
                <c:pt idx="38">
                  <c:v>3233.1968082008834</c:v>
                </c:pt>
                <c:pt idx="39">
                  <c:v>3226.682095179754</c:v>
                </c:pt>
                <c:pt idx="40">
                  <c:v>3220.1514624347774</c:v>
                </c:pt>
                <c:pt idx="41">
                  <c:v>3213.6055229044227</c:v>
                </c:pt>
                <c:pt idx="42">
                  <c:v>3207.044878253133</c:v>
                </c:pt>
                <c:pt idx="43">
                  <c:v>3200.4701190591418</c:v>
                </c:pt>
                <c:pt idx="44">
                  <c:v>3193.8818249993028</c:v>
                </c:pt>
                <c:pt idx="45">
                  <c:v>3187.2805650310024</c:v>
                </c:pt>
                <c:pt idx="46">
                  <c:v>3180.6668975711732</c:v>
                </c:pt>
                <c:pt idx="47">
                  <c:v>3174.0413706724717</c:v>
                </c:pt>
                <c:pt idx="48">
                  <c:v>3167.404522196648</c:v>
                </c:pt>
                <c:pt idx="49">
                  <c:v>3160.7568799851642</c:v>
                </c:pt>
                <c:pt idx="50">
                  <c:v>3154.0989620270848</c:v>
                </c:pt>
                <c:pt idx="51">
                  <c:v>3147.4312766243024</c:v>
                </c:pt>
                <c:pt idx="52">
                  <c:v>3140.7543225541167</c:v>
                </c:pt>
                <c:pt idx="53">
                  <c:v>3134.0685892292236</c:v>
                </c:pt>
                <c:pt idx="54">
                  <c:v>3127.3745568551453</c:v>
                </c:pt>
                <c:pt idx="55">
                  <c:v>3120.6726965851408</c:v>
                </c:pt>
                <c:pt idx="56">
                  <c:v>3113.9634706726392</c:v>
                </c:pt>
                <c:pt idx="57">
                  <c:v>3107.2473326212271</c:v>
                </c:pt>
                <c:pt idx="58">
                  <c:v>3100.5247273322348</c:v>
                </c:pt>
                <c:pt idx="59">
                  <c:v>3093.7960912499489</c:v>
                </c:pt>
                <c:pt idx="60">
                  <c:v>3087.0618525044956</c:v>
                </c:pt>
                <c:pt idx="61">
                  <c:v>3080.3224310524283</c:v>
                </c:pt>
                <c:pt idx="62">
                  <c:v>3073.5782388150474</c:v>
                </c:pt>
                <c:pt idx="63">
                  <c:v>3066.8296798145011</c:v>
                </c:pt>
                <c:pt idx="64">
                  <c:v>3060.077150307684</c:v>
                </c:pt>
                <c:pt idx="65">
                  <c:v>3053.3210389179831</c:v>
                </c:pt>
                <c:pt idx="66">
                  <c:v>3046.5617267648945</c:v>
                </c:pt>
                <c:pt idx="67">
                  <c:v>3039.7995875915458</c:v>
                </c:pt>
                <c:pt idx="68">
                  <c:v>3033.0349878901566</c:v>
                </c:pt>
                <c:pt idx="69">
                  <c:v>3026.2682870254712</c:v>
                </c:pt>
                <c:pt idx="70">
                  <c:v>3019.4998373561907</c:v>
                </c:pt>
                <c:pt idx="71">
                  <c:v>3012.7299843544401</c:v>
                </c:pt>
                <c:pt idx="72">
                  <c:v>3005.9590667232901</c:v>
                </c:pt>
                <c:pt idx="73">
                  <c:v>2999.1874165123832</c:v>
                </c:pt>
                <c:pt idx="74">
                  <c:v>2992.4153592316711</c:v>
                </c:pt>
                <c:pt idx="75">
                  <c:v>2985.6432139633107</c:v>
                </c:pt>
                <c:pt idx="76">
                  <c:v>2978.8712934717337</c:v>
                </c:pt>
                <c:pt idx="77">
                  <c:v>2972.0999043119309</c:v>
                </c:pt>
                <c:pt idx="78">
                  <c:v>2965.3293469359646</c:v>
                </c:pt>
                <c:pt idx="79">
                  <c:v>2958.5599157977517</c:v>
                </c:pt>
                <c:pt idx="80">
                  <c:v>2951.7918994561305</c:v>
                </c:pt>
                <c:pt idx="81">
                  <c:v>2945.0255806762493</c:v>
                </c:pt>
                <c:pt idx="82">
                  <c:v>2938.261236529298</c:v>
                </c:pt>
                <c:pt idx="83">
                  <c:v>2931.4991384906007</c:v>
                </c:pt>
                <c:pt idx="84">
                  <c:v>2924.7395525361162</c:v>
                </c:pt>
                <c:pt idx="85">
                  <c:v>2917.9827392373486</c:v>
                </c:pt>
                <c:pt idx="86">
                  <c:v>2911.2289538547006</c:v>
                </c:pt>
                <c:pt idx="87">
                  <c:v>2904.4784464293061</c:v>
                </c:pt>
                <c:pt idx="88">
                  <c:v>2897.7314618733426</c:v>
                </c:pt>
                <c:pt idx="89">
                  <c:v>2890.9882400588704</c:v>
                </c:pt>
                <c:pt idx="90">
                  <c:v>2884.2490159052049</c:v>
                </c:pt>
                <c:pt idx="91">
                  <c:v>2877.5140194648543</c:v>
                </c:pt>
                <c:pt idx="92">
                  <c:v>2870.7834760080432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086336"/>
        <c:axId val="143088256"/>
      </c:scatterChart>
      <c:valAx>
        <c:axId val="143086336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43088256"/>
        <c:crosses val="autoZero"/>
        <c:crossBetween val="midCat"/>
      </c:valAx>
      <c:valAx>
        <c:axId val="143088256"/>
        <c:scaling>
          <c:orientation val="minMax"/>
          <c:min val="25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430863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mod.math.!$V$2:$V$94</c:f>
              <c:numCache>
                <c:formatCode>0.00</c:formatCode>
                <c:ptCount val="93"/>
                <c:pt idx="0">
                  <c:v>1154.5288235649423</c:v>
                </c:pt>
                <c:pt idx="1">
                  <c:v>1159.3325386098209</c:v>
                </c:pt>
                <c:pt idx="2">
                  <c:v>1164.0819071981573</c:v>
                </c:pt>
                <c:pt idx="3">
                  <c:v>1168.7771312495499</c:v>
                </c:pt>
                <c:pt idx="4">
                  <c:v>1173.4184157811487</c:v>
                </c:pt>
                <c:pt idx="5">
                  <c:v>1178.0059688066888</c:v>
                </c:pt>
                <c:pt idx="6">
                  <c:v>1182.5400012375185</c:v>
                </c:pt>
                <c:pt idx="7">
                  <c:v>1187.0207267855878</c:v>
                </c:pt>
                <c:pt idx="8">
                  <c:v>1191.4483618683555</c:v>
                </c:pt>
                <c:pt idx="9">
                  <c:v>1195.8231255155977</c:v>
                </c:pt>
                <c:pt idx="10">
                  <c:v>1200.14523927807</c:v>
                </c:pt>
                <c:pt idx="11">
                  <c:v>1204.4149271380047</c:v>
                </c:pt>
                <c:pt idx="12">
                  <c:v>1208.6324154213996</c:v>
                </c:pt>
                <c:pt idx="13">
                  <c:v>1212.7979327120806</c:v>
                </c:pt>
                <c:pt idx="14">
                  <c:v>1216.9117097674971</c:v>
                </c:pt>
                <c:pt idx="15">
                  <c:v>1220.9739794362276</c:v>
                </c:pt>
                <c:pt idx="16">
                  <c:v>1224.9849765771614</c:v>
                </c:pt>
                <c:pt idx="17">
                  <c:v>1228.944937980333</c:v>
                </c:pt>
                <c:pt idx="18">
                  <c:v>1232.8541022893721</c:v>
                </c:pt>
                <c:pt idx="19">
                  <c:v>1236.7127099255567</c:v>
                </c:pt>
                <c:pt idx="20">
                  <c:v>1240.5210030134181</c:v>
                </c:pt>
                <c:pt idx="21">
                  <c:v>1244.2792253078985</c:v>
                </c:pt>
                <c:pt idx="22">
                  <c:v>1247.9876221230149</c:v>
                </c:pt>
                <c:pt idx="23">
                  <c:v>1251.646440262004</c:v>
                </c:pt>
                <c:pt idx="24">
                  <c:v>1255.2559279489376</c:v>
                </c:pt>
                <c:pt idx="25">
                  <c:v>1258.8163347617656</c:v>
                </c:pt>
                <c:pt idx="26">
                  <c:v>1262.3279115667701</c:v>
                </c:pt>
                <c:pt idx="27">
                  <c:v>1265.7909104544076</c:v>
                </c:pt>
                <c:pt idx="28">
                  <c:v>1269.2055846765102</c:v>
                </c:pt>
                <c:pt idx="29">
                  <c:v>1272.5721885848241</c:v>
                </c:pt>
                <c:pt idx="30">
                  <c:v>1275.8909775708596</c:v>
                </c:pt>
                <c:pt idx="31">
                  <c:v>1279.1622080070401</c:v>
                </c:pt>
                <c:pt idx="32">
                  <c:v>1282.3861371891096</c:v>
                </c:pt>
                <c:pt idx="33">
                  <c:v>1285.5630232797903</c:v>
                </c:pt>
                <c:pt idx="34">
                  <c:v>1288.6931252536654</c:v>
                </c:pt>
                <c:pt idx="35">
                  <c:v>1291.7767028432606</c:v>
                </c:pt>
                <c:pt idx="36">
                  <c:v>1294.8140164863109</c:v>
                </c:pt>
                <c:pt idx="37">
                  <c:v>1297.805327274182</c:v>
                </c:pt>
                <c:pt idx="38">
                  <c:v>1300.7508969014352</c:v>
                </c:pt>
                <c:pt idx="39">
                  <c:v>1303.6509876165082</c:v>
                </c:pt>
                <c:pt idx="40">
                  <c:v>1306.5058621734993</c:v>
                </c:pt>
                <c:pt idx="41">
                  <c:v>1309.3157837850263</c:v>
                </c:pt>
                <c:pt idx="42">
                  <c:v>1312.0810160761469</c:v>
                </c:pt>
                <c:pt idx="43">
                  <c:v>1314.8018230393222</c:v>
                </c:pt>
                <c:pt idx="44">
                  <c:v>1317.4784689904016</c:v>
                </c:pt>
                <c:pt idx="45">
                  <c:v>1320.1112185256095</c:v>
                </c:pt>
                <c:pt idx="46">
                  <c:v>1322.7003364795189</c:v>
                </c:pt>
                <c:pt idx="47">
                  <c:v>1325.2460878839975</c:v>
                </c:pt>
                <c:pt idx="48">
                  <c:v>1327.7487379280972</c:v>
                </c:pt>
                <c:pt idx="49">
                  <c:v>1330.2085519188806</c:v>
                </c:pt>
                <c:pt idx="50">
                  <c:v>1332.6257952431658</c:v>
                </c:pt>
                <c:pt idx="51">
                  <c:v>1335.0007333301651</c:v>
                </c:pt>
                <c:pt idx="52">
                  <c:v>1337.3336316150135</c:v>
                </c:pt>
                <c:pt idx="53">
                  <c:v>1339.6247555031582</c:v>
                </c:pt>
                <c:pt idx="54">
                  <c:v>1341.874370335607</c:v>
                </c:pt>
                <c:pt idx="55">
                  <c:v>1344.0827413550016</c:v>
                </c:pt>
                <c:pt idx="56">
                  <c:v>1346.2501336725215</c:v>
                </c:pt>
                <c:pt idx="57">
                  <c:v>1348.3768122355877</c:v>
                </c:pt>
                <c:pt idx="58">
                  <c:v>1350.4630417963576</c:v>
                </c:pt>
                <c:pt idx="59">
                  <c:v>1352.509086880993</c:v>
                </c:pt>
                <c:pt idx="60">
                  <c:v>1354.5152117596974</c:v>
                </c:pt>
                <c:pt idx="61">
                  <c:v>1356.4816804174914</c:v>
                </c:pt>
                <c:pt idx="62">
                  <c:v>1358.4087565257237</c:v>
                </c:pt>
                <c:pt idx="63">
                  <c:v>1360.2967034143078</c:v>
                </c:pt>
                <c:pt idx="64">
                  <c:v>1362.1457840446551</c:v>
                </c:pt>
                <c:pt idx="65">
                  <c:v>1363.9562609833085</c:v>
                </c:pt>
                <c:pt idx="66">
                  <c:v>1365.7283963762518</c:v>
                </c:pt>
                <c:pt idx="67">
                  <c:v>1367.4624519238894</c:v>
                </c:pt>
                <c:pt idx="68">
                  <c:v>1369.1586888566762</c:v>
                </c:pt>
                <c:pt idx="69">
                  <c:v>1370.8173679113934</c:v>
                </c:pt>
                <c:pt idx="70">
                  <c:v>1372.4387493080542</c:v>
                </c:pt>
                <c:pt idx="71">
                  <c:v>1374.0230927274245</c:v>
                </c:pt>
                <c:pt idx="72">
                  <c:v>1375.5706572891513</c:v>
                </c:pt>
                <c:pt idx="73">
                  <c:v>1377.0817015304892</c:v>
                </c:pt>
                <c:pt idx="74">
                  <c:v>1378.5564833856047</c:v>
                </c:pt>
                <c:pt idx="75">
                  <c:v>1379.9952601654572</c:v>
                </c:pt>
                <c:pt idx="76">
                  <c:v>1381.3982885382366</c:v>
                </c:pt>
                <c:pt idx="77">
                  <c:v>1382.7658245103576</c:v>
                </c:pt>
                <c:pt idx="78">
                  <c:v>1384.0981234079879</c:v>
                </c:pt>
                <c:pt idx="79">
                  <c:v>1385.39543985911</c:v>
                </c:pt>
                <c:pt idx="80">
                  <c:v>1386.6580277760979</c:v>
                </c:pt>
                <c:pt idx="81">
                  <c:v>1387.8861403388078</c:v>
                </c:pt>
                <c:pt idx="82">
                  <c:v>1389.0800299781629</c:v>
                </c:pt>
                <c:pt idx="83">
                  <c:v>1390.2399483602308</c:v>
                </c:pt>
                <c:pt idx="84">
                  <c:v>1391.3661463707815</c:v>
                </c:pt>
                <c:pt idx="85">
                  <c:v>1392.4588741003133</c:v>
                </c:pt>
                <c:pt idx="86">
                  <c:v>1393.5183808295378</c:v>
                </c:pt>
                <c:pt idx="87">
                  <c:v>1394.5449150153238</c:v>
                </c:pt>
                <c:pt idx="88">
                  <c:v>1395.5387242770778</c:v>
                </c:pt>
                <c:pt idx="89">
                  <c:v>1396.500055383563</c:v>
                </c:pt>
                <c:pt idx="90">
                  <c:v>1397.42915424014</c:v>
                </c:pt>
                <c:pt idx="91">
                  <c:v>1398.3262658764279</c:v>
                </c:pt>
                <c:pt idx="92">
                  <c:v>1399.1916344343745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1168.8582483754269</c:v>
                </c:pt>
                <c:pt idx="4">
                  <c:v>1173.5261769005106</c:v>
                </c:pt>
                <c:pt idx="5">
                  <c:v>1178.1401815217778</c:v>
                </c:pt>
                <c:pt idx="6">
                  <c:v>1182.7004760819004</c:v>
                </c:pt>
                <c:pt idx="7">
                  <c:v>1187.2072771298529</c:v>
                </c:pt>
                <c:pt idx="8">
                  <c:v>1191.6608038273787</c:v>
                </c:pt>
                <c:pt idx="9">
                  <c:v>1196.0612778573977</c:v>
                </c:pt>
                <c:pt idx="10">
                  <c:v>1200.4089233343134</c:v>
                </c:pt>
                <c:pt idx="11">
                  <c:v>1204.7039667161866</c:v>
                </c:pt>
                <c:pt idx="12">
                  <c:v>1208.9466367187397</c:v>
                </c:pt>
                <c:pt idx="13">
                  <c:v>1213.1371642311553</c:v>
                </c:pt>
                <c:pt idx="14">
                  <c:v>1217.2757822336362</c:v>
                </c:pt>
                <c:pt idx="15">
                  <c:v>1221.3627257166918</c:v>
                </c:pt>
                <c:pt idx="16">
                  <c:v>1225.3982316021209</c:v>
                </c:pt>
                <c:pt idx="17">
                  <c:v>1229.3825386656551</c:v>
                </c:pt>
                <c:pt idx="18">
                  <c:v>1233.3158874612345</c:v>
                </c:pt>
                <c:pt idx="19">
                  <c:v>1237.1985202468818</c:v>
                </c:pt>
                <c:pt idx="20">
                  <c:v>1241.0306809121473</c:v>
                </c:pt>
                <c:pt idx="21">
                  <c:v>1244.8126149070938</c:v>
                </c:pt>
                <c:pt idx="22">
                  <c:v>1248.5445691727912</c:v>
                </c:pt>
                <c:pt idx="23">
                  <c:v>1252.2267920732943</c:v>
                </c:pt>
                <c:pt idx="24">
                  <c:v>1255.8595333290741</c:v>
                </c:pt>
                <c:pt idx="25">
                  <c:v>1259.4430439518769</c:v>
                </c:pt>
                <c:pt idx="26">
                  <c:v>1262.9775761809819</c:v>
                </c:pt>
                <c:pt idx="27">
                  <c:v>1266.4633834208335</c:v>
                </c:pt>
                <c:pt idx="28">
                  <c:v>1269.9007201800198</c:v>
                </c:pt>
                <c:pt idx="29">
                  <c:v>1273.289842011575</c:v>
                </c:pt>
                <c:pt idx="30">
                  <c:v>1276.6310054545777</c:v>
                </c:pt>
                <c:pt idx="31">
                  <c:v>1279.9244679770215</c:v>
                </c:pt>
                <c:pt idx="32">
                  <c:v>1283.1704879199372</c:v>
                </c:pt>
                <c:pt idx="33">
                  <c:v>1286.3693244427363</c:v>
                </c:pt>
                <c:pt idx="34">
                  <c:v>1289.5212374697612</c:v>
                </c:pt>
                <c:pt idx="35">
                  <c:v>1292.6264876380119</c:v>
                </c:pt>
                <c:pt idx="36">
                  <c:v>1295.6853362460315</c:v>
                </c:pt>
                <c:pt idx="37">
                  <c:v>1298.6980452039277</c:v>
                </c:pt>
                <c:pt idx="38">
                  <c:v>1301.6648769845076</c:v>
                </c:pt>
                <c:pt idx="39">
                  <c:v>1304.5860945755076</c:v>
                </c:pt>
                <c:pt idx="40">
                  <c:v>1307.4619614328951</c:v>
                </c:pt>
                <c:pt idx="41">
                  <c:v>1310.2927414352232</c:v>
                </c:pt>
                <c:pt idx="42">
                  <c:v>1313.0786988390189</c:v>
                </c:pt>
                <c:pt idx="43">
                  <c:v>1315.8200982351837</c:v>
                </c:pt>
                <c:pt idx="44">
                  <c:v>1318.51720450639</c:v>
                </c:pt>
                <c:pt idx="45">
                  <c:v>1321.1702827854533</c:v>
                </c:pt>
                <c:pt idx="46">
                  <c:v>1323.7795984146603</c:v>
                </c:pt>
                <c:pt idx="47">
                  <c:v>1326.3454169060385</c:v>
                </c:pt>
                <c:pt idx="48">
                  <c:v>1328.8680039025462</c:v>
                </c:pt>
                <c:pt idx="49">
                  <c:v>1331.3476251401678</c:v>
                </c:pt>
                <c:pt idx="50">
                  <c:v>1333.7845464108959</c:v>
                </c:pt>
                <c:pt idx="51">
                  <c:v>1336.1790335265846</c:v>
                </c:pt>
                <c:pt idx="52">
                  <c:v>1338.5313522836564</c:v>
                </c:pt>
                <c:pt idx="53">
                  <c:v>1340.8417684286487</c:v>
                </c:pt>
                <c:pt idx="54">
                  <c:v>1343.1105476245816</c:v>
                </c:pt>
                <c:pt idx="55">
                  <c:v>1345.3379554181322</c:v>
                </c:pt>
                <c:pt idx="56">
                  <c:v>1347.5242572076022</c:v>
                </c:pt>
                <c:pt idx="57">
                  <c:v>1349.6697182116602</c:v>
                </c:pt>
                <c:pt idx="58">
                  <c:v>1351.7746034388481</c:v>
                </c:pt>
                <c:pt idx="59">
                  <c:v>1353.8391776578335</c:v>
                </c:pt>
                <c:pt idx="60">
                  <c:v>1355.8637053683965</c:v>
                </c:pt>
                <c:pt idx="61">
                  <c:v>1357.8484507731353</c:v>
                </c:pt>
                <c:pt idx="62">
                  <c:v>1359.7936777498785</c:v>
                </c:pt>
                <c:pt idx="63">
                  <c:v>1361.69964982479</c:v>
                </c:pt>
                <c:pt idx="64">
                  <c:v>1363.5666301461522</c:v>
                </c:pt>
                <c:pt idx="65">
                  <c:v>1365.3948814588173</c:v>
                </c:pt>
                <c:pt idx="66">
                  <c:v>1367.1846660793108</c:v>
                </c:pt>
                <c:pt idx="67">
                  <c:v>1368.9362458715775</c:v>
                </c:pt>
                <c:pt idx="68">
                  <c:v>1370.6498822233561</c:v>
                </c:pt>
                <c:pt idx="69">
                  <c:v>1372.3258360231716</c:v>
                </c:pt>
                <c:pt idx="70">
                  <c:v>1373.9643676379317</c:v>
                </c:pt>
                <c:pt idx="71">
                  <c:v>1375.5657368911179</c:v>
                </c:pt>
                <c:pt idx="72">
                  <c:v>1377.13020304156</c:v>
                </c:pt>
                <c:pt idx="73">
                  <c:v>1378.658024762779</c:v>
                </c:pt>
                <c:pt idx="74">
                  <c:v>1380.1494601228933</c:v>
                </c:pt>
                <c:pt idx="75">
                  <c:v>1381.6047665650724</c:v>
                </c:pt>
                <c:pt idx="76">
                  <c:v>1383.0242008885305</c:v>
                </c:pt>
                <c:pt idx="77">
                  <c:v>1384.4080192300478</c:v>
                </c:pt>
                <c:pt idx="78">
                  <c:v>1385.7564770460112</c:v>
                </c:pt>
                <c:pt idx="79">
                  <c:v>1387.0698290949624</c:v>
                </c:pt>
                <c:pt idx="80">
                  <c:v>1388.3483294206449</c:v>
                </c:pt>
                <c:pt idx="81">
                  <c:v>1389.5922313355395</c:v>
                </c:pt>
                <c:pt idx="82">
                  <c:v>1390.8017874048799</c:v>
                </c:pt>
                <c:pt idx="83">
                  <c:v>1391.9772494311364</c:v>
                </c:pt>
                <c:pt idx="84">
                  <c:v>1393.1188684389633</c:v>
                </c:pt>
                <c:pt idx="85">
                  <c:v>1394.2268946605952</c:v>
                </c:pt>
                <c:pt idx="86">
                  <c:v>1395.3015775216882</c:v>
                </c:pt>
                <c:pt idx="87">
                  <c:v>1396.3431656275948</c:v>
                </c:pt>
                <c:pt idx="88">
                  <c:v>1397.3519067500642</c:v>
                </c:pt>
                <c:pt idx="89">
                  <c:v>1398.3280478143613</c:v>
                </c:pt>
                <c:pt idx="90">
                  <c:v>1399.2718348867929</c:v>
                </c:pt>
                <c:pt idx="91">
                  <c:v>1400.1835131626369</c:v>
                </c:pt>
                <c:pt idx="92">
                  <c:v>1401.063326954463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28672"/>
        <c:axId val="144966016"/>
      </c:scatterChart>
      <c:valAx>
        <c:axId val="144828672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44966016"/>
        <c:crosses val="autoZero"/>
        <c:crossBetween val="midCat"/>
      </c:valAx>
      <c:valAx>
        <c:axId val="144966016"/>
        <c:scaling>
          <c:orientation val="minMax"/>
          <c:min val="1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448286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mod.RK1!$O$2:$O$94</c:f>
              <c:numCache>
                <c:formatCode>0.00</c:formatCode>
                <c:ptCount val="93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232.52995409516313</c:v>
                </c:pt>
                <c:pt idx="5">
                  <c:v>230.47772656672367</c:v>
                </c:pt>
                <c:pt idx="6">
                  <c:v>228.49975842358148</c:v>
                </c:pt>
                <c:pt idx="7">
                  <c:v>226.59378732254439</c:v>
                </c:pt>
                <c:pt idx="8">
                  <c:v>224.75761451907454</c:v>
                </c:pt>
                <c:pt idx="9">
                  <c:v>222.98910311204202</c:v>
                </c:pt>
                <c:pt idx="10">
                  <c:v>221.28617633684806</c:v>
                </c:pt>
                <c:pt idx="11">
                  <c:v>219.6468159055826</c:v>
                </c:pt>
                <c:pt idx="12">
                  <c:v>218.06906039291798</c:v>
                </c:pt>
                <c:pt idx="13">
                  <c:v>216.55100366647596</c:v>
                </c:pt>
                <c:pt idx="14">
                  <c:v>215.09079336044104</c:v>
                </c:pt>
                <c:pt idx="15">
                  <c:v>213.68662939122601</c:v>
                </c:pt>
                <c:pt idx="16">
                  <c:v>212.33676251402943</c:v>
                </c:pt>
                <c:pt idx="17">
                  <c:v>211.03949291915643</c:v>
                </c:pt>
                <c:pt idx="18">
                  <c:v>209.79316886700553</c:v>
                </c:pt>
                <c:pt idx="19">
                  <c:v>208.59618536065446</c:v>
                </c:pt>
                <c:pt idx="20">
                  <c:v>207.44698285500758</c:v>
                </c:pt>
                <c:pt idx="21">
                  <c:v>206.34404600149605</c:v>
                </c:pt>
                <c:pt idx="22">
                  <c:v>205.28590242734978</c:v>
                </c:pt>
                <c:pt idx="23">
                  <c:v>204.27112154848751</c:v>
                </c:pt>
                <c:pt idx="24">
                  <c:v>203.29831341509748</c:v>
                </c:pt>
                <c:pt idx="25">
                  <c:v>202.36612758900677</c:v>
                </c:pt>
                <c:pt idx="26">
                  <c:v>201.4732520519627</c:v>
                </c:pt>
                <c:pt idx="27">
                  <c:v>200.6184121439735</c:v>
                </c:pt>
                <c:pt idx="28">
                  <c:v>199.80036953087904</c:v>
                </c:pt>
                <c:pt idx="29">
                  <c:v>199.01792120034568</c:v>
                </c:pt>
                <c:pt idx="30">
                  <c:v>198.2698984855013</c:v>
                </c:pt>
                <c:pt idx="31">
                  <c:v>197.55516611544815</c:v>
                </c:pt>
                <c:pt idx="32">
                  <c:v>196.87262129191242</c:v>
                </c:pt>
                <c:pt idx="33">
                  <c:v>196.22119279130999</c:v>
                </c:pt>
                <c:pt idx="34">
                  <c:v>195.59984009152728</c:v>
                </c:pt>
                <c:pt idx="35">
                  <c:v>195.00755252273623</c:v>
                </c:pt>
                <c:pt idx="36">
                  <c:v>194.44334844158027</c:v>
                </c:pt>
                <c:pt idx="37">
                  <c:v>193.90627442808747</c:v>
                </c:pt>
                <c:pt idx="38">
                  <c:v>193.39540450468428</c:v>
                </c:pt>
                <c:pt idx="39">
                  <c:v>192.9098393767004</c:v>
                </c:pt>
                <c:pt idx="40">
                  <c:v>192.44870569377287</c:v>
                </c:pt>
                <c:pt idx="41">
                  <c:v>192.01115533157309</c:v>
                </c:pt>
                <c:pt idx="42">
                  <c:v>191.59636469329683</c:v>
                </c:pt>
                <c:pt idx="43">
                  <c:v>191.20353403037248</c:v>
                </c:pt>
                <c:pt idx="44">
                  <c:v>190.83188678185823</c:v>
                </c:pt>
                <c:pt idx="45">
                  <c:v>190.48066893201303</c:v>
                </c:pt>
                <c:pt idx="46">
                  <c:v>190.14914838554068</c:v>
                </c:pt>
                <c:pt idx="47">
                  <c:v>189.83661436002009</c:v>
                </c:pt>
                <c:pt idx="48">
                  <c:v>189.54237679504848</c:v>
                </c:pt>
                <c:pt idx="49">
                  <c:v>189.26576577763691</c:v>
                </c:pt>
                <c:pt idx="50">
                  <c:v>189.00613098341057</c:v>
                </c:pt>
                <c:pt idx="51">
                  <c:v>188.7628411331786</c:v>
                </c:pt>
                <c:pt idx="52">
                  <c:v>188.53528346445003</c:v>
                </c:pt>
                <c:pt idx="53">
                  <c:v>188.32286321748433</c:v>
                </c:pt>
                <c:pt idx="54">
                  <c:v>188.12500313547631</c:v>
                </c:pt>
                <c:pt idx="55">
                  <c:v>187.94114297848623</c:v>
                </c:pt>
                <c:pt idx="56">
                  <c:v>187.77073905073661</c:v>
                </c:pt>
                <c:pt idx="57">
                  <c:v>187.61326374090774</c:v>
                </c:pt>
                <c:pt idx="58">
                  <c:v>187.46820507507417</c:v>
                </c:pt>
                <c:pt idx="59">
                  <c:v>187.33506628193402</c:v>
                </c:pt>
                <c:pt idx="60">
                  <c:v>187.21336536999297</c:v>
                </c:pt>
                <c:pt idx="61">
                  <c:v>187.10263471637373</c:v>
                </c:pt>
                <c:pt idx="62">
                  <c:v>187.00242066693116</c:v>
                </c:pt>
                <c:pt idx="63">
                  <c:v>186.91228314736179</c:v>
                </c:pt>
                <c:pt idx="64">
                  <c:v>186.83179528500546</c:v>
                </c:pt>
                <c:pt idx="65">
                  <c:v>186.76054304104451</c:v>
                </c:pt>
                <c:pt idx="66">
                  <c:v>186.69812485281491</c:v>
                </c:pt>
                <c:pt idx="67">
                  <c:v>186.64415128595076</c:v>
                </c:pt>
                <c:pt idx="68">
                  <c:v>186.59824469609183</c:v>
                </c:pt>
                <c:pt idx="69">
                  <c:v>186.5600388998912</c:v>
                </c:pt>
                <c:pt idx="70">
                  <c:v>186.5291788550669</c:v>
                </c:pt>
                <c:pt idx="71">
                  <c:v>186.50532034924927</c:v>
                </c:pt>
                <c:pt idx="72">
                  <c:v>186.48812969738159</c:v>
                </c:pt>
                <c:pt idx="73">
                  <c:v>186.47728344743942</c:v>
                </c:pt>
                <c:pt idx="74">
                  <c:v>186.47246809423936</c:v>
                </c:pt>
                <c:pt idx="75">
                  <c:v>186.4733798011153</c:v>
                </c:pt>
                <c:pt idx="76">
                  <c:v>186.4797241292454</c:v>
                </c:pt>
                <c:pt idx="77">
                  <c:v>186.49121577441994</c:v>
                </c:pt>
                <c:pt idx="78">
                  <c:v>186.50757831104525</c:v>
                </c:pt>
                <c:pt idx="79">
                  <c:v>186.52854394318487</c:v>
                </c:pt>
                <c:pt idx="80">
                  <c:v>186.55385326244465</c:v>
                </c:pt>
                <c:pt idx="81">
                  <c:v>186.58325501251363</c:v>
                </c:pt>
                <c:pt idx="82">
                  <c:v>186.61650586017782</c:v>
                </c:pt>
                <c:pt idx="83">
                  <c:v>186.65337017262905</c:v>
                </c:pt>
                <c:pt idx="84">
                  <c:v>186.69361980089599</c:v>
                </c:pt>
                <c:pt idx="85">
                  <c:v>186.73703386922909</c:v>
                </c:pt>
                <c:pt idx="86">
                  <c:v>186.78339857027601</c:v>
                </c:pt>
                <c:pt idx="87">
                  <c:v>186.8325069658882</c:v>
                </c:pt>
                <c:pt idx="88">
                  <c:v>186.88415879340448</c:v>
                </c:pt>
                <c:pt idx="89">
                  <c:v>186.93816027726075</c:v>
                </c:pt>
                <c:pt idx="90">
                  <c:v>186.99432394577974</c:v>
                </c:pt>
                <c:pt idx="91">
                  <c:v>187.05246845299877</c:v>
                </c:pt>
                <c:pt idx="92">
                  <c:v>187.11241840539682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mod.math.!$W$2:$W$94</c:f>
              <c:numCache>
                <c:formatCode>0.00</c:formatCode>
                <c:ptCount val="93"/>
                <c:pt idx="0">
                  <c:v>241.52903340204074</c:v>
                </c:pt>
                <c:pt idx="1">
                  <c:v>239.19737987546864</c:v>
                </c:pt>
                <c:pt idx="2">
                  <c:v>236.94721366316793</c:v>
                </c:pt>
                <c:pt idx="3">
                  <c:v>234.77610370928545</c:v>
                </c:pt>
                <c:pt idx="4">
                  <c:v>232.68168625176736</c:v>
                </c:pt>
                <c:pt idx="5">
                  <c:v>230.66166299170976</c:v>
                </c:pt>
                <c:pt idx="6">
                  <c:v>228.71379931244647</c:v>
                </c:pt>
                <c:pt idx="7">
                  <c:v>226.83592254702029</c:v>
                </c:pt>
                <c:pt idx="8">
                  <c:v>225.0259202927212</c:v>
                </c:pt>
                <c:pt idx="9">
                  <c:v>223.28173877140833</c:v>
                </c:pt>
                <c:pt idx="10">
                  <c:v>221.6013812343721</c:v>
                </c:pt>
                <c:pt idx="11">
                  <c:v>219.98290641052233</c:v>
                </c:pt>
                <c:pt idx="12">
                  <c:v>218.42442699672395</c:v>
                </c:pt>
                <c:pt idx="13">
                  <c:v>216.92410818913257</c:v>
                </c:pt>
                <c:pt idx="14">
                  <c:v>215.48016625441539</c:v>
                </c:pt>
                <c:pt idx="15">
                  <c:v>214.09086713977069</c:v>
                </c:pt>
                <c:pt idx="16">
                  <c:v>212.75452512069188</c:v>
                </c:pt>
                <c:pt idx="17">
                  <c:v>211.46950148544659</c:v>
                </c:pt>
                <c:pt idx="18">
                  <c:v>210.23420325527508</c:v>
                </c:pt>
                <c:pt idx="19">
                  <c:v>209.04708193933371</c:v>
                </c:pt>
                <c:pt idx="20">
                  <c:v>207.90663232343906</c:v>
                </c:pt>
                <c:pt idx="21">
                  <c:v>206.81139129169418</c:v>
                </c:pt>
                <c:pt idx="22">
                  <c:v>205.75993668010159</c:v>
                </c:pt>
                <c:pt idx="23">
                  <c:v>204.75088616129241</c:v>
                </c:pt>
                <c:pt idx="24">
                  <c:v>203.78289615952747</c:v>
                </c:pt>
                <c:pt idx="25">
                  <c:v>202.85466079514566</c:v>
                </c:pt>
                <c:pt idx="26">
                  <c:v>201.96491085765794</c:v>
                </c:pt>
                <c:pt idx="27">
                  <c:v>201.11241280671155</c:v>
                </c:pt>
                <c:pt idx="28">
                  <c:v>200.29596780016152</c:v>
                </c:pt>
                <c:pt idx="29">
                  <c:v>199.514410748518</c:v>
                </c:pt>
                <c:pt idx="30">
                  <c:v>198.76660939504762</c:v>
                </c:pt>
                <c:pt idx="31">
                  <c:v>198.05146342083506</c:v>
                </c:pt>
                <c:pt idx="32">
                  <c:v>197.36790357412391</c:v>
                </c:pt>
                <c:pt idx="33">
                  <c:v>196.71489082327886</c:v>
                </c:pt>
                <c:pt idx="34">
                  <c:v>196.09141553272505</c:v>
                </c:pt>
                <c:pt idx="35">
                  <c:v>195.4964966612427</c:v>
                </c:pt>
                <c:pt idx="36">
                  <c:v>194.92918098200741</c:v>
                </c:pt>
                <c:pt idx="37">
                  <c:v>194.3885423237864</c:v>
                </c:pt>
                <c:pt idx="38">
                  <c:v>193.87368083271517</c:v>
                </c:pt>
                <c:pt idx="39">
                  <c:v>193.3837222540966</c:v>
                </c:pt>
                <c:pt idx="40">
                  <c:v>192.91781723367694</c:v>
                </c:pt>
                <c:pt idx="41">
                  <c:v>192.47514063787074</c:v>
                </c:pt>
                <c:pt idx="42">
                  <c:v>192.05489089241991</c:v>
                </c:pt>
                <c:pt idx="43">
                  <c:v>191.65628933898586</c:v>
                </c:pt>
                <c:pt idx="44">
                  <c:v>191.27857960918803</c:v>
                </c:pt>
                <c:pt idx="45">
                  <c:v>190.92102701561447</c:v>
                </c:pt>
                <c:pt idx="46">
                  <c:v>190.58291795934434</c:v>
                </c:pt>
                <c:pt idx="47">
                  <c:v>190.26355935353376</c:v>
                </c:pt>
                <c:pt idx="48">
                  <c:v>189.96227806262849</c:v>
                </c:pt>
                <c:pt idx="49">
                  <c:v>189.67842035677947</c:v>
                </c:pt>
                <c:pt idx="50">
                  <c:v>189.41135138104866</c:v>
                </c:pt>
                <c:pt idx="51">
                  <c:v>189.16045463900366</c:v>
                </c:pt>
                <c:pt idx="52">
                  <c:v>188.92513149031029</c:v>
                </c:pt>
                <c:pt idx="53">
                  <c:v>188.70480066194338</c:v>
                </c:pt>
                <c:pt idx="54">
                  <c:v>188.49889777264659</c:v>
                </c:pt>
                <c:pt idx="55">
                  <c:v>188.30687487028098</c:v>
                </c:pt>
                <c:pt idx="56">
                  <c:v>188.12819998171295</c:v>
                </c:pt>
                <c:pt idx="57">
                  <c:v>187.96235667490237</c:v>
                </c:pt>
                <c:pt idx="58">
                  <c:v>187.80884363285728</c:v>
                </c:pt>
                <c:pt idx="59">
                  <c:v>187.66717423913633</c:v>
                </c:pt>
                <c:pt idx="60">
                  <c:v>187.53687617458385</c:v>
                </c:pt>
                <c:pt idx="61">
                  <c:v>187.41749102499313</c:v>
                </c:pt>
                <c:pt idx="62">
                  <c:v>187.30857389940209</c:v>
                </c:pt>
                <c:pt idx="63">
                  <c:v>187.20969305873237</c:v>
                </c:pt>
                <c:pt idx="64">
                  <c:v>187.12042955449198</c:v>
                </c:pt>
                <c:pt idx="65">
                  <c:v>187.04037687726793</c:v>
                </c:pt>
                <c:pt idx="66">
                  <c:v>186.96914061474408</c:v>
                </c:pt>
                <c:pt idx="67">
                  <c:v>186.9063381189859</c:v>
                </c:pt>
                <c:pt idx="68">
                  <c:v>186.85159818274025</c:v>
                </c:pt>
                <c:pt idx="69">
                  <c:v>186.80456072450633</c:v>
                </c:pt>
                <c:pt idx="70">
                  <c:v>186.76487648214086</c:v>
                </c:pt>
                <c:pt idx="71">
                  <c:v>186.73220671476457</c:v>
                </c:pt>
                <c:pt idx="72">
                  <c:v>186.70622291274589</c:v>
                </c:pt>
                <c:pt idx="73">
                  <c:v>186.68660651554387</c:v>
                </c:pt>
                <c:pt idx="74">
                  <c:v>186.67304863719508</c:v>
                </c:pt>
                <c:pt idx="75">
                  <c:v>186.66524979924071</c:v>
                </c:pt>
                <c:pt idx="76">
                  <c:v>186.66291967088802</c:v>
                </c:pt>
                <c:pt idx="77">
                  <c:v>186.6657768162149</c:v>
                </c:pt>
                <c:pt idx="78">
                  <c:v>186.67354844822304</c:v>
                </c:pt>
                <c:pt idx="79">
                  <c:v>186.68597018955617</c:v>
                </c:pt>
                <c:pt idx="80">
                  <c:v>186.70278583970236</c:v>
                </c:pt>
                <c:pt idx="81">
                  <c:v>186.72374714850434</c:v>
                </c:pt>
                <c:pt idx="82">
                  <c:v>186.74861359580848</c:v>
                </c:pt>
                <c:pt idx="83">
                  <c:v>186.77715217708405</c:v>
                </c:pt>
                <c:pt idx="84">
                  <c:v>186.80913719485349</c:v>
                </c:pt>
                <c:pt idx="85">
                  <c:v>186.84435005577464</c:v>
                </c:pt>
                <c:pt idx="86">
                  <c:v>186.8825790732223</c:v>
                </c:pt>
                <c:pt idx="87">
                  <c:v>186.92361927522145</c:v>
                </c:pt>
                <c:pt idx="88">
                  <c:v>186.96727221758567</c:v>
                </c:pt>
                <c:pt idx="89">
                  <c:v>187.01334580212085</c:v>
                </c:pt>
                <c:pt idx="90">
                  <c:v>187.06165409975679</c:v>
                </c:pt>
                <c:pt idx="91">
                  <c:v>187.11201717847433</c:v>
                </c:pt>
                <c:pt idx="92">
                  <c:v>187.1642609358957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592320"/>
        <c:axId val="145594240"/>
      </c:scatterChart>
      <c:valAx>
        <c:axId val="145592320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45594240"/>
        <c:crosses val="autoZero"/>
        <c:crossBetween val="midCat"/>
      </c:valAx>
      <c:valAx>
        <c:axId val="145594240"/>
        <c:scaling>
          <c:orientation val="minMax"/>
          <c:max val="300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455923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82.665338887288598</c:v>
                </c:pt>
                <c:pt idx="2">
                  <c:v>83.139143339034092</c:v>
                </c:pt>
                <c:pt idx="3">
                  <c:v>83.601775776971252</c:v>
                </c:pt>
                <c:pt idx="4">
                  <c:v>84.053584983023967</c:v>
                </c:pt>
                <c:pt idx="5">
                  <c:v>84.494909457429046</c:v>
                </c:pt>
                <c:pt idx="6">
                  <c:v>84.926077702696361</c:v>
                </c:pt>
                <c:pt idx="7">
                  <c:v>85.347408499874405</c:v>
                </c:pt>
                <c:pt idx="8">
                  <c:v>85.759211177330144</c:v>
                </c:pt>
                <c:pt idx="9">
                  <c:v>86.161785872246469</c:v>
                </c:pt>
                <c:pt idx="10">
                  <c:v>86.555423785034634</c:v>
                </c:pt>
                <c:pt idx="11">
                  <c:v>86.940407426854009</c:v>
                </c:pt>
                <c:pt idx="12">
                  <c:v>87.317010860426166</c:v>
                </c:pt>
                <c:pt idx="13">
                  <c:v>87.685499934324994</c:v>
                </c:pt>
                <c:pt idx="14">
                  <c:v>88.046132510919904</c:v>
                </c:pt>
                <c:pt idx="15">
                  <c:v>88.399158688144013</c:v>
                </c:pt>
                <c:pt idx="16">
                  <c:v>88.744821015254885</c:v>
                </c:pt>
                <c:pt idx="17">
                  <c:v>89.083354702750384</c:v>
                </c:pt>
                <c:pt idx="18">
                  <c:v>89.414987826598264</c:v>
                </c:pt>
                <c:pt idx="19">
                  <c:v>89.739941526933251</c:v>
                </c:pt>
                <c:pt idx="20">
                  <c:v>90.058430201371721</c:v>
                </c:pt>
                <c:pt idx="21">
                  <c:v>90.370661693089573</c:v>
                </c:pt>
                <c:pt idx="22">
                  <c:v>90.676837473805051</c:v>
                </c:pt>
                <c:pt idx="23">
                  <c:v>90.977152821804594</c:v>
                </c:pt>
                <c:pt idx="24">
                  <c:v>91.271796995145678</c:v>
                </c:pt>
                <c:pt idx="25">
                  <c:v>91.560953400167293</c:v>
                </c:pt>
                <c:pt idx="26">
                  <c:v>91.844799755434892</c:v>
                </c:pt>
                <c:pt idx="27">
                  <c:v>92.123508251243422</c:v>
                </c:pt>
                <c:pt idx="28">
                  <c:v>92.397245704798451</c:v>
                </c:pt>
                <c:pt idx="29">
                  <c:v>92.666173711192286</c:v>
                </c:pt>
                <c:pt idx="30">
                  <c:v>92.930448790288764</c:v>
                </c:pt>
                <c:pt idx="31">
                  <c:v>93.190222529627292</c:v>
                </c:pt>
                <c:pt idx="32">
                  <c:v>93.445641723453718</c:v>
                </c:pt>
                <c:pt idx="33">
                  <c:v>93.696848507982622</c:v>
                </c:pt>
                <c:pt idx="34">
                  <c:v>93.943980492992893</c:v>
                </c:pt>
                <c:pt idx="35">
                  <c:v>94.187170889855551</c:v>
                </c:pt>
                <c:pt idx="36">
                  <c:v>94.426548636090274</c:v>
                </c:pt>
                <c:pt idx="37">
                  <c:v>94.662238516544164</c:v>
                </c:pt>
                <c:pt idx="38">
                  <c:v>94.894361281284077</c:v>
                </c:pt>
                <c:pt idx="39">
                  <c:v>95.123033760291165</c:v>
                </c:pt>
                <c:pt idx="40">
                  <c:v>95.348368975043812</c:v>
                </c:pt>
                <c:pt idx="41">
                  <c:v>95.570476247073131</c:v>
                </c:pt>
                <c:pt idx="42">
                  <c:v>95.789461303572409</c:v>
                </c:pt>
                <c:pt idx="43">
                  <c:v>96.005426380140179</c:v>
                </c:pt>
                <c:pt idx="44">
                  <c:v>96.218470320733999</c:v>
                </c:pt>
                <c:pt idx="45">
                  <c:v>96.428688674910362</c:v>
                </c:pt>
                <c:pt idx="46">
                  <c:v>96.636173792423619</c:v>
                </c:pt>
                <c:pt idx="47">
                  <c:v>96.841014915255286</c:v>
                </c:pt>
                <c:pt idx="48">
                  <c:v>97.043298267142887</c:v>
                </c:pt>
                <c:pt idx="49">
                  <c:v>97.24310714067569</c:v>
                </c:pt>
                <c:pt idx="50">
                  <c:v>97.440521982022858</c:v>
                </c:pt>
                <c:pt idx="51">
                  <c:v>97.635620473357832</c:v>
                </c:pt>
                <c:pt idx="52">
                  <c:v>97.82847761304086</c:v>
                </c:pt>
                <c:pt idx="53">
                  <c:v>98.019165793620147</c:v>
                </c:pt>
                <c:pt idx="54">
                  <c:v>98.207754877710215</c:v>
                </c:pt>
                <c:pt idx="55">
                  <c:v>98.394312271804722</c:v>
                </c:pt>
                <c:pt idx="56">
                  <c:v>98.578902998079187</c:v>
                </c:pt>
                <c:pt idx="57">
                  <c:v>98.761589764237769</c:v>
                </c:pt>
                <c:pt idx="58">
                  <c:v>98.942433031456702</c:v>
                </c:pt>
                <c:pt idx="59">
                  <c:v>99.121491080475579</c:v>
                </c:pt>
                <c:pt idx="60">
                  <c:v>99.298820075886226</c:v>
                </c:pt>
                <c:pt idx="61">
                  <c:v>99.474474128667666</c:v>
                </c:pt>
                <c:pt idx="62">
                  <c:v>99.648505357014329</c:v>
                </c:pt>
                <c:pt idx="63">
                  <c:v>99.820963945503351</c:v>
                </c:pt>
                <c:pt idx="64">
                  <c:v>99.991898202645601</c:v>
                </c:pt>
                <c:pt idx="65">
                  <c:v>100.16135461686386</c:v>
                </c:pt>
                <c:pt idx="66">
                  <c:v>100.32937791094037</c:v>
                </c:pt>
                <c:pt idx="67">
                  <c:v>100.49601109497495</c:v>
                </c:pt>
                <c:pt idx="68">
                  <c:v>100.66129551789358</c:v>
                </c:pt>
                <c:pt idx="69">
                  <c:v>100.82527091754645</c:v>
                </c:pt>
                <c:pt idx="70">
                  <c:v>100.98797546943328</c:v>
                </c:pt>
                <c:pt idx="71">
                  <c:v>101.14944583409284</c:v>
                </c:pt>
                <c:pt idx="72">
                  <c:v>101.30971720319245</c:v>
                </c:pt>
                <c:pt idx="73">
                  <c:v>101.46882334435234</c:v>
                </c:pt>
                <c:pt idx="74">
                  <c:v>101.62679664473896</c:v>
                </c:pt>
                <c:pt idx="75">
                  <c:v>101.78366815346006</c:v>
                </c:pt>
                <c:pt idx="76">
                  <c:v>101.93946762279388</c:v>
                </c:pt>
                <c:pt idx="77">
                  <c:v>102.09422354828362</c:v>
                </c:pt>
                <c:pt idx="78">
                  <c:v>102.24796320772758</c:v>
                </c:pt>
                <c:pt idx="79">
                  <c:v>102.40071269909478</c:v>
                </c:pt>
                <c:pt idx="80">
                  <c:v>102.55249697739465</c:v>
                </c:pt>
                <c:pt idx="81">
                  <c:v>102.70333989052898</c:v>
                </c:pt>
                <c:pt idx="82">
                  <c:v>102.85326421415338</c:v>
                </c:pt>
                <c:pt idx="83">
                  <c:v>103.00229168557483</c:v>
                </c:pt>
                <c:pt idx="84">
                  <c:v>103.15044303671102</c:v>
                </c:pt>
                <c:pt idx="85">
                  <c:v>103.29773802613695</c:v>
                </c:pt>
                <c:pt idx="86">
                  <c:v>103.44419547024283</c:v>
                </c:pt>
                <c:pt idx="87">
                  <c:v>103.58983327352749</c:v>
                </c:pt>
                <c:pt idx="88">
                  <c:v>103.73466845805021</c:v>
                </c:pt>
                <c:pt idx="89">
                  <c:v>103.87871719206368</c:v>
                </c:pt>
                <c:pt idx="90">
                  <c:v>104.02199481784989</c:v>
                </c:pt>
                <c:pt idx="91">
                  <c:v>104.16451587878052</c:v>
                </c:pt>
                <c:pt idx="92">
                  <c:v>104.30629414562237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mod.math.!$X$2:$X$94</c:f>
              <c:numCache>
                <c:formatCode>0.00</c:formatCode>
                <c:ptCount val="93"/>
                <c:pt idx="0">
                  <c:v>82.180003066254699</c:v>
                </c:pt>
                <c:pt idx="1">
                  <c:v>82.659632657081659</c:v>
                </c:pt>
                <c:pt idx="2">
                  <c:v>83.128084138478982</c:v>
                </c:pt>
                <c:pt idx="3">
                  <c:v>83.585701364495549</c:v>
                </c:pt>
                <c:pt idx="4">
                  <c:v>84.032818182407766</c:v>
                </c:pt>
                <c:pt idx="5">
                  <c:v>84.469758705418485</c:v>
                </c:pt>
                <c:pt idx="6">
                  <c:v>84.896837578073132</c:v>
                </c:pt>
                <c:pt idx="7">
                  <c:v>85.314360234580704</c:v>
                </c:pt>
                <c:pt idx="8">
                  <c:v>85.722623150241702</c:v>
                </c:pt>
                <c:pt idx="9">
                  <c:v>86.121914086152628</c:v>
                </c:pt>
                <c:pt idx="10">
                  <c:v>86.512512327377692</c:v>
                </c:pt>
                <c:pt idx="11">
                  <c:v>86.894688914758433</c:v>
                </c:pt>
                <c:pt idx="12">
                  <c:v>87.268706870530764</c:v>
                </c:pt>
                <c:pt idx="13">
                  <c:v>87.634821417915703</c:v>
                </c:pt>
                <c:pt idx="14">
                  <c:v>87.993280194846307</c:v>
                </c:pt>
                <c:pt idx="15">
                  <c:v>88.344323461982981</c:v>
                </c:pt>
                <c:pt idx="16">
                  <c:v>88.688184305177572</c:v>
                </c:pt>
                <c:pt idx="17">
                  <c:v>89.02508883252284</c:v>
                </c:pt>
                <c:pt idx="18">
                  <c:v>89.355256366145738</c:v>
                </c:pt>
                <c:pt idx="19">
                  <c:v>89.678899628872841</c:v>
                </c:pt>
                <c:pt idx="20">
                  <c:v>89.996224925911577</c:v>
                </c:pt>
                <c:pt idx="21">
                  <c:v>90.307432321677368</c:v>
                </c:pt>
                <c:pt idx="22">
                  <c:v>90.612715811898511</c:v>
                </c:pt>
                <c:pt idx="23">
                  <c:v>90.912263491122758</c:v>
                </c:pt>
                <c:pt idx="24">
                  <c:v>91.206257715747199</c:v>
                </c:pt>
                <c:pt idx="25">
                  <c:v>91.494875262695018</c:v>
                </c:pt>
                <c:pt idx="26">
                  <c:v>91.778287483852523</c:v>
                </c:pt>
                <c:pt idx="27">
                  <c:v>92.0566604563748</c:v>
                </c:pt>
                <c:pt idx="28">
                  <c:v>92.330155128983563</c:v>
                </c:pt>
                <c:pt idx="29">
                  <c:v>92.598927464346161</c:v>
                </c:pt>
                <c:pt idx="30">
                  <c:v>92.863128577654606</c:v>
                </c:pt>
                <c:pt idx="31">
                  <c:v>93.122904871498577</c:v>
                </c:pt>
                <c:pt idx="32">
                  <c:v>93.378398167135799</c:v>
                </c:pt>
                <c:pt idx="33">
                  <c:v>93.629745832245078</c:v>
                </c:pt>
                <c:pt idx="34">
                  <c:v>93.877080905274795</c:v>
                </c:pt>
                <c:pt idx="35">
                  <c:v>94.120532216455672</c:v>
                </c:pt>
                <c:pt idx="36">
                  <c:v>94.360224505582835</c:v>
                </c:pt>
                <c:pt idx="37">
                  <c:v>94.596278536645912</c:v>
                </c:pt>
                <c:pt idx="38">
                  <c:v>94.828811209389926</c:v>
                </c:pt>
                <c:pt idx="39">
                  <c:v>95.0579356678968</c:v>
                </c:pt>
                <c:pt idx="40">
                  <c:v>95.283761406254655</c:v>
                </c:pt>
                <c:pt idx="41">
                  <c:v>95.506394371399779</c:v>
                </c:pt>
                <c:pt idx="42">
                  <c:v>95.725937063210154</c:v>
                </c:pt>
                <c:pt idx="43">
                  <c:v>95.942488631912738</c:v>
                </c:pt>
                <c:pt idx="44">
                  <c:v>96.156144972883794</c:v>
                </c:pt>
                <c:pt idx="45">
                  <c:v>96.366998818910986</c:v>
                </c:pt>
                <c:pt idx="46">
                  <c:v>96.575139829981424</c:v>
                </c:pt>
                <c:pt idx="47">
                  <c:v>96.780654680663019</c:v>
                </c:pt>
                <c:pt idx="48">
                  <c:v>96.983627145144339</c:v>
                </c:pt>
                <c:pt idx="49">
                  <c:v>97.18413817999334</c:v>
                </c:pt>
                <c:pt idx="50">
                  <c:v>97.38226600469568</c:v>
                </c:pt>
                <c:pt idx="51">
                  <c:v>97.578086180033267</c:v>
                </c:pt>
                <c:pt idx="52">
                  <c:v>97.771671684355965</c:v>
                </c:pt>
                <c:pt idx="53">
                  <c:v>97.963092987811081</c:v>
                </c:pt>
                <c:pt idx="54">
                  <c:v>98.152418124572648</c:v>
                </c:pt>
                <c:pt idx="55">
                  <c:v>98.339712763133946</c:v>
                </c:pt>
                <c:pt idx="56">
                  <c:v>98.5250402747115</c:v>
                </c:pt>
                <c:pt idx="57">
                  <c:v>98.708461799806003</c:v>
                </c:pt>
                <c:pt idx="58">
                  <c:v>98.890036312976974</c:v>
                </c:pt>
                <c:pt idx="59">
                  <c:v>99.069820685871832</c:v>
                </c:pt>
                <c:pt idx="60">
                  <c:v>99.247869748559026</c:v>
                </c:pt>
                <c:pt idx="61">
                  <c:v>99.424236349210389</c:v>
                </c:pt>
                <c:pt idx="62">
                  <c:v>99.598971412172375</c:v>
                </c:pt>
                <c:pt idx="63">
                  <c:v>99.772123994475976</c:v>
                </c:pt>
                <c:pt idx="64">
                  <c:v>99.943741340820281</c:v>
                </c:pt>
                <c:pt idx="65">
                  <c:v>100.11386893707129</c:v>
                </c:pt>
                <c:pt idx="66">
                  <c:v>100.28255056232024</c:v>
                </c:pt>
                <c:pt idx="67">
                  <c:v>100.44982833953185</c:v>
                </c:pt>
                <c:pt idx="68">
                  <c:v>100.61574278482516</c:v>
                </c:pt>
                <c:pt idx="69">
                  <c:v>100.78033285542386</c:v>
                </c:pt>
                <c:pt idx="70">
                  <c:v>100.94363599630543</c:v>
                </c:pt>
                <c:pt idx="71">
                  <c:v>101.10568818558994</c:v>
                </c:pt>
                <c:pt idx="72">
                  <c:v>101.26652397869873</c:v>
                </c:pt>
                <c:pt idx="73">
                  <c:v>101.42617655131517</c:v>
                </c:pt>
                <c:pt idx="74">
                  <c:v>101.58467774118174</c:v>
                </c:pt>
                <c:pt idx="75">
                  <c:v>101.74205808876104</c:v>
                </c:pt>
                <c:pt idx="76">
                  <c:v>101.89834687679161</c:v>
                </c:pt>
                <c:pt idx="77">
                  <c:v>102.05357216877178</c:v>
                </c:pt>
                <c:pt idx="78">
                  <c:v>102.20776084639243</c:v>
                </c:pt>
                <c:pt idx="79">
                  <c:v>102.36093864595324</c:v>
                </c:pt>
                <c:pt idx="80">
                  <c:v>102.51313019378665</c:v>
                </c:pt>
                <c:pt idx="81">
                  <c:v>102.66435904071318</c:v>
                </c:pt>
                <c:pt idx="82">
                  <c:v>102.81464769556095</c:v>
                </c:pt>
                <c:pt idx="83">
                  <c:v>102.96401765776375</c:v>
                </c:pt>
                <c:pt idx="84">
                  <c:v>103.11248944907408</c:v>
                </c:pt>
                <c:pt idx="85">
                  <c:v>103.26008264440236</c:v>
                </c:pt>
                <c:pt idx="86">
                  <c:v>103.40681590181487</c:v>
                </c:pt>
                <c:pt idx="87">
                  <c:v>103.55270699170927</c:v>
                </c:pt>
                <c:pt idx="88">
                  <c:v>103.69777282518726</c:v>
                </c:pt>
                <c:pt idx="89">
                  <c:v>103.84202948164841</c:v>
                </c:pt>
                <c:pt idx="90">
                  <c:v>103.985492235626</c:v>
                </c:pt>
                <c:pt idx="91">
                  <c:v>104.1281755828827</c:v>
                </c:pt>
                <c:pt idx="92">
                  <c:v>104.27009326578639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847808"/>
        <c:axId val="145849728"/>
      </c:scatterChart>
      <c:valAx>
        <c:axId val="145847808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45849728"/>
        <c:crosses val="autoZero"/>
        <c:crossBetween val="midCat"/>
      </c:valAx>
      <c:valAx>
        <c:axId val="145849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4584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9.6817476778848652E-2"/>
                  <c:y val="5.6479663504888582E-2"/>
                </c:manualLayout>
              </c:layout>
              <c:numFmt formatCode="General" sourceLinked="0"/>
            </c:trendlineLbl>
          </c:trendline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52.572075145884575</c:v>
                </c:pt>
                <c:pt idx="6">
                  <c:v>52.633386209618394</c:v>
                </c:pt>
                <c:pt idx="7">
                  <c:v>52.685709242076655</c:v>
                </c:pt>
                <c:pt idx="8">
                  <c:v>52.729482959525278</c:v>
                </c:pt>
                <c:pt idx="9">
                  <c:v>52.765129968489596</c:v>
                </c:pt>
                <c:pt idx="10">
                  <c:v>52.793057281117669</c:v>
                </c:pt>
                <c:pt idx="11">
                  <c:v>52.813656815151624</c:v>
                </c:pt>
                <c:pt idx="12">
                  <c:v>52.82730587895086</c:v>
                </c:pt>
                <c:pt idx="13">
                  <c:v>52.834367641998348</c:v>
                </c:pt>
                <c:pt idx="14">
                  <c:v>52.835191591309005</c:v>
                </c:pt>
                <c:pt idx="15">
                  <c:v>52.830113974147402</c:v>
                </c:pt>
                <c:pt idx="16">
                  <c:v>52.819458227450262</c:v>
                </c:pt>
                <c:pt idx="17">
                  <c:v>52.803535394338361</c:v>
                </c:pt>
                <c:pt idx="18">
                  <c:v>52.782644528091126</c:v>
                </c:pt>
                <c:pt idx="19">
                  <c:v>52.757073083947034</c:v>
                </c:pt>
                <c:pt idx="20">
                  <c:v>52.72709729908231</c:v>
                </c:pt>
                <c:pt idx="21">
                  <c:v>52.692982561110618</c:v>
                </c:pt>
                <c:pt idx="22">
                  <c:v>52.654983765436569</c:v>
                </c:pt>
                <c:pt idx="23">
                  <c:v>52.61334566178656</c:v>
                </c:pt>
                <c:pt idx="24">
                  <c:v>52.56830319023117</c:v>
                </c:pt>
                <c:pt idx="25">
                  <c:v>52.520081807004388</c:v>
                </c:pt>
                <c:pt idx="26">
                  <c:v>52.468897800416414</c:v>
                </c:pt>
                <c:pt idx="27">
                  <c:v>52.414958597148178</c:v>
                </c:pt>
                <c:pt idx="28">
                  <c:v>52.358463059207615</c:v>
                </c:pt>
                <c:pt idx="29">
                  <c:v>52.299601771819781</c:v>
                </c:pt>
                <c:pt idx="30">
                  <c:v>52.238557322515042</c:v>
                </c:pt>
                <c:pt idx="31">
                  <c:v>52.175504571672192</c:v>
                </c:pt>
                <c:pt idx="32">
                  <c:v>52.11061091476595</c:v>
                </c:pt>
                <c:pt idx="33">
                  <c:v>52.044036536561165</c:v>
                </c:pt>
                <c:pt idx="34">
                  <c:v>51.975934657489248</c:v>
                </c:pt>
                <c:pt idx="35">
                  <c:v>51.906451772435503</c:v>
                </c:pt>
                <c:pt idx="36">
                  <c:v>51.835727882159617</c:v>
                </c:pt>
                <c:pt idx="37">
                  <c:v>51.763896717565181</c:v>
                </c:pt>
                <c:pt idx="38">
                  <c:v>51.691085957027951</c:v>
                </c:pt>
                <c:pt idx="39">
                  <c:v>51.61741743698655</c:v>
                </c:pt>
                <c:pt idx="40">
                  <c:v>51.543007355993566</c:v>
                </c:pt>
                <c:pt idx="41">
                  <c:v>51.46796647241927</c:v>
                </c:pt>
                <c:pt idx="42">
                  <c:v>51.392400295994669</c:v>
                </c:pt>
                <c:pt idx="43">
                  <c:v>51.316409273375363</c:v>
                </c:pt>
                <c:pt idx="44">
                  <c:v>51.240088967902409</c:v>
                </c:pt>
                <c:pt idx="45">
                  <c:v>51.163530233731343</c:v>
                </c:pt>
                <c:pt idx="46">
                  <c:v>51.086819384495627</c:v>
                </c:pt>
                <c:pt idx="47">
                  <c:v>51.010038356666094</c:v>
                </c:pt>
                <c:pt idx="48">
                  <c:v>50.933264867763164</c:v>
                </c:pt>
                <c:pt idx="49">
                  <c:v>50.856572569574311</c:v>
                </c:pt>
                <c:pt idx="50">
                  <c:v>50.780031196524703</c:v>
                </c:pt>
                <c:pt idx="51">
                  <c:v>50.703706709344836</c:v>
                </c:pt>
                <c:pt idx="52">
                  <c:v>50.62766143417474</c:v>
                </c:pt>
                <c:pt idx="53">
                  <c:v>50.551954197240399</c:v>
                </c:pt>
                <c:pt idx="54">
                  <c:v>50.47664045523409</c:v>
                </c:pt>
                <c:pt idx="55">
                  <c:v>50.401772421526594</c:v>
                </c:pt>
                <c:pt idx="56">
                  <c:v>50.327399188335484</c:v>
                </c:pt>
                <c:pt idx="57">
                  <c:v>50.25356684497018</c:v>
                </c:pt>
                <c:pt idx="58">
                  <c:v>50.180318592270986</c:v>
                </c:pt>
                <c:pt idx="59">
                  <c:v>50.107694853355852</c:v>
                </c:pt>
                <c:pt idx="60">
                  <c:v>50.035733380785516</c:v>
                </c:pt>
                <c:pt idx="61">
                  <c:v>49.964469360254213</c:v>
                </c:pt>
                <c:pt idx="62">
                  <c:v>49.893935510910332</c:v>
                </c:pt>
                <c:pt idx="63">
                  <c:v>49.824162182408173</c:v>
                </c:pt>
                <c:pt idx="64">
                  <c:v>49.755177448789155</c:v>
                </c:pt>
                <c:pt idx="65">
                  <c:v>49.687007199287891</c:v>
                </c:pt>
                <c:pt idx="66">
                  <c:v>49.61967522615587</c:v>
                </c:pt>
                <c:pt idx="67">
                  <c:v>49.553203309592753</c:v>
                </c:pt>
                <c:pt idx="68">
                  <c:v>49.487611299872704</c:v>
                </c:pt>
                <c:pt idx="69">
                  <c:v>49.422917196750575</c:v>
                </c:pt>
                <c:pt idx="70">
                  <c:v>49.359137226230445</c:v>
                </c:pt>
                <c:pt idx="71">
                  <c:v>49.296285914776448</c:v>
                </c:pt>
                <c:pt idx="72">
                  <c:v>49.23437616104367</c:v>
                </c:pt>
                <c:pt idx="73">
                  <c:v>49.173419305204469</c:v>
                </c:pt>
                <c:pt idx="74">
                  <c:v>49.113425195943499</c:v>
                </c:pt>
                <c:pt idx="75">
                  <c:v>49.054402255192606</c:v>
                </c:pt>
                <c:pt idx="76">
                  <c:v>48.996357540674524</c:v>
                </c:pt>
                <c:pt idx="77">
                  <c:v>48.939296806322503</c:v>
                </c:pt>
                <c:pt idx="78">
                  <c:v>48.883224560640883</c:v>
                </c:pt>
                <c:pt idx="79">
                  <c:v>48.828144123069812</c:v>
                </c:pt>
                <c:pt idx="80">
                  <c:v>48.774057678415453</c:v>
                </c:pt>
                <c:pt idx="81">
                  <c:v>48.720966329405165</c:v>
                </c:pt>
                <c:pt idx="82">
                  <c:v>48.66887014742553</c:v>
                </c:pt>
                <c:pt idx="83">
                  <c:v>48.617768221499261</c:v>
                </c:pt>
                <c:pt idx="84">
                  <c:v>48.567658705555509</c:v>
                </c:pt>
                <c:pt idx="85">
                  <c:v>48.51853886404637</c:v>
                </c:pt>
                <c:pt idx="86">
                  <c:v>48.470405115961</c:v>
                </c:pt>
                <c:pt idx="87">
                  <c:v>48.423253077287036</c:v>
                </c:pt>
                <c:pt idx="88">
                  <c:v>48.377077601967741</c:v>
                </c:pt>
                <c:pt idx="89">
                  <c:v>48.331872821401781</c:v>
                </c:pt>
                <c:pt idx="90">
                  <c:v>48.287632182531134</c:v>
                </c:pt>
                <c:pt idx="91">
                  <c:v>48.244348484561414</c:v>
                </c:pt>
                <c:pt idx="92">
                  <c:v>48.202013914357408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1.790070043664968E-2"/>
                  <c:y val="-7.9826339854907682E-2"/>
                </c:manualLayout>
              </c:layout>
              <c:numFmt formatCode="General" sourceLinked="0"/>
            </c:trendlineLbl>
          </c:trendline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mod.math.!$Y$2:$Y$94</c:f>
              <c:numCache>
                <c:formatCode>0.00</c:formatCode>
                <c:ptCount val="93"/>
                <c:pt idx="0">
                  <c:v>52.114148285917679</c:v>
                </c:pt>
                <c:pt idx="1">
                  <c:v>52.221948130876612</c:v>
                </c:pt>
                <c:pt idx="2">
                  <c:v>52.31882221371751</c:v>
                </c:pt>
                <c:pt idx="3">
                  <c:v>52.405270436504964</c:v>
                </c:pt>
                <c:pt idx="4">
                  <c:v>52.481774928361816</c:v>
                </c:pt>
                <c:pt idx="5">
                  <c:v>52.548800601946297</c:v>
                </c:pt>
                <c:pt idx="6">
                  <c:v>52.606795693596553</c:v>
                </c:pt>
                <c:pt idx="7">
                  <c:v>52.656192287604284</c:v>
                </c:pt>
                <c:pt idx="8">
                  <c:v>52.697406825070502</c:v>
                </c:pt>
                <c:pt idx="9">
                  <c:v>52.730840597778197</c:v>
                </c:pt>
                <c:pt idx="10">
                  <c:v>52.756880227511601</c:v>
                </c:pt>
                <c:pt idx="11">
                  <c:v>52.775898131233518</c:v>
                </c:pt>
                <c:pt idx="12">
                  <c:v>52.788252972523779</c:v>
                </c:pt>
                <c:pt idx="13">
                  <c:v>52.794290099670462</c:v>
                </c:pt>
                <c:pt idx="14">
                  <c:v>52.794341970793838</c:v>
                </c:pt>
                <c:pt idx="15">
                  <c:v>52.788728566373067</c:v>
                </c:pt>
                <c:pt idx="16">
                  <c:v>52.777757789534206</c:v>
                </c:pt>
                <c:pt idx="17">
                  <c:v>52.761725854449892</c:v>
                </c:pt>
                <c:pt idx="18">
                  <c:v>52.740917663188753</c:v>
                </c:pt>
                <c:pt idx="19">
                  <c:v>52.71560717134696</c:v>
                </c:pt>
                <c:pt idx="20">
                  <c:v>52.686057742779383</c:v>
                </c:pt>
                <c:pt idx="21">
                  <c:v>52.65252249374538</c:v>
                </c:pt>
                <c:pt idx="22">
                  <c:v>52.615244626769865</c:v>
                </c:pt>
                <c:pt idx="23">
                  <c:v>52.574457754515805</c:v>
                </c:pt>
                <c:pt idx="24">
                  <c:v>52.530386213953889</c:v>
                </c:pt>
                <c:pt idx="25">
                  <c:v>52.483245371107159</c:v>
                </c:pt>
                <c:pt idx="26">
                  <c:v>52.433241916641975</c:v>
                </c:pt>
                <c:pt idx="27">
                  <c:v>52.380574152567945</c:v>
                </c:pt>
                <c:pt idx="28">
                  <c:v>52.325432270301349</c:v>
                </c:pt>
                <c:pt idx="29">
                  <c:v>52.267998620342453</c:v>
                </c:pt>
                <c:pt idx="30">
                  <c:v>52.208447973806102</c:v>
                </c:pt>
                <c:pt idx="31">
                  <c:v>52.1469477760415</c:v>
                </c:pt>
                <c:pt idx="32">
                  <c:v>52.083658392567855</c:v>
                </c:pt>
                <c:pt idx="33">
                  <c:v>52.018733347549158</c:v>
                </c:pt>
                <c:pt idx="34">
                  <c:v>51.952319555022328</c:v>
                </c:pt>
                <c:pt idx="35">
                  <c:v>51.88455754308805</c:v>
                </c:pt>
                <c:pt idx="36">
                  <c:v>51.815581671268049</c:v>
                </c:pt>
                <c:pt idx="37">
                  <c:v>51.745520341226666</c:v>
                </c:pt>
                <c:pt idx="38">
                  <c:v>51.674496201048285</c:v>
                </c:pt>
                <c:pt idx="39">
                  <c:v>51.602626343257555</c:v>
                </c:pt>
                <c:pt idx="40">
                  <c:v>51.530022496764119</c:v>
                </c:pt>
                <c:pt idx="41">
                  <c:v>51.456791212908087</c:v>
                </c:pt>
                <c:pt idx="42">
                  <c:v>51.383034045776697</c:v>
                </c:pt>
                <c:pt idx="43">
                  <c:v>51.308847726960479</c:v>
                </c:pt>
                <c:pt idx="44">
                  <c:v>51.234324334909047</c:v>
                </c:pt>
                <c:pt idx="45">
                  <c:v>51.159551459044593</c:v>
                </c:pt>
                <c:pt idx="46">
                  <c:v>51.084612358785492</c:v>
                </c:pt>
                <c:pt idx="47">
                  <c:v>51.00958611762924</c:v>
                </c:pt>
                <c:pt idx="48">
                  <c:v>50.934547792437925</c:v>
                </c:pt>
                <c:pt idx="49">
                  <c:v>50.859568558067124</c:v>
                </c:pt>
                <c:pt idx="50">
                  <c:v>50.784715847474544</c:v>
                </c:pt>
                <c:pt idx="51">
                  <c:v>50.710053487440121</c:v>
                </c:pt>
                <c:pt idx="52">
                  <c:v>50.635641830026771</c:v>
                </c:pt>
                <c:pt idx="53">
                  <c:v>50.561537879906737</c:v>
                </c:pt>
                <c:pt idx="54">
                  <c:v>50.48779541767481</c:v>
                </c:pt>
                <c:pt idx="55">
                  <c:v>50.414465119265714</c:v>
                </c:pt>
                <c:pt idx="56">
                  <c:v>50.341594671592219</c:v>
                </c:pt>
                <c:pt idx="57">
                  <c:v>50.269228884512962</c:v>
                </c:pt>
                <c:pt idx="58">
                  <c:v>50.197409799239786</c:v>
                </c:pt>
                <c:pt idx="59">
                  <c:v>50.12617679328909</c:v>
                </c:pt>
                <c:pt idx="60">
                  <c:v>50.055566682080183</c:v>
                </c:pt>
                <c:pt idx="61">
                  <c:v>49.985613817278079</c:v>
                </c:pt>
                <c:pt idx="62">
                  <c:v>49.916350181978899</c:v>
                </c:pt>
                <c:pt idx="63">
                  <c:v>49.84780548283085</c:v>
                </c:pt>
                <c:pt idx="64">
                  <c:v>49.780007239181657</c:v>
                </c:pt>
                <c:pt idx="65">
                  <c:v>49.712980869340996</c:v>
                </c:pt>
                <c:pt idx="66">
                  <c:v>49.646749774043833</c:v>
                </c:pt>
                <c:pt idx="67">
                  <c:v>49.581335417197799</c:v>
                </c:pt>
                <c:pt idx="68">
                  <c:v>49.516757403996124</c:v>
                </c:pt>
                <c:pt idx="69">
                  <c:v>49.453033556474281</c:v>
                </c:pt>
                <c:pt idx="70">
                  <c:v>49.390179986587249</c:v>
                </c:pt>
                <c:pt idx="71">
                  <c:v>49.328211166881538</c:v>
                </c:pt>
                <c:pt idx="72">
                  <c:v>49.267139998833599</c:v>
                </c:pt>
                <c:pt idx="73">
                  <c:v>49.206977878925727</c:v>
                </c:pt>
                <c:pt idx="74">
                  <c:v>49.147734762526653</c:v>
                </c:pt>
                <c:pt idx="75">
                  <c:v>49.089419225643027</c:v>
                </c:pt>
                <c:pt idx="76">
                  <c:v>49.032038524606591</c:v>
                </c:pt>
                <c:pt idx="77">
                  <c:v>48.975598653758652</c:v>
                </c:pt>
                <c:pt idx="78">
                  <c:v>48.920104401192674</c:v>
                </c:pt>
                <c:pt idx="79">
                  <c:v>48.86555940261438</c:v>
                </c:pt>
                <c:pt idx="80">
                  <c:v>48.811966193375255</c:v>
                </c:pt>
                <c:pt idx="81">
                  <c:v>48.759326258736564</c:v>
                </c:pt>
                <c:pt idx="82">
                  <c:v>48.707640082415836</c:v>
                </c:pt>
                <c:pt idx="83">
                  <c:v>48.656907193470119</c:v>
                </c:pt>
                <c:pt idx="84">
                  <c:v>48.607126211565003</c:v>
                </c:pt>
                <c:pt idx="85">
                  <c:v>48.558294890680529</c:v>
                </c:pt>
                <c:pt idx="86">
                  <c:v>48.510410161299845</c:v>
                </c:pt>
                <c:pt idx="87">
                  <c:v>48.463468171129385</c:v>
                </c:pt>
                <c:pt idx="88">
                  <c:v>48.417464324393627</c:v>
                </c:pt>
                <c:pt idx="89">
                  <c:v>48.372393319750188</c:v>
                </c:pt>
                <c:pt idx="90">
                  <c:v>48.328249186865982</c:v>
                </c:pt>
                <c:pt idx="91">
                  <c:v>48.285025321697553</c:v>
                </c:pt>
                <c:pt idx="92">
                  <c:v>48.242714520514411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177024"/>
        <c:axId val="146191488"/>
      </c:scatterChart>
      <c:valAx>
        <c:axId val="146177024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46191488"/>
        <c:crosses val="autoZero"/>
        <c:crossBetween val="midCat"/>
      </c:valAx>
      <c:valAx>
        <c:axId val="146191488"/>
        <c:scaling>
          <c:orientation val="minMax"/>
          <c:max val="9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46177024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136.29276721068064</c:v>
                </c:pt>
                <c:pt idx="2">
                  <c:v>133.66422869958748</c:v>
                </c:pt>
                <c:pt idx="3">
                  <c:v>131.08653099702238</c:v>
                </c:pt>
                <c:pt idx="4">
                  <c:v>128.55869038546234</c:v>
                </c:pt>
                <c:pt idx="5">
                  <c:v>126.07974218188008</c:v>
                </c:pt>
                <c:pt idx="6">
                  <c:v>123.64874036944011</c:v>
                </c:pt>
                <c:pt idx="7">
                  <c:v>121.26475723632117</c:v>
                </c:pt>
                <c:pt idx="8">
                  <c:v>118.9268830215271</c:v>
                </c:pt>
                <c:pt idx="9">
                  <c:v>116.63422556755087</c:v>
                </c:pt>
                <c:pt idx="10">
                  <c:v>114.38590997975925</c:v>
                </c:pt>
                <c:pt idx="11">
                  <c:v>112.181078292368</c:v>
                </c:pt>
                <c:pt idx="12">
                  <c:v>110.01888914088023</c:v>
                </c:pt>
                <c:pt idx="13">
                  <c:v>107.89851744086261</c:v>
                </c:pt>
                <c:pt idx="14">
                  <c:v>105.81915407293697</c:v>
                </c:pt>
                <c:pt idx="15">
                  <c:v>103.78000557386714</c:v>
                </c:pt>
                <c:pt idx="16">
                  <c:v>101.78029383362279</c:v>
                </c:pt>
                <c:pt idx="17">
                  <c:v>99.819255798304837</c:v>
                </c:pt>
                <c:pt idx="18">
                  <c:v>97.896143178819031</c:v>
                </c:pt>
                <c:pt idx="19">
                  <c:v>96.01022216518632</c:v>
                </c:pt>
                <c:pt idx="20">
                  <c:v>94.160773146381104</c:v>
                </c:pt>
                <c:pt idx="21">
                  <c:v>92.347090435590331</c:v>
                </c:pt>
                <c:pt idx="22">
                  <c:v>90.568482000788563</c:v>
                </c:pt>
                <c:pt idx="23">
                  <c:v>88.824269200526118</c:v>
                </c:pt>
                <c:pt idx="24">
                  <c:v>87.11378652482955</c:v>
                </c:pt>
                <c:pt idx="25">
                  <c:v>85.436381341115379</c:v>
                </c:pt>
                <c:pt idx="26">
                  <c:v>83.791413645020199</c:v>
                </c:pt>
                <c:pt idx="27">
                  <c:v>82.178255816051959</c:v>
                </c:pt>
                <c:pt idx="28">
                  <c:v>80.596292377969178</c:v>
                </c:pt>
                <c:pt idx="29">
                  <c:v>79.044919763796599</c:v>
                </c:pt>
                <c:pt idx="30">
                  <c:v>77.523546085387594</c:v>
                </c:pt>
                <c:pt idx="31">
                  <c:v>76.031590907445249</c:v>
                </c:pt>
                <c:pt idx="32">
                  <c:v>74.568485025916033</c:v>
                </c:pt>
                <c:pt idx="33">
                  <c:v>73.133670250671301</c:v>
                </c:pt>
                <c:pt idx="34">
                  <c:v>71.726599192393692</c:v>
                </c:pt>
                <c:pt idx="35">
                  <c:v>70.346735053587139</c:v>
                </c:pt>
                <c:pt idx="36">
                  <c:v>68.993551423630578</c:v>
                </c:pt>
                <c:pt idx="37">
                  <c:v>67.666532077797257</c:v>
                </c:pt>
                <c:pt idx="38">
                  <c:v>66.365170780162771</c:v>
                </c:pt>
                <c:pt idx="39">
                  <c:v>65.088971090326751</c:v>
                </c:pt>
                <c:pt idx="40">
                  <c:v>63.837446173874206</c:v>
                </c:pt>
                <c:pt idx="41">
                  <c:v>62.610118616504352</c:v>
                </c:pt>
                <c:pt idx="42">
                  <c:v>61.406520241755871</c:v>
                </c:pt>
                <c:pt idx="43">
                  <c:v>60.226191932259006</c:v>
                </c:pt>
                <c:pt idx="44">
                  <c:v>59.068683454446301</c:v>
                </c:pt>
                <c:pt idx="45">
                  <c:v>57.933553286655034</c:v>
                </c:pt>
                <c:pt idx="46">
                  <c:v>56.820368450555726</c:v>
                </c:pt>
                <c:pt idx="47">
                  <c:v>55.728704345842367</c:v>
                </c:pt>
                <c:pt idx="48">
                  <c:v>54.658144588121225</c:v>
                </c:pt>
                <c:pt idx="49">
                  <c:v>53.608280849936413</c:v>
                </c:pt>
                <c:pt idx="50">
                  <c:v>52.578712704871478</c:v>
                </c:pt>
                <c:pt idx="51">
                  <c:v>51.569047474667443</c:v>
                </c:pt>
                <c:pt idx="52">
                  <c:v>50.578900079299082</c:v>
                </c:pt>
                <c:pt idx="53">
                  <c:v>49.607892889952012</c:v>
                </c:pt>
                <c:pt idx="54">
                  <c:v>48.655655584844624</c:v>
                </c:pt>
                <c:pt idx="55">
                  <c:v>47.721825007839726</c:v>
                </c:pt>
                <c:pt idx="56">
                  <c:v>46.806045029791925</c:v>
                </c:pt>
                <c:pt idx="57">
                  <c:v>45.907966412577856</c:v>
                </c:pt>
                <c:pt idx="58">
                  <c:v>45.027246675757311</c:v>
                </c:pt>
                <c:pt idx="59">
                  <c:v>44.163549965814383</c:v>
                </c:pt>
                <c:pt idx="60">
                  <c:v>43.316546927928677</c:v>
                </c:pt>
                <c:pt idx="61">
                  <c:v>42.485914580227671</c:v>
                </c:pt>
                <c:pt idx="62">
                  <c:v>41.671336190472189</c:v>
                </c:pt>
                <c:pt idx="63">
                  <c:v>40.872501155127942</c:v>
                </c:pt>
                <c:pt idx="64">
                  <c:v>40.089104880776929</c:v>
                </c:pt>
                <c:pt idx="65">
                  <c:v>39.320848667823427</c:v>
                </c:pt>
                <c:pt idx="66">
                  <c:v>38.567439596450235</c:v>
                </c:pt>
                <c:pt idx="67">
                  <c:v>37.828590414781551</c:v>
                </c:pt>
                <c:pt idx="68">
                  <c:v>37.104019429209821</c:v>
                </c:pt>
                <c:pt idx="69">
                  <c:v>36.393450396844692</c:v>
                </c:pt>
                <c:pt idx="70">
                  <c:v>35.696612420043031</c:v>
                </c:pt>
                <c:pt idx="71">
                  <c:v>35.013239842979665</c:v>
                </c:pt>
                <c:pt idx="72">
                  <c:v>34.34307215021947</c:v>
                </c:pt>
                <c:pt idx="73">
                  <c:v>33.685853867251971</c:v>
                </c:pt>
                <c:pt idx="74">
                  <c:v>33.041334462950573</c:v>
                </c:pt>
                <c:pt idx="75">
                  <c:v>32.409268253919116</c:v>
                </c:pt>
                <c:pt idx="76">
                  <c:v>31.789414310689278</c:v>
                </c:pt>
                <c:pt idx="77">
                  <c:v>31.181536365733002</c:v>
                </c:pt>
                <c:pt idx="78">
                  <c:v>30.585402723254823</c:v>
                </c:pt>
                <c:pt idx="79">
                  <c:v>30.000786170729647</c:v>
                </c:pt>
                <c:pt idx="80">
                  <c:v>29.427463892152247</c:v>
                </c:pt>
                <c:pt idx="81">
                  <c:v>28.865217382965309</c:v>
                </c:pt>
                <c:pt idx="82">
                  <c:v>28.31383236663358</c:v>
                </c:pt>
                <c:pt idx="83">
                  <c:v>27.773098712832255</c:v>
                </c:pt>
                <c:pt idx="84">
                  <c:v>27.242810357218374</c:v>
                </c:pt>
                <c:pt idx="85">
                  <c:v>26.722765222754607</c:v>
                </c:pt>
                <c:pt idx="86">
                  <c:v>26.212765142555362</c:v>
                </c:pt>
                <c:pt idx="87">
                  <c:v>25.7126157842258</c:v>
                </c:pt>
                <c:pt idx="88">
                  <c:v>25.222126575664831</c:v>
                </c:pt>
                <c:pt idx="89">
                  <c:v>24.741110632303801</c:v>
                </c:pt>
                <c:pt idx="90">
                  <c:v>24.269384685753064</c:v>
                </c:pt>
                <c:pt idx="91">
                  <c:v>23.806769013829204</c:v>
                </c:pt>
                <c:pt idx="92">
                  <c:v>23.353087371936201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mod.math.!$Z$2:$Z$94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136.31031563892398</c:v>
                </c:pt>
                <c:pt idx="2">
                  <c:v>133.69850359815911</c:v>
                </c:pt>
                <c:pt idx="3">
                  <c:v>131.13673591467057</c:v>
                </c:pt>
                <c:pt idx="4">
                  <c:v>128.62405369951222</c:v>
                </c:pt>
                <c:pt idx="5">
                  <c:v>126.15951643679867</c:v>
                </c:pt>
                <c:pt idx="6">
                  <c:v>123.74220163166285</c:v>
                </c:pt>
                <c:pt idx="7">
                  <c:v>121.37120446495948</c:v>
                </c:pt>
                <c:pt idx="8">
                  <c:v>119.04563745458422</c:v>
                </c:pt>
                <c:pt idx="9">
                  <c:v>116.76463012328267</c:v>
                </c:pt>
                <c:pt idx="10">
                  <c:v>114.52732867282397</c:v>
                </c:pt>
                <c:pt idx="11">
                  <c:v>112.33289566441779</c:v>
                </c:pt>
                <c:pt idx="12">
                  <c:v>110.18050970525468</c:v>
                </c:pt>
                <c:pt idx="13">
                  <c:v>108.06936514105251</c:v>
                </c:pt>
                <c:pt idx="14">
                  <c:v>105.99867175449403</c:v>
                </c:pt>
                <c:pt idx="15">
                  <c:v>103.96765446944259</c:v>
                </c:pt>
                <c:pt idx="16">
                  <c:v>101.97555306082525</c:v>
                </c:pt>
                <c:pt idx="17">
                  <c:v>100.0216218700749</c:v>
                </c:pt>
                <c:pt idx="18">
                  <c:v>98.10512952602447</c:v>
                </c:pt>
                <c:pt idx="19">
                  <c:v>96.225358671149394</c:v>
                </c:pt>
                <c:pt idx="20">
                  <c:v>94.381605693055192</c:v>
                </c:pt>
                <c:pt idx="21">
                  <c:v>92.573180461109999</c:v>
                </c:pt>
                <c:pt idx="22">
                  <c:v>90.799406068123517</c:v>
                </c:pt>
                <c:pt idx="23">
                  <c:v>89.059618576975581</c:v>
                </c:pt>
                <c:pt idx="24">
                  <c:v>87.353166772099485</c:v>
                </c:pt>
                <c:pt idx="25">
                  <c:v>85.679411915727016</c:v>
                </c:pt>
                <c:pt idx="26">
                  <c:v>84.037727508804181</c:v>
                </c:pt>
                <c:pt idx="27">
                  <c:v>82.427499056487875</c:v>
                </c:pt>
                <c:pt idx="28">
                  <c:v>80.848123838135763</c:v>
                </c:pt>
                <c:pt idx="29">
                  <c:v>79.299010681703479</c:v>
                </c:pt>
                <c:pt idx="30">
                  <c:v>77.779579742464463</c:v>
                </c:pt>
                <c:pt idx="31">
                  <c:v>76.289262285969684</c:v>
                </c:pt>
                <c:pt idx="32">
                  <c:v>74.827500475166062</c:v>
                </c:pt>
                <c:pt idx="33">
                  <c:v>73.393747161593865</c:v>
                </c:pt>
                <c:pt idx="34">
                  <c:v>71.987465680584904</c:v>
                </c:pt>
                <c:pt idx="35">
                  <c:v>70.608129650384925</c:v>
                </c:pt>
                <c:pt idx="36">
                  <c:v>69.255222775124906</c:v>
                </c:pt>
                <c:pt idx="37">
                  <c:v>67.928238651567682</c:v>
                </c:pt>
                <c:pt idx="38">
                  <c:v>66.626680579557373</c:v>
                </c:pt>
                <c:pt idx="39">
                  <c:v>65.35006137610074</c:v>
                </c:pt>
                <c:pt idx="40">
                  <c:v>64.097903193011007</c:v>
                </c:pt>
                <c:pt idx="41">
                  <c:v>62.86973733804556</c:v>
                </c:pt>
                <c:pt idx="42">
                  <c:v>61.66510409947103</c:v>
                </c:pt>
                <c:pt idx="43">
                  <c:v>60.483552573989655</c:v>
                </c:pt>
                <c:pt idx="44">
                  <c:v>59.324640497962797</c:v>
                </c:pt>
                <c:pt idx="45">
                  <c:v>58.187934081868327</c:v>
                </c:pt>
                <c:pt idx="46">
                  <c:v>57.073007847929944</c:v>
                </c:pt>
                <c:pt idx="47">
                  <c:v>55.979444470857644</c:v>
                </c:pt>
                <c:pt idx="48">
                  <c:v>54.906834621639717</c:v>
                </c:pt>
                <c:pt idx="49">
                  <c:v>53.854776814327771</c:v>
                </c:pt>
                <c:pt idx="50">
                  <c:v>52.822877255757589</c:v>
                </c:pt>
                <c:pt idx="51">
                  <c:v>51.810749698149351</c:v>
                </c:pt>
                <c:pt idx="52">
                  <c:v>50.818015294532131</c:v>
                </c:pt>
                <c:pt idx="53">
                  <c:v>49.844302456938692</c:v>
                </c:pt>
                <c:pt idx="54">
                  <c:v>48.889246717317292</c:v>
                </c:pt>
                <c:pt idx="55">
                  <c:v>47.952490591108514</c:v>
                </c:pt>
                <c:pt idx="56">
                  <c:v>47.033683443436125</c:v>
                </c:pt>
                <c:pt idx="57">
                  <c:v>46.13248135786182</c:v>
                </c:pt>
                <c:pt idx="58">
                  <c:v>45.248547007654665</c:v>
                </c:pt>
                <c:pt idx="59">
                  <c:v>44.38154952952717</c:v>
                </c:pt>
                <c:pt idx="60">
                  <c:v>43.531164399790732</c:v>
                </c:pt>
                <c:pt idx="61">
                  <c:v>42.697073312883852</c:v>
                </c:pt>
                <c:pt idx="62">
                  <c:v>41.878964062228086</c:v>
                </c:pt>
                <c:pt idx="63">
                  <c:v>41.076530423366691</c:v>
                </c:pt>
                <c:pt idx="64">
                  <c:v>40.289472039342535</c:v>
                </c:pt>
                <c:pt idx="65">
                  <c:v>39.517494308272219</c:v>
                </c:pt>
                <c:pt idx="66">
                  <c:v>38.760308273074379</c:v>
                </c:pt>
                <c:pt idx="67">
                  <c:v>38.017630513310856</c:v>
                </c:pt>
                <c:pt idx="68">
                  <c:v>37.289183039100308</c:v>
                </c:pt>
                <c:pt idx="69">
                  <c:v>36.574693187064518</c:v>
                </c:pt>
                <c:pt idx="70">
                  <c:v>35.87389351826836</c:v>
                </c:pt>
                <c:pt idx="71">
                  <c:v>35.186521718115515</c:v>
                </c:pt>
                <c:pt idx="72">
                  <c:v>34.512320498162005</c:v>
                </c:pt>
                <c:pt idx="73">
                  <c:v>33.851037499811319</c:v>
                </c:pt>
                <c:pt idx="74">
                  <c:v>33.202425199854588</c:v>
                </c:pt>
                <c:pt idx="75">
                  <c:v>32.566240817820827</c:v>
                </c:pt>
                <c:pt idx="76">
                  <c:v>31.94224622510238</c:v>
                </c:pt>
                <c:pt idx="77">
                  <c:v>31.330207855821573</c:v>
                </c:pt>
                <c:pt idx="78">
                  <c:v>30.729896619405249</c:v>
                </c:pt>
                <c:pt idx="79">
                  <c:v>30.141087814834457</c:v>
                </c:pt>
                <c:pt idx="80">
                  <c:v>29.563561046537121</c:v>
                </c:pt>
                <c:pt idx="81">
                  <c:v>28.997100141892396</c:v>
                </c:pt>
                <c:pt idx="82">
                  <c:v>28.441493070315541</c:v>
                </c:pt>
                <c:pt idx="83">
                  <c:v>27.896531863893316</c:v>
                </c:pt>
                <c:pt idx="84">
                  <c:v>27.362012539540057</c:v>
                </c:pt>
                <c:pt idx="85">
                  <c:v>26.837735022645191</c:v>
                </c:pt>
                <c:pt idx="86">
                  <c:v>26.323503072183868</c:v>
                </c:pt>
                <c:pt idx="87">
                  <c:v>25.819124207262444</c:v>
                </c:pt>
                <c:pt idx="88">
                  <c:v>25.324409635071436</c:v>
                </c:pt>
                <c:pt idx="89">
                  <c:v>24.839174180218926</c:v>
                </c:pt>
                <c:pt idx="90">
                  <c:v>24.36323621541807</c:v>
                </c:pt>
                <c:pt idx="91">
                  <c:v>23.896417593502576</c:v>
                </c:pt>
                <c:pt idx="92">
                  <c:v>23.438543580744927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648704"/>
        <c:axId val="150659072"/>
      </c:scatterChart>
      <c:valAx>
        <c:axId val="150648704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50659072"/>
        <c:crosses val="autoZero"/>
        <c:crossBetween val="midCat"/>
      </c:valAx>
      <c:valAx>
        <c:axId val="150659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506487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mod.math.!$AA$2:$AA$94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26518.179832121899</c:v>
                </c:pt>
                <c:pt idx="2">
                  <c:v>26449.903355989445</c:v>
                </c:pt>
                <c:pt idx="3">
                  <c:v>26381.802671605241</c:v>
                </c:pt>
                <c:pt idx="4">
                  <c:v>26313.877326357488</c:v>
                </c:pt>
                <c:pt idx="5">
                  <c:v>26246.126868799722</c:v>
                </c:pt>
                <c:pt idx="6">
                  <c:v>26178.550848647832</c:v>
                </c:pt>
                <c:pt idx="7">
                  <c:v>26111.148816777048</c:v>
                </c:pt>
                <c:pt idx="8">
                  <c:v>26043.920325218958</c:v>
                </c:pt>
                <c:pt idx="9">
                  <c:v>25976.864927158556</c:v>
                </c:pt>
                <c:pt idx="10">
                  <c:v>25909.982176931233</c:v>
                </c:pt>
                <c:pt idx="11">
                  <c:v>25843.271630019837</c:v>
                </c:pt>
                <c:pt idx="12">
                  <c:v>25776.73284305173</c:v>
                </c:pt>
                <c:pt idx="13">
                  <c:v>25710.365373795812</c:v>
                </c:pt>
                <c:pt idx="14">
                  <c:v>25644.168781159606</c:v>
                </c:pt>
                <c:pt idx="15">
                  <c:v>25578.142625186316</c:v>
                </c:pt>
                <c:pt idx="16">
                  <c:v>25512.286467051905</c:v>
                </c:pt>
                <c:pt idx="17">
                  <c:v>25446.599869062175</c:v>
                </c:pt>
                <c:pt idx="18">
                  <c:v>25381.08239464986</c:v>
                </c:pt>
                <c:pt idx="19">
                  <c:v>25315.733608371742</c:v>
                </c:pt>
                <c:pt idx="20">
                  <c:v>25250.553075905715</c:v>
                </c:pt>
                <c:pt idx="21">
                  <c:v>25185.540364047942</c:v>
                </c:pt>
                <c:pt idx="22">
                  <c:v>25120.695040709954</c:v>
                </c:pt>
                <c:pt idx="23">
                  <c:v>25056.016674915783</c:v>
                </c:pt>
                <c:pt idx="24">
                  <c:v>24991.504836799086</c:v>
                </c:pt>
                <c:pt idx="25">
                  <c:v>24927.159097600317</c:v>
                </c:pt>
                <c:pt idx="26">
                  <c:v>24862.979029663846</c:v>
                </c:pt>
                <c:pt idx="27">
                  <c:v>24798.964206435132</c:v>
                </c:pt>
                <c:pt idx="28">
                  <c:v>24735.114202457888</c:v>
                </c:pt>
                <c:pt idx="29">
                  <c:v>24671.428593371256</c:v>
                </c:pt>
                <c:pt idx="30">
                  <c:v>24607.906955906965</c:v>
                </c:pt>
                <c:pt idx="31">
                  <c:v>24544.548867886559</c:v>
                </c:pt>
                <c:pt idx="32">
                  <c:v>24481.353908218542</c:v>
                </c:pt>
                <c:pt idx="33">
                  <c:v>24418.321656895627</c:v>
                </c:pt>
                <c:pt idx="34">
                  <c:v>24355.451694991905</c:v>
                </c:pt>
                <c:pt idx="35">
                  <c:v>24292.743604660081</c:v>
                </c:pt>
                <c:pt idx="36">
                  <c:v>24230.196969128698</c:v>
                </c:pt>
                <c:pt idx="37">
                  <c:v>24167.811372699362</c:v>
                </c:pt>
                <c:pt idx="38">
                  <c:v>24105.586400743974</c:v>
                </c:pt>
                <c:pt idx="39">
                  <c:v>24043.521639701983</c:v>
                </c:pt>
                <c:pt idx="40">
                  <c:v>23981.616677077636</c:v>
                </c:pt>
                <c:pt idx="41">
                  <c:v>23919.871101437231</c:v>
                </c:pt>
                <c:pt idx="42">
                  <c:v>23858.284502406386</c:v>
                </c:pt>
                <c:pt idx="43">
                  <c:v>23796.856470667324</c:v>
                </c:pt>
                <c:pt idx="44">
                  <c:v>23735.58659795612</c:v>
                </c:pt>
                <c:pt idx="45">
                  <c:v>23674.474477060023</c:v>
                </c:pt>
                <c:pt idx="46">
                  <c:v>23613.519701814723</c:v>
                </c:pt>
                <c:pt idx="47">
                  <c:v>23552.721867101678</c:v>
                </c:pt>
                <c:pt idx="48">
                  <c:v>23492.080568845395</c:v>
                </c:pt>
                <c:pt idx="49">
                  <c:v>23431.595404010761</c:v>
                </c:pt>
                <c:pt idx="50">
                  <c:v>23371.265970600351</c:v>
                </c:pt>
                <c:pt idx="51">
                  <c:v>23311.091867651776</c:v>
                </c:pt>
                <c:pt idx="52">
                  <c:v>23251.072695235001</c:v>
                </c:pt>
                <c:pt idx="53">
                  <c:v>23191.208054449697</c:v>
                </c:pt>
                <c:pt idx="54">
                  <c:v>23131.497547422576</c:v>
                </c:pt>
                <c:pt idx="55">
                  <c:v>23071.940777304764</c:v>
                </c:pt>
                <c:pt idx="56">
                  <c:v>23012.53734826915</c:v>
                </c:pt>
                <c:pt idx="57">
                  <c:v>22953.286865507773</c:v>
                </c:pt>
                <c:pt idx="58">
                  <c:v>22894.188935229173</c:v>
                </c:pt>
                <c:pt idx="59">
                  <c:v>22835.243164655785</c:v>
                </c:pt>
                <c:pt idx="60">
                  <c:v>22776.449162021341</c:v>
                </c:pt>
                <c:pt idx="61">
                  <c:v>22717.806536568256</c:v>
                </c:pt>
                <c:pt idx="62">
                  <c:v>22659.31489854501</c:v>
                </c:pt>
                <c:pt idx="63">
                  <c:v>22600.973859203608</c:v>
                </c:pt>
                <c:pt idx="64">
                  <c:v>22542.783030796942</c:v>
                </c:pt>
                <c:pt idx="65">
                  <c:v>22484.742026576252</c:v>
                </c:pt>
                <c:pt idx="66">
                  <c:v>22426.85046078853</c:v>
                </c:pt>
                <c:pt idx="67">
                  <c:v>22369.10794867398</c:v>
                </c:pt>
                <c:pt idx="68">
                  <c:v>22311.514106463441</c:v>
                </c:pt>
                <c:pt idx="69">
                  <c:v>22254.068551375851</c:v>
                </c:pt>
                <c:pt idx="70">
                  <c:v>22196.770901615684</c:v>
                </c:pt>
                <c:pt idx="71">
                  <c:v>22139.620776370441</c:v>
                </c:pt>
                <c:pt idx="72">
                  <c:v>22082.617795808084</c:v>
                </c:pt>
                <c:pt idx="73">
                  <c:v>22025.761581074556</c:v>
                </c:pt>
                <c:pt idx="74">
                  <c:v>21969.051754291202</c:v>
                </c:pt>
                <c:pt idx="75">
                  <c:v>21912.487938552331</c:v>
                </c:pt>
                <c:pt idx="76">
                  <c:v>21856.06975792264</c:v>
                </c:pt>
                <c:pt idx="77">
                  <c:v>21799.796837434769</c:v>
                </c:pt>
                <c:pt idx="78">
                  <c:v>21743.668803086784</c:v>
                </c:pt>
                <c:pt idx="79">
                  <c:v>21687.685281839687</c:v>
                </c:pt>
                <c:pt idx="80">
                  <c:v>21631.845901614954</c:v>
                </c:pt>
                <c:pt idx="81">
                  <c:v>21576.150291292051</c:v>
                </c:pt>
                <c:pt idx="82">
                  <c:v>21520.598080705971</c:v>
                </c:pt>
                <c:pt idx="83">
                  <c:v>21465.188900644767</c:v>
                </c:pt>
                <c:pt idx="84">
                  <c:v>21409.922382847108</c:v>
                </c:pt>
                <c:pt idx="85">
                  <c:v>21354.798159999831</c:v>
                </c:pt>
                <c:pt idx="86">
                  <c:v>21299.815865735483</c:v>
                </c:pt>
                <c:pt idx="87">
                  <c:v>21244.975134629913</c:v>
                </c:pt>
                <c:pt idx="88">
                  <c:v>21190.275602199821</c:v>
                </c:pt>
                <c:pt idx="89">
                  <c:v>21135.71690490035</c:v>
                </c:pt>
                <c:pt idx="90">
                  <c:v>21081.298680122658</c:v>
                </c:pt>
                <c:pt idx="91">
                  <c:v>21027.020566191513</c:v>
                </c:pt>
                <c:pt idx="92">
                  <c:v>20972.882202362893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26518.091570463366</c:v>
                </c:pt>
                <c:pt idx="2">
                  <c:v>26449.727287568156</c:v>
                </c:pt>
                <c:pt idx="3">
                  <c:v>26381.539249557278</c:v>
                </c:pt>
                <c:pt idx="4">
                  <c:v>26313.527002065344</c:v>
                </c:pt>
                <c:pt idx="5">
                  <c:v>26245.690091898385</c:v>
                </c:pt>
                <c:pt idx="6">
                  <c:v>26178.028067030828</c:v>
                </c:pt>
                <c:pt idx="7">
                  <c:v>26110.54047660248</c:v>
                </c:pt>
                <c:pt idx="8">
                  <c:v>26043.226870915532</c:v>
                </c:pt>
                <c:pt idx="9">
                  <c:v>25976.086801431549</c:v>
                </c:pt>
                <c:pt idx="10">
                  <c:v>25909.119820768494</c:v>
                </c:pt>
                <c:pt idx="11">
                  <c:v>25842.325482697725</c:v>
                </c:pt>
                <c:pt idx="12">
                  <c:v>25775.703342141042</c:v>
                </c:pt>
                <c:pt idx="13">
                  <c:v>25709.252955167703</c:v>
                </c:pt>
                <c:pt idx="14">
                  <c:v>25642.973878991477</c:v>
                </c:pt>
                <c:pt idx="15">
                  <c:v>25576.86567196768</c:v>
                </c:pt>
                <c:pt idx="16">
                  <c:v>25510.927893590244</c:v>
                </c:pt>
                <c:pt idx="17">
                  <c:v>25445.160104488772</c:v>
                </c:pt>
                <c:pt idx="18">
                  <c:v>25379.561866425611</c:v>
                </c:pt>
                <c:pt idx="19">
                  <c:v>25314.132742292924</c:v>
                </c:pt>
                <c:pt idx="20">
                  <c:v>25248.872296109796</c:v>
                </c:pt>
                <c:pt idx="21">
                  <c:v>25183.780093019301</c:v>
                </c:pt>
                <c:pt idx="22">
                  <c:v>25118.855699285628</c:v>
                </c:pt>
                <c:pt idx="23">
                  <c:v>25054.098682291173</c:v>
                </c:pt>
                <c:pt idx="24">
                  <c:v>24989.50861053366</c:v>
                </c:pt>
                <c:pt idx="25">
                  <c:v>24925.085053623268</c:v>
                </c:pt>
                <c:pt idx="26">
                  <c:v>24860.827582279762</c:v>
                </c:pt>
                <c:pt idx="27">
                  <c:v>24796.735768329621</c:v>
                </c:pt>
                <c:pt idx="28">
                  <c:v>24732.809184703205</c:v>
                </c:pt>
                <c:pt idx="29">
                  <c:v>24669.047405431884</c:v>
                </c:pt>
                <c:pt idx="30">
                  <c:v>24605.450005645216</c:v>
                </c:pt>
                <c:pt idx="31">
                  <c:v>24542.016561568114</c:v>
                </c:pt>
                <c:pt idx="32">
                  <c:v>24478.746650518009</c:v>
                </c:pt>
                <c:pt idx="33">
                  <c:v>24415.639850902044</c:v>
                </c:pt>
                <c:pt idx="34">
                  <c:v>24352.695742214259</c:v>
                </c:pt>
                <c:pt idx="35">
                  <c:v>24289.913905032794</c:v>
                </c:pt>
                <c:pt idx="36">
                  <c:v>24227.293921017084</c:v>
                </c:pt>
                <c:pt idx="37">
                  <c:v>24164.835372905083</c:v>
                </c:pt>
                <c:pt idx="38">
                  <c:v>24102.537844510469</c:v>
                </c:pt>
                <c:pt idx="39">
                  <c:v>24040.400920719883</c:v>
                </c:pt>
                <c:pt idx="40">
                  <c:v>23978.424187490153</c:v>
                </c:pt>
                <c:pt idx="41">
                  <c:v>23916.607231845537</c:v>
                </c:pt>
                <c:pt idx="42">
                  <c:v>23854.949641874977</c:v>
                </c:pt>
                <c:pt idx="43">
                  <c:v>23793.451006729345</c:v>
                </c:pt>
                <c:pt idx="44">
                  <c:v>23732.110916618705</c:v>
                </c:pt>
                <c:pt idx="45">
                  <c:v>23670.928962809587</c:v>
                </c:pt>
                <c:pt idx="46">
                  <c:v>23609.904737622262</c:v>
                </c:pt>
                <c:pt idx="47">
                  <c:v>23549.037834428025</c:v>
                </c:pt>
                <c:pt idx="48">
                  <c:v>23488.32784764648</c:v>
                </c:pt>
                <c:pt idx="49">
                  <c:v>23427.774372742839</c:v>
                </c:pt>
                <c:pt idx="50">
                  <c:v>23367.377006225233</c:v>
                </c:pt>
                <c:pt idx="51">
                  <c:v>23307.135345642015</c:v>
                </c:pt>
                <c:pt idx="52">
                  <c:v>23247.048989579078</c:v>
                </c:pt>
                <c:pt idx="53">
                  <c:v>23187.117537657188</c:v>
                </c:pt>
                <c:pt idx="54">
                  <c:v>23127.340590529304</c:v>
                </c:pt>
                <c:pt idx="55">
                  <c:v>23067.717749877924</c:v>
                </c:pt>
                <c:pt idx="56">
                  <c:v>23008.248618412428</c:v>
                </c:pt>
                <c:pt idx="57">
                  <c:v>22948.932799866434</c:v>
                </c:pt>
                <c:pt idx="58">
                  <c:v>22889.76989899515</c:v>
                </c:pt>
                <c:pt idx="59">
                  <c:v>22830.759521572749</c:v>
                </c:pt>
                <c:pt idx="60">
                  <c:v>22771.901274389729</c:v>
                </c:pt>
                <c:pt idx="61">
                  <c:v>22713.194765250311</c:v>
                </c:pt>
                <c:pt idx="62">
                  <c:v>22654.639602969808</c:v>
                </c:pt>
                <c:pt idx="63">
                  <c:v>22596.235397372027</c:v>
                </c:pt>
                <c:pt idx="64">
                  <c:v>22537.981759286664</c:v>
                </c:pt>
                <c:pt idx="65">
                  <c:v>22479.878300546716</c:v>
                </c:pt>
                <c:pt idx="66">
                  <c:v>22421.924633985891</c:v>
                </c:pt>
                <c:pt idx="67">
                  <c:v>22364.120373436024</c:v>
                </c:pt>
                <c:pt idx="68">
                  <c:v>22306.465133724516</c:v>
                </c:pt>
                <c:pt idx="69">
                  <c:v>22248.958530671753</c:v>
                </c:pt>
                <c:pt idx="70">
                  <c:v>22191.60018108855</c:v>
                </c:pt>
                <c:pt idx="71">
                  <c:v>22134.389702773602</c:v>
                </c:pt>
                <c:pt idx="72">
                  <c:v>22077.326714510935</c:v>
                </c:pt>
                <c:pt idx="73">
                  <c:v>22020.410836067364</c:v>
                </c:pt>
                <c:pt idx="74">
                  <c:v>21963.641688189957</c:v>
                </c:pt>
                <c:pt idx="75">
                  <c:v>21907.018892603515</c:v>
                </c:pt>
                <c:pt idx="76">
                  <c:v>21850.542072008044</c:v>
                </c:pt>
                <c:pt idx="77">
                  <c:v>21794.210850076241</c:v>
                </c:pt>
                <c:pt idx="78">
                  <c:v>21738.024851450991</c:v>
                </c:pt>
                <c:pt idx="79">
                  <c:v>21681.983701742865</c:v>
                </c:pt>
                <c:pt idx="80">
                  <c:v>21626.087027527621</c:v>
                </c:pt>
                <c:pt idx="81">
                  <c:v>21570.33445634372</c:v>
                </c:pt>
                <c:pt idx="82">
                  <c:v>21514.725616689837</c:v>
                </c:pt>
                <c:pt idx="83">
                  <c:v>21459.260138022393</c:v>
                </c:pt>
                <c:pt idx="84">
                  <c:v>21403.937650753083</c:v>
                </c:pt>
                <c:pt idx="85">
                  <c:v>21348.757786246413</c:v>
                </c:pt>
                <c:pt idx="86">
                  <c:v>21293.720176817245</c:v>
                </c:pt>
                <c:pt idx="87">
                  <c:v>21238.82445572834</c:v>
                </c:pt>
                <c:pt idx="88">
                  <c:v>21184.070257187926</c:v>
                </c:pt>
                <c:pt idx="89">
                  <c:v>21129.457216347251</c:v>
                </c:pt>
                <c:pt idx="90">
                  <c:v>21074.984969298152</c:v>
                </c:pt>
                <c:pt idx="91">
                  <c:v>21020.653153070634</c:v>
                </c:pt>
                <c:pt idx="92">
                  <c:v>20966.461405630453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793600"/>
        <c:axId val="174261760"/>
      </c:scatterChart>
      <c:valAx>
        <c:axId val="150793600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4261760"/>
        <c:crosses val="autoZero"/>
        <c:crossBetween val="midCat"/>
      </c:valAx>
      <c:valAx>
        <c:axId val="174261760"/>
        <c:scaling>
          <c:orientation val="minMax"/>
          <c:min val="15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507936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5009.5519772481257</c:v>
                </c:pt>
                <c:pt idx="2">
                  <c:v>5008.0631243862626</c:v>
                </c:pt>
                <c:pt idx="3">
                  <c:v>5006.5094254003761</c:v>
                </c:pt>
                <c:pt idx="4">
                  <c:v>5004.8910856570219</c:v>
                </c:pt>
                <c:pt idx="5">
                  <c:v>5003.208327794513</c:v>
                </c:pt>
                <c:pt idx="6">
                  <c:v>5001.4613909196723</c:v>
                </c:pt>
                <c:pt idx="7">
                  <c:v>4999.6505298321681</c:v>
                </c:pt>
                <c:pt idx="8">
                  <c:v>4997.7760142755233</c:v>
                </c:pt>
                <c:pt idx="9">
                  <c:v>4995.8381282140299</c:v>
                </c:pt>
                <c:pt idx="10">
                  <c:v>4993.8371691346956</c:v>
                </c:pt>
                <c:pt idx="11">
                  <c:v>4991.7734473735054</c:v>
                </c:pt>
                <c:pt idx="12">
                  <c:v>4989.6472854651875</c:v>
                </c:pt>
                <c:pt idx="13">
                  <c:v>4987.4590175157819</c:v>
                </c:pt>
                <c:pt idx="14">
                  <c:v>4985.2089885972782</c:v>
                </c:pt>
                <c:pt idx="15">
                  <c:v>4982.8975541636373</c:v>
                </c:pt>
                <c:pt idx="16">
                  <c:v>4980.5250794875255</c:v>
                </c:pt>
                <c:pt idx="17">
                  <c:v>4978.0919391171055</c:v>
                </c:pt>
                <c:pt idx="18">
                  <c:v>4975.5985163522446</c:v>
                </c:pt>
                <c:pt idx="19">
                  <c:v>4973.0452027395468</c:v>
                </c:pt>
                <c:pt idx="20">
                  <c:v>4970.4323975855914</c:v>
                </c:pt>
                <c:pt idx="21">
                  <c:v>4967.7605074878056</c:v>
                </c:pt>
                <c:pt idx="22">
                  <c:v>4965.0299458824193</c:v>
                </c:pt>
                <c:pt idx="23">
                  <c:v>4962.2411326089541</c:v>
                </c:pt>
                <c:pt idx="24">
                  <c:v>4959.3944934907031</c:v>
                </c:pt>
                <c:pt idx="25">
                  <c:v>4956.4904599307256</c:v>
                </c:pt>
                <c:pt idx="26">
                  <c:v>4953.5294685228137</c:v>
                </c:pt>
                <c:pt idx="27">
                  <c:v>4950.5119606769968</c:v>
                </c:pt>
                <c:pt idx="28">
                  <c:v>4947.4383822590753</c:v>
                </c:pt>
                <c:pt idx="29">
                  <c:v>4944.3091832437613</c:v>
                </c:pt>
                <c:pt idx="30">
                  <c:v>4941.1248173809709</c:v>
                </c:pt>
                <c:pt idx="31">
                  <c:v>4937.8857418748466</c:v>
                </c:pt>
                <c:pt idx="32">
                  <c:v>4934.5924170751023</c:v>
                </c:pt>
                <c:pt idx="33">
                  <c:v>4931.2453061802635</c:v>
                </c:pt>
                <c:pt idx="34">
                  <c:v>4927.8448749524678</c:v>
                </c:pt>
                <c:pt idx="35">
                  <c:v>4924.3915914433965</c:v>
                </c:pt>
                <c:pt idx="36">
                  <c:v>4920.8859257309814</c:v>
                </c:pt>
                <c:pt idx="37">
                  <c:v>4917.3283496665754</c:v>
                </c:pt>
                <c:pt idx="38">
                  <c:v>4913.7193366321808</c:v>
                </c:pt>
                <c:pt idx="39">
                  <c:v>4910.0593613074489</c:v>
                </c:pt>
                <c:pt idx="40">
                  <c:v>4906.3488994461095</c:v>
                </c:pt>
                <c:pt idx="41">
                  <c:v>4902.5884276615143</c:v>
                </c:pt>
                <c:pt idx="42">
                  <c:v>4898.7784232210142</c:v>
                </c:pt>
                <c:pt idx="43">
                  <c:v>4894.9193638488323</c:v>
                </c:pt>
                <c:pt idx="44">
                  <c:v>4891.0117275371958</c:v>
                </c:pt>
                <c:pt idx="45">
                  <c:v>4887.0559923654309</c:v>
                </c:pt>
                <c:pt idx="46">
                  <c:v>4883.0526363267218</c:v>
                </c:pt>
                <c:pt idx="47">
                  <c:v>4879.0021371623498</c:v>
                </c:pt>
                <c:pt idx="48">
                  <c:v>4874.9049722030759</c:v>
                </c:pt>
                <c:pt idx="49">
                  <c:v>4870.761618217477</c:v>
                </c:pt>
                <c:pt idx="50">
                  <c:v>4866.5725512669924</c:v>
                </c:pt>
                <c:pt idx="51">
                  <c:v>4862.3382465674313</c:v>
                </c:pt>
                <c:pt idx="52">
                  <c:v>4858.0591783567397</c:v>
                </c:pt>
                <c:pt idx="53">
                  <c:v>4853.7358197688027</c:v>
                </c:pt>
                <c:pt idx="54">
                  <c:v>4849.368642713077</c:v>
                </c:pt>
                <c:pt idx="55">
                  <c:v>4844.9581177598511</c:v>
                </c:pt>
                <c:pt idx="56">
                  <c:v>4840.5047140309362</c:v>
                </c:pt>
                <c:pt idx="57">
                  <c:v>4836.0088990955983</c:v>
                </c:pt>
                <c:pt idx="58">
                  <c:v>4831.4711388715559</c:v>
                </c:pt>
                <c:pt idx="59">
                  <c:v>4826.8918975308534</c:v>
                </c:pt>
                <c:pt idx="60">
                  <c:v>4822.2716374104484</c:v>
                </c:pt>
                <c:pt idx="61">
                  <c:v>4817.6108189273409</c:v>
                </c:pt>
                <c:pt idx="62">
                  <c:v>4812.9099004980835</c:v>
                </c:pt>
                <c:pt idx="63">
                  <c:v>4808.1693384625187</c:v>
                </c:pt>
                <c:pt idx="64">
                  <c:v>4803.3895870115912</c:v>
                </c:pt>
                <c:pt idx="65">
                  <c:v>4798.5710981190841</c:v>
                </c:pt>
                <c:pt idx="66">
                  <c:v>4793.7143214771504</c:v>
                </c:pt>
                <c:pt idx="67">
                  <c:v>4788.8197044354829</c:v>
                </c:pt>
                <c:pt idx="68">
                  <c:v>4783.8876919440027</c:v>
                </c:pt>
                <c:pt idx="69">
                  <c:v>4778.9187264989423</c:v>
                </c:pt>
                <c:pt idx="70">
                  <c:v>4773.913248092178</c:v>
                </c:pt>
                <c:pt idx="71">
                  <c:v>4768.8716941637213</c:v>
                </c:pt>
                <c:pt idx="72">
                  <c:v>4763.7944995572134</c:v>
                </c:pt>
                <c:pt idx="73">
                  <c:v>4758.6820964783583</c:v>
                </c:pt>
                <c:pt idx="74">
                  <c:v>4753.5349144561342</c:v>
                </c:pt>
                <c:pt idx="75">
                  <c:v>4748.3533803067176</c:v>
                </c:pt>
                <c:pt idx="76">
                  <c:v>4743.1379180999966</c:v>
                </c:pt>
                <c:pt idx="77">
                  <c:v>4737.8889491285854</c:v>
                </c:pt>
                <c:pt idx="78">
                  <c:v>4732.606891879228</c:v>
                </c:pt>
                <c:pt idx="79">
                  <c:v>4727.2921620065226</c:v>
                </c:pt>
                <c:pt idx="80">
                  <c:v>4721.9451723088514</c:v>
                </c:pt>
                <c:pt idx="81">
                  <c:v>4716.5663327064503</c:v>
                </c:pt>
                <c:pt idx="82">
                  <c:v>4711.1560502215316</c:v>
                </c:pt>
                <c:pt idx="83">
                  <c:v>4705.7147289603436</c:v>
                </c:pt>
                <c:pt idx="84">
                  <c:v>4700.2427700971612</c:v>
                </c:pt>
                <c:pt idx="85">
                  <c:v>4694.7405718600521</c:v>
                </c:pt>
                <c:pt idx="86">
                  <c:v>4689.2085295184024</c:v>
                </c:pt>
                <c:pt idx="87">
                  <c:v>4683.6470353721052</c:v>
                </c:pt>
                <c:pt idx="88">
                  <c:v>4678.0564787423355</c:v>
                </c:pt>
                <c:pt idx="89">
                  <c:v>4672.437245963888</c:v>
                </c:pt>
                <c:pt idx="90">
                  <c:v>4666.7897203789498</c:v>
                </c:pt>
                <c:pt idx="91">
                  <c:v>4661.114282332308</c:v>
                </c:pt>
                <c:pt idx="92">
                  <c:v>4655.4113091678892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305280"/>
        <c:axId val="174307200"/>
      </c:scatterChart>
      <c:valAx>
        <c:axId val="174305280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4307200"/>
        <c:crosses val="autoZero"/>
        <c:crossBetween val="midCat"/>
      </c:valAx>
      <c:valAx>
        <c:axId val="174307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43052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1"/>
          <c:order val="0"/>
          <c:tx>
            <c:strRef>
              <c:f>mod.RK1!$K$1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3456.2842968609007</c:v>
                </c:pt>
                <c:pt idx="2">
                  <c:v>3450.9376391538235</c:v>
                </c:pt>
                <c:pt idx="3">
                  <c:v>3445.5432887122533</c:v>
                </c:pt>
                <c:pt idx="4">
                  <c:v>3440.1024063157511</c:v>
                </c:pt>
                <c:pt idx="5">
                  <c:v>3434.6161324215141</c:v>
                </c:pt>
                <c:pt idx="6">
                  <c:v>3429.0855875132534</c:v>
                </c:pt>
                <c:pt idx="7">
                  <c:v>3423.5118724436561</c:v>
                </c:pt>
                <c:pt idx="8">
                  <c:v>3417.8960687705739</c:v>
                </c:pt>
                <c:pt idx="9">
                  <c:v>3412.2392390870632</c:v>
                </c:pt>
                <c:pt idx="10">
                  <c:v>3406.54242734541</c:v>
                </c:pt>
                <c:pt idx="11">
                  <c:v>3400.8066591752618</c:v>
                </c:pt>
                <c:pt idx="12">
                  <c:v>3395.0329421959868</c:v>
                </c:pt>
                <c:pt idx="13">
                  <c:v>3389.2222663233852</c:v>
                </c:pt>
                <c:pt idx="14">
                  <c:v>3383.3756040708636</c:v>
                </c:pt>
                <c:pt idx="15">
                  <c:v>3377.4939108451867</c:v>
                </c:pt>
                <c:pt idx="16">
                  <c:v>3371.5781252369206</c:v>
                </c:pt>
                <c:pt idx="17">
                  <c:v>3365.6291693056701</c:v>
                </c:pt>
                <c:pt idx="18">
                  <c:v>3359.6479488602213</c:v>
                </c:pt>
                <c:pt idx="19">
                  <c:v>3353.6353537336872</c:v>
                </c:pt>
                <c:pt idx="20">
                  <c:v>3347.5922580537613</c:v>
                </c:pt>
                <c:pt idx="21">
                  <c:v>3341.5195205081736</c:v>
                </c:pt>
                <c:pt idx="22">
                  <c:v>3335.4179846054481</c:v>
                </c:pt>
                <c:pt idx="23">
                  <c:v>3329.2884789310533</c:v>
                </c:pt>
                <c:pt idx="24">
                  <c:v>3323.1318173990376</c:v>
                </c:pt>
                <c:pt idx="25">
                  <c:v>3316.9487994992387</c:v>
                </c:pt>
                <c:pt idx="26">
                  <c:v>3310.7402105401566</c:v>
                </c:pt>
                <c:pt idx="27">
                  <c:v>3304.5068218875704</c:v>
                </c:pt>
                <c:pt idx="28">
                  <c:v>3298.2493911989882</c:v>
                </c:pt>
                <c:pt idx="29">
                  <c:v>3291.9686626540051</c:v>
                </c:pt>
                <c:pt idx="30">
                  <c:v>3285.6653671806562</c:v>
                </c:pt>
                <c:pt idx="31">
                  <c:v>3279.3402226778344</c:v>
                </c:pt>
                <c:pt idx="32">
                  <c:v>3272.9939342338557</c:v>
                </c:pt>
                <c:pt idx="33">
                  <c:v>3266.6271943412403</c:v>
                </c:pt>
                <c:pt idx="34">
                  <c:v>3260.2406831077878</c:v>
                </c:pt>
                <c:pt idx="35">
                  <c:v>3253.8350684640136</c:v>
                </c:pt>
                <c:pt idx="36">
                  <c:v>3247.4110063670155</c:v>
                </c:pt>
                <c:pt idx="37">
                  <c:v>3240.9691410008409</c:v>
                </c:pt>
                <c:pt idx="38">
                  <c:v>3234.5101049734199</c:v>
                </c:pt>
                <c:pt idx="39">
                  <c:v>3228.0345195101272</c:v>
                </c:pt>
                <c:pt idx="40">
                  <c:v>3221.5429946440399</c:v>
                </c:pt>
                <c:pt idx="41">
                  <c:v>3215.0361294029485</c:v>
                </c:pt>
                <c:pt idx="42">
                  <c:v>3208.5145119931867</c:v>
                </c:pt>
                <c:pt idx="43">
                  <c:v>3201.9787199803345</c:v>
                </c:pt>
                <c:pt idx="44">
                  <c:v>3195.429320466857</c:v>
                </c:pt>
                <c:pt idx="45">
                  <c:v>3188.8668702667333</c:v>
                </c:pt>
                <c:pt idx="46">
                  <c:v>3182.2919160771294</c:v>
                </c:pt>
                <c:pt idx="47">
                  <c:v>3175.7049946471752</c:v>
                </c:pt>
                <c:pt idx="48">
                  <c:v>3169.1066329438913</c:v>
                </c:pt>
                <c:pt idx="49">
                  <c:v>3162.497348315324</c:v>
                </c:pt>
                <c:pt idx="50">
                  <c:v>3155.877648650936</c:v>
                </c:pt>
                <c:pt idx="51">
                  <c:v>3149.2480325393026</c:v>
                </c:pt>
                <c:pt idx="52">
                  <c:v>3142.6089894231654</c:v>
                </c:pt>
                <c:pt idx="53">
                  <c:v>3135.9609997518878</c:v>
                </c:pt>
                <c:pt idx="54">
                  <c:v>3129.3045351313599</c:v>
                </c:pt>
                <c:pt idx="55">
                  <c:v>3122.6400584714002</c:v>
                </c:pt>
                <c:pt idx="56">
                  <c:v>3115.9680241306987</c:v>
                </c:pt>
                <c:pt idx="57">
                  <c:v>3109.2888780593416</c:v>
                </c:pt>
                <c:pt idx="58">
                  <c:v>3102.6030579389676</c:v>
                </c:pt>
                <c:pt idx="59">
                  <c:v>3095.9109933205914</c:v>
                </c:pt>
                <c:pt idx="60">
                  <c:v>3089.2131057601382</c:v>
                </c:pt>
                <c:pt idx="61">
                  <c:v>3082.5098089517328</c:v>
                </c:pt>
                <c:pt idx="62">
                  <c:v>3075.8015088587758</c:v>
                </c:pt>
                <c:pt idx="63">
                  <c:v>3069.0886038428548</c:v>
                </c:pt>
                <c:pt idx="64">
                  <c:v>3062.3714847905185</c:v>
                </c:pt>
                <c:pt idx="65">
                  <c:v>3055.6505352379609</c:v>
                </c:pt>
                <c:pt idx="66">
                  <c:v>3048.9261314936452</c:v>
                </c:pt>
                <c:pt idx="67">
                  <c:v>3042.1986427589068</c:v>
                </c:pt>
                <c:pt idx="68">
                  <c:v>3035.4684312465683</c:v>
                </c:pt>
                <c:pt idx="69">
                  <c:v>3028.7358522976028</c:v>
                </c:pt>
                <c:pt idx="70">
                  <c:v>3022.001254495879</c:v>
                </c:pt>
                <c:pt idx="71">
                  <c:v>3015.26497978102</c:v>
                </c:pt>
                <c:pt idx="72">
                  <c:v>3008.5273635594071</c:v>
                </c:pt>
                <c:pt idx="73">
                  <c:v>3001.7887348133677</c:v>
                </c:pt>
                <c:pt idx="74">
                  <c:v>2995.049416208567</c:v>
                </c:pt>
                <c:pt idx="75">
                  <c:v>2988.3097241996438</c:v>
                </c:pt>
                <c:pt idx="76">
                  <c:v>2981.5699691341165</c:v>
                </c:pt>
                <c:pt idx="77">
                  <c:v>2974.8304553545868</c:v>
                </c:pt>
                <c:pt idx="78">
                  <c:v>2968.091481299276</c:v>
                </c:pt>
                <c:pt idx="79">
                  <c:v>2961.3533396009157</c:v>
                </c:pt>
                <c:pt idx="80">
                  <c:v>2954.6163171840235</c:v>
                </c:pt>
                <c:pt idx="81">
                  <c:v>2947.8806953605936</c:v>
                </c:pt>
                <c:pt idx="82">
                  <c:v>2941.1467499242235</c:v>
                </c:pt>
                <c:pt idx="83">
                  <c:v>2934.4147512427066</c:v>
                </c:pt>
                <c:pt idx="84">
                  <c:v>2927.6849643491178</c:v>
                </c:pt>
                <c:pt idx="85">
                  <c:v>2920.957649031413</c:v>
                </c:pt>
                <c:pt idx="86">
                  <c:v>2914.2330599205716</c:v>
                </c:pt>
                <c:pt idx="87">
                  <c:v>2907.511446577304</c:v>
                </c:pt>
                <c:pt idx="88">
                  <c:v>2900.793053577348</c:v>
                </c:pt>
                <c:pt idx="89">
                  <c:v>2894.0781205953781</c:v>
                </c:pt>
                <c:pt idx="90">
                  <c:v>2887.3668824875526</c:v>
                </c:pt>
                <c:pt idx="91">
                  <c:v>2880.6595693727168</c:v>
                </c:pt>
                <c:pt idx="92">
                  <c:v>2873.9564067122888</c:v>
                </c:pt>
                <c:pt idx="93">
                  <c:v>2867.2576153888476</c:v>
                </c:pt>
                <c:pt idx="94">
                  <c:v>2860.5634117834452</c:v>
                </c:pt>
                <c:pt idx="95">
                  <c:v>2853.8740078516621</c:v>
                </c:pt>
                <c:pt idx="96">
                  <c:v>2847.1896111984324</c:v>
                </c:pt>
                <c:pt idx="97">
                  <c:v>2840.5104251516514</c:v>
                </c:pt>
                <c:pt idx="98">
                  <c:v>2833.8366488345905</c:v>
                </c:pt>
                <c:pt idx="99">
                  <c:v>2827.1684772371382</c:v>
                </c:pt>
                <c:pt idx="100">
                  <c:v>2820.5061012858851</c:v>
                </c:pt>
                <c:pt idx="101">
                  <c:v>2813.8497079130725</c:v>
                </c:pt>
                <c:pt idx="102">
                  <c:v>2807.1994801244241</c:v>
                </c:pt>
                <c:pt idx="103">
                  <c:v>2800.5555970658766</c:v>
                </c:pt>
                <c:pt idx="104">
                  <c:v>2793.9182340892303</c:v>
                </c:pt>
                <c:pt idx="105">
                  <c:v>2787.2875628167349</c:v>
                </c:pt>
                <c:pt idx="106">
                  <c:v>2780.6637512046286</c:v>
                </c:pt>
                <c:pt idx="107">
                  <c:v>2774.0469636056473</c:v>
                </c:pt>
                <c:pt idx="108">
                  <c:v>2767.4373608305204</c:v>
                </c:pt>
                <c:pt idx="109">
                  <c:v>2760.8351002084719</c:v>
                </c:pt>
                <c:pt idx="110">
                  <c:v>2754.2403356467371</c:v>
                </c:pt>
                <c:pt idx="111">
                  <c:v>2747.6532176891192</c:v>
                </c:pt>
                <c:pt idx="112">
                  <c:v>2741.0738935735931</c:v>
                </c:pt>
                <c:pt idx="113">
                  <c:v>2734.5025072889771</c:v>
                </c:pt>
                <c:pt idx="114">
                  <c:v>2727.9391996306858</c:v>
                </c:pt>
                <c:pt idx="115">
                  <c:v>2721.3841082555796</c:v>
                </c:pt>
                <c:pt idx="116">
                  <c:v>2714.8373677359218</c:v>
                </c:pt>
                <c:pt idx="117">
                  <c:v>2708.2991096124647</c:v>
                </c:pt>
                <c:pt idx="118">
                  <c:v>2701.7694624466722</c:v>
                </c:pt>
                <c:pt idx="119">
                  <c:v>2695.248551872095</c:v>
                </c:pt>
                <c:pt idx="120">
                  <c:v>2688.7365006449136</c:v>
                </c:pt>
                <c:pt idx="121">
                  <c:v>2682.2334286936602</c:v>
                </c:pt>
                <c:pt idx="122">
                  <c:v>2675.7394531681325</c:v>
                </c:pt>
                <c:pt idx="123">
                  <c:v>2669.2546884875155</c:v>
                </c:pt>
                <c:pt idx="124">
                  <c:v>2662.7792463877195</c:v>
                </c:pt>
                <c:pt idx="125">
                  <c:v>2656.3132359679498</c:v>
                </c:pt>
                <c:pt idx="126">
                  <c:v>2649.8567637365213</c:v>
                </c:pt>
                <c:pt idx="127">
                  <c:v>2643.4099336559252</c:v>
                </c:pt>
                <c:pt idx="128">
                  <c:v>2636.9728471871654</c:v>
                </c:pt>
                <c:pt idx="129">
                  <c:v>2630.5456033333735</c:v>
                </c:pt>
                <c:pt idx="130">
                  <c:v>2624.1282986827132</c:v>
                </c:pt>
              </c:numCache>
            </c:numRef>
          </c:val>
        </c:ser>
        <c:ser>
          <c:idx val="2"/>
          <c:order val="1"/>
          <c:tx>
            <c:strRef>
              <c:f>mod.RK1!$M$1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1168.8582483754269</c:v>
                </c:pt>
                <c:pt idx="4">
                  <c:v>1173.5261769005106</c:v>
                </c:pt>
                <c:pt idx="5">
                  <c:v>1178.1401815217778</c:v>
                </c:pt>
                <c:pt idx="6">
                  <c:v>1182.7004760819004</c:v>
                </c:pt>
                <c:pt idx="7">
                  <c:v>1187.2072771298529</c:v>
                </c:pt>
                <c:pt idx="8">
                  <c:v>1191.6608038273787</c:v>
                </c:pt>
                <c:pt idx="9">
                  <c:v>1196.0612778573977</c:v>
                </c:pt>
                <c:pt idx="10">
                  <c:v>1200.4089233343134</c:v>
                </c:pt>
                <c:pt idx="11">
                  <c:v>1204.7039667161866</c:v>
                </c:pt>
                <c:pt idx="12">
                  <c:v>1208.9466367187397</c:v>
                </c:pt>
                <c:pt idx="13">
                  <c:v>1213.1371642311553</c:v>
                </c:pt>
                <c:pt idx="14">
                  <c:v>1217.2757822336362</c:v>
                </c:pt>
                <c:pt idx="15">
                  <c:v>1221.3627257166918</c:v>
                </c:pt>
                <c:pt idx="16">
                  <c:v>1225.3982316021209</c:v>
                </c:pt>
                <c:pt idx="17">
                  <c:v>1229.3825386656551</c:v>
                </c:pt>
                <c:pt idx="18">
                  <c:v>1233.3158874612345</c:v>
                </c:pt>
                <c:pt idx="19">
                  <c:v>1237.1985202468818</c:v>
                </c:pt>
                <c:pt idx="20">
                  <c:v>1241.0306809121473</c:v>
                </c:pt>
                <c:pt idx="21">
                  <c:v>1244.8126149070938</c:v>
                </c:pt>
                <c:pt idx="22">
                  <c:v>1248.5445691727912</c:v>
                </c:pt>
                <c:pt idx="23">
                  <c:v>1252.2267920732943</c:v>
                </c:pt>
                <c:pt idx="24">
                  <c:v>1255.8595333290741</c:v>
                </c:pt>
                <c:pt idx="25">
                  <c:v>1259.4430439518769</c:v>
                </c:pt>
                <c:pt idx="26">
                  <c:v>1262.9775761809819</c:v>
                </c:pt>
                <c:pt idx="27">
                  <c:v>1266.4633834208335</c:v>
                </c:pt>
                <c:pt idx="28">
                  <c:v>1269.9007201800198</c:v>
                </c:pt>
                <c:pt idx="29">
                  <c:v>1273.289842011575</c:v>
                </c:pt>
                <c:pt idx="30">
                  <c:v>1276.6310054545777</c:v>
                </c:pt>
                <c:pt idx="31">
                  <c:v>1279.9244679770215</c:v>
                </c:pt>
                <c:pt idx="32">
                  <c:v>1283.1704879199372</c:v>
                </c:pt>
                <c:pt idx="33">
                  <c:v>1286.3693244427363</c:v>
                </c:pt>
                <c:pt idx="34">
                  <c:v>1289.5212374697612</c:v>
                </c:pt>
                <c:pt idx="35">
                  <c:v>1292.6264876380119</c:v>
                </c:pt>
                <c:pt idx="36">
                  <c:v>1295.6853362460315</c:v>
                </c:pt>
                <c:pt idx="37">
                  <c:v>1298.6980452039277</c:v>
                </c:pt>
                <c:pt idx="38">
                  <c:v>1301.6648769845076</c:v>
                </c:pt>
                <c:pt idx="39">
                  <c:v>1304.5860945755076</c:v>
                </c:pt>
                <c:pt idx="40">
                  <c:v>1307.4619614328951</c:v>
                </c:pt>
                <c:pt idx="41">
                  <c:v>1310.2927414352232</c:v>
                </c:pt>
                <c:pt idx="42">
                  <c:v>1313.0786988390189</c:v>
                </c:pt>
                <c:pt idx="43">
                  <c:v>1315.8200982351837</c:v>
                </c:pt>
                <c:pt idx="44">
                  <c:v>1318.51720450639</c:v>
                </c:pt>
                <c:pt idx="45">
                  <c:v>1321.1702827854533</c:v>
                </c:pt>
                <c:pt idx="46">
                  <c:v>1323.7795984146603</c:v>
                </c:pt>
                <c:pt idx="47">
                  <c:v>1326.3454169060385</c:v>
                </c:pt>
                <c:pt idx="48">
                  <c:v>1328.8680039025462</c:v>
                </c:pt>
                <c:pt idx="49">
                  <c:v>1331.3476251401678</c:v>
                </c:pt>
                <c:pt idx="50">
                  <c:v>1333.7845464108959</c:v>
                </c:pt>
                <c:pt idx="51">
                  <c:v>1336.1790335265846</c:v>
                </c:pt>
                <c:pt idx="52">
                  <c:v>1338.5313522836564</c:v>
                </c:pt>
                <c:pt idx="53">
                  <c:v>1340.8417684286487</c:v>
                </c:pt>
                <c:pt idx="54">
                  <c:v>1343.1105476245816</c:v>
                </c:pt>
                <c:pt idx="55">
                  <c:v>1345.3379554181322</c:v>
                </c:pt>
                <c:pt idx="56">
                  <c:v>1347.5242572076022</c:v>
                </c:pt>
                <c:pt idx="57">
                  <c:v>1349.6697182116602</c:v>
                </c:pt>
                <c:pt idx="58">
                  <c:v>1351.7746034388481</c:v>
                </c:pt>
                <c:pt idx="59">
                  <c:v>1353.8391776578335</c:v>
                </c:pt>
                <c:pt idx="60">
                  <c:v>1355.8637053683965</c:v>
                </c:pt>
                <c:pt idx="61">
                  <c:v>1357.8484507731353</c:v>
                </c:pt>
                <c:pt idx="62">
                  <c:v>1359.7936777498785</c:v>
                </c:pt>
                <c:pt idx="63">
                  <c:v>1361.69964982479</c:v>
                </c:pt>
                <c:pt idx="64">
                  <c:v>1363.5666301461522</c:v>
                </c:pt>
                <c:pt idx="65">
                  <c:v>1365.3948814588173</c:v>
                </c:pt>
                <c:pt idx="66">
                  <c:v>1367.1846660793108</c:v>
                </c:pt>
                <c:pt idx="67">
                  <c:v>1368.9362458715775</c:v>
                </c:pt>
                <c:pt idx="68">
                  <c:v>1370.6498822233561</c:v>
                </c:pt>
                <c:pt idx="69">
                  <c:v>1372.3258360231716</c:v>
                </c:pt>
                <c:pt idx="70">
                  <c:v>1373.9643676379317</c:v>
                </c:pt>
                <c:pt idx="71">
                  <c:v>1375.5657368911179</c:v>
                </c:pt>
                <c:pt idx="72">
                  <c:v>1377.13020304156</c:v>
                </c:pt>
                <c:pt idx="73">
                  <c:v>1378.658024762779</c:v>
                </c:pt>
                <c:pt idx="74">
                  <c:v>1380.1494601228933</c:v>
                </c:pt>
                <c:pt idx="75">
                  <c:v>1381.6047665650724</c:v>
                </c:pt>
                <c:pt idx="76">
                  <c:v>1383.0242008885305</c:v>
                </c:pt>
                <c:pt idx="77">
                  <c:v>1384.4080192300478</c:v>
                </c:pt>
                <c:pt idx="78">
                  <c:v>1385.7564770460112</c:v>
                </c:pt>
                <c:pt idx="79">
                  <c:v>1387.0698290949624</c:v>
                </c:pt>
                <c:pt idx="80">
                  <c:v>1388.3483294206449</c:v>
                </c:pt>
                <c:pt idx="81">
                  <c:v>1389.5922313355395</c:v>
                </c:pt>
                <c:pt idx="82">
                  <c:v>1390.8017874048799</c:v>
                </c:pt>
                <c:pt idx="83">
                  <c:v>1391.9772494311364</c:v>
                </c:pt>
                <c:pt idx="84">
                  <c:v>1393.1188684389633</c:v>
                </c:pt>
                <c:pt idx="85">
                  <c:v>1394.2268946605952</c:v>
                </c:pt>
                <c:pt idx="86">
                  <c:v>1395.3015775216882</c:v>
                </c:pt>
                <c:pt idx="87">
                  <c:v>1396.3431656275948</c:v>
                </c:pt>
                <c:pt idx="88">
                  <c:v>1397.3519067500642</c:v>
                </c:pt>
                <c:pt idx="89">
                  <c:v>1398.3280478143613</c:v>
                </c:pt>
                <c:pt idx="90">
                  <c:v>1399.2718348867929</c:v>
                </c:pt>
                <c:pt idx="91">
                  <c:v>1400.1835131626369</c:v>
                </c:pt>
                <c:pt idx="92">
                  <c:v>1401.063326954463</c:v>
                </c:pt>
                <c:pt idx="93">
                  <c:v>1401.9115196808407</c:v>
                </c:pt>
                <c:pt idx="94">
                  <c:v>1402.7283338554232</c:v>
                </c:pt>
                <c:pt idx="95">
                  <c:v>1403.5140110764025</c:v>
                </c:pt>
                <c:pt idx="96">
                  <c:v>1404.2687920163269</c:v>
                </c:pt>
                <c:pt idx="97">
                  <c:v>1404.9929164122743</c:v>
                </c:pt>
                <c:pt idx="98">
                  <c:v>1405.6866230563739</c:v>
                </c:pt>
                <c:pt idx="99">
                  <c:v>1406.3501497866694</c:v>
                </c:pt>
                <c:pt idx="100">
                  <c:v>1406.9837334783156</c:v>
                </c:pt>
                <c:pt idx="101">
                  <c:v>1407.5876100351052</c:v>
                </c:pt>
                <c:pt idx="102">
                  <c:v>1408.1620143813143</c:v>
                </c:pt>
                <c:pt idx="103">
                  <c:v>1408.7071804538639</c:v>
                </c:pt>
                <c:pt idx="104">
                  <c:v>1409.2233411947889</c:v>
                </c:pt>
                <c:pt idx="105">
                  <c:v>1409.7107285440097</c:v>
                </c:pt>
                <c:pt idx="106">
                  <c:v>1410.1695734323994</c:v>
                </c:pt>
                <c:pt idx="107">
                  <c:v>1410.6001057751398</c:v>
                </c:pt>
                <c:pt idx="108">
                  <c:v>1411.0025544653627</c:v>
                </c:pt>
                <c:pt idx="109">
                  <c:v>1411.3771473680677</c:v>
                </c:pt>
                <c:pt idx="110">
                  <c:v>1411.7241113143123</c:v>
                </c:pt>
                <c:pt idx="111">
                  <c:v>1412.0436720956695</c:v>
                </c:pt>
                <c:pt idx="112">
                  <c:v>1412.3360544589452</c:v>
                </c:pt>
                <c:pt idx="113">
                  <c:v>1412.6014821011511</c:v>
                </c:pt>
                <c:pt idx="114">
                  <c:v>1412.8401776647286</c:v>
                </c:pt>
                <c:pt idx="115">
                  <c:v>1413.0523627330167</c:v>
                </c:pt>
                <c:pt idx="116">
                  <c:v>1413.2382578259596</c:v>
                </c:pt>
                <c:pt idx="117">
                  <c:v>1413.3980823960499</c:v>
                </c:pt>
                <c:pt idx="118">
                  <c:v>1413.5320548244997</c:v>
                </c:pt>
                <c:pt idx="119">
                  <c:v>1413.6403924176382</c:v>
                </c:pt>
                <c:pt idx="120">
                  <c:v>1413.7233114035278</c:v>
                </c:pt>
                <c:pt idx="121">
                  <c:v>1413.7810269287966</c:v>
                </c:pt>
                <c:pt idx="122">
                  <c:v>1413.8137530556805</c:v>
                </c:pt>
                <c:pt idx="123">
                  <c:v>1413.8217027592716</c:v>
                </c:pt>
                <c:pt idx="124">
                  <c:v>1413.8050879249681</c:v>
                </c:pt>
                <c:pt idx="125">
                  <c:v>1413.764119346122</c:v>
                </c:pt>
                <c:pt idx="126">
                  <c:v>1413.6990067218783</c:v>
                </c:pt>
                <c:pt idx="127">
                  <c:v>1413.6099586552041</c:v>
                </c:pt>
                <c:pt idx="128">
                  <c:v>1413.4971826511012</c:v>
                </c:pt>
                <c:pt idx="129">
                  <c:v>1413.3608851149991</c:v>
                </c:pt>
                <c:pt idx="130">
                  <c:v>1413.2012713513254</c:v>
                </c:pt>
              </c:numCache>
            </c:numRef>
          </c:val>
        </c:ser>
        <c:ser>
          <c:idx val="3"/>
          <c:order val="2"/>
          <c:tx>
            <c:strRef>
              <c:f>mod.RK1!$O$1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232.52995409516313</c:v>
                </c:pt>
                <c:pt idx="5">
                  <c:v>230.47772656672367</c:v>
                </c:pt>
                <c:pt idx="6">
                  <c:v>228.49975842358148</c:v>
                </c:pt>
                <c:pt idx="7">
                  <c:v>226.59378732254439</c:v>
                </c:pt>
                <c:pt idx="8">
                  <c:v>224.75761451907454</c:v>
                </c:pt>
                <c:pt idx="9">
                  <c:v>222.98910311204202</c:v>
                </c:pt>
                <c:pt idx="10">
                  <c:v>221.28617633684806</c:v>
                </c:pt>
                <c:pt idx="11">
                  <c:v>219.6468159055826</c:v>
                </c:pt>
                <c:pt idx="12">
                  <c:v>218.06906039291798</c:v>
                </c:pt>
                <c:pt idx="13">
                  <c:v>216.55100366647596</c:v>
                </c:pt>
                <c:pt idx="14">
                  <c:v>215.09079336044104</c:v>
                </c:pt>
                <c:pt idx="15">
                  <c:v>213.68662939122601</c:v>
                </c:pt>
                <c:pt idx="16">
                  <c:v>212.33676251402943</c:v>
                </c:pt>
                <c:pt idx="17">
                  <c:v>211.03949291915643</c:v>
                </c:pt>
                <c:pt idx="18">
                  <c:v>209.79316886700553</c:v>
                </c:pt>
                <c:pt idx="19">
                  <c:v>208.59618536065446</c:v>
                </c:pt>
                <c:pt idx="20">
                  <c:v>207.44698285500758</c:v>
                </c:pt>
                <c:pt idx="21">
                  <c:v>206.34404600149605</c:v>
                </c:pt>
                <c:pt idx="22">
                  <c:v>205.28590242734978</c:v>
                </c:pt>
                <c:pt idx="23">
                  <c:v>204.27112154848751</c:v>
                </c:pt>
                <c:pt idx="24">
                  <c:v>203.29831341509748</c:v>
                </c:pt>
                <c:pt idx="25">
                  <c:v>202.36612758900677</c:v>
                </c:pt>
                <c:pt idx="26">
                  <c:v>201.4732520519627</c:v>
                </c:pt>
                <c:pt idx="27">
                  <c:v>200.6184121439735</c:v>
                </c:pt>
                <c:pt idx="28">
                  <c:v>199.80036953087904</c:v>
                </c:pt>
                <c:pt idx="29">
                  <c:v>199.01792120034568</c:v>
                </c:pt>
                <c:pt idx="30">
                  <c:v>198.2698984855013</c:v>
                </c:pt>
                <c:pt idx="31">
                  <c:v>197.55516611544815</c:v>
                </c:pt>
                <c:pt idx="32">
                  <c:v>196.87262129191242</c:v>
                </c:pt>
                <c:pt idx="33">
                  <c:v>196.22119279130999</c:v>
                </c:pt>
                <c:pt idx="34">
                  <c:v>195.59984009152728</c:v>
                </c:pt>
                <c:pt idx="35">
                  <c:v>195.00755252273623</c:v>
                </c:pt>
                <c:pt idx="36">
                  <c:v>194.44334844158027</c:v>
                </c:pt>
                <c:pt idx="37">
                  <c:v>193.90627442808747</c:v>
                </c:pt>
                <c:pt idx="38">
                  <c:v>193.39540450468428</c:v>
                </c:pt>
                <c:pt idx="39">
                  <c:v>192.9098393767004</c:v>
                </c:pt>
                <c:pt idx="40">
                  <c:v>192.44870569377287</c:v>
                </c:pt>
                <c:pt idx="41">
                  <c:v>192.01115533157309</c:v>
                </c:pt>
                <c:pt idx="42">
                  <c:v>191.59636469329683</c:v>
                </c:pt>
                <c:pt idx="43">
                  <c:v>191.20353403037248</c:v>
                </c:pt>
                <c:pt idx="44">
                  <c:v>190.83188678185823</c:v>
                </c:pt>
                <c:pt idx="45">
                  <c:v>190.48066893201303</c:v>
                </c:pt>
                <c:pt idx="46">
                  <c:v>190.14914838554068</c:v>
                </c:pt>
                <c:pt idx="47">
                  <c:v>189.83661436002009</c:v>
                </c:pt>
                <c:pt idx="48">
                  <c:v>189.54237679504848</c:v>
                </c:pt>
                <c:pt idx="49">
                  <c:v>189.26576577763691</c:v>
                </c:pt>
                <c:pt idx="50">
                  <c:v>189.00613098341057</c:v>
                </c:pt>
                <c:pt idx="51">
                  <c:v>188.7628411331786</c:v>
                </c:pt>
                <c:pt idx="52">
                  <c:v>188.53528346445003</c:v>
                </c:pt>
                <c:pt idx="53">
                  <c:v>188.32286321748433</c:v>
                </c:pt>
                <c:pt idx="54">
                  <c:v>188.12500313547631</c:v>
                </c:pt>
                <c:pt idx="55">
                  <c:v>187.94114297848623</c:v>
                </c:pt>
                <c:pt idx="56">
                  <c:v>187.77073905073661</c:v>
                </c:pt>
                <c:pt idx="57">
                  <c:v>187.61326374090774</c:v>
                </c:pt>
                <c:pt idx="58">
                  <c:v>187.46820507507417</c:v>
                </c:pt>
                <c:pt idx="59">
                  <c:v>187.33506628193402</c:v>
                </c:pt>
                <c:pt idx="60">
                  <c:v>187.21336536999297</c:v>
                </c:pt>
                <c:pt idx="61">
                  <c:v>187.10263471637373</c:v>
                </c:pt>
                <c:pt idx="62">
                  <c:v>187.00242066693116</c:v>
                </c:pt>
                <c:pt idx="63">
                  <c:v>186.91228314736179</c:v>
                </c:pt>
                <c:pt idx="64">
                  <c:v>186.83179528500546</c:v>
                </c:pt>
                <c:pt idx="65">
                  <c:v>186.76054304104451</c:v>
                </c:pt>
                <c:pt idx="66">
                  <c:v>186.69812485281491</c:v>
                </c:pt>
                <c:pt idx="67">
                  <c:v>186.64415128595076</c:v>
                </c:pt>
                <c:pt idx="68">
                  <c:v>186.59824469609183</c:v>
                </c:pt>
                <c:pt idx="69">
                  <c:v>186.5600388998912</c:v>
                </c:pt>
                <c:pt idx="70">
                  <c:v>186.5291788550669</c:v>
                </c:pt>
                <c:pt idx="71">
                  <c:v>186.50532034924927</c:v>
                </c:pt>
                <c:pt idx="72">
                  <c:v>186.48812969738159</c:v>
                </c:pt>
                <c:pt idx="73">
                  <c:v>186.47728344743942</c:v>
                </c:pt>
                <c:pt idx="74">
                  <c:v>186.47246809423936</c:v>
                </c:pt>
                <c:pt idx="75">
                  <c:v>186.4733798011153</c:v>
                </c:pt>
                <c:pt idx="76">
                  <c:v>186.4797241292454</c:v>
                </c:pt>
                <c:pt idx="77">
                  <c:v>186.49121577441994</c:v>
                </c:pt>
                <c:pt idx="78">
                  <c:v>186.50757831104525</c:v>
                </c:pt>
                <c:pt idx="79">
                  <c:v>186.52854394318487</c:v>
                </c:pt>
                <c:pt idx="80">
                  <c:v>186.55385326244465</c:v>
                </c:pt>
                <c:pt idx="81">
                  <c:v>186.58325501251363</c:v>
                </c:pt>
                <c:pt idx="82">
                  <c:v>186.61650586017782</c:v>
                </c:pt>
                <c:pt idx="83">
                  <c:v>186.65337017262905</c:v>
                </c:pt>
                <c:pt idx="84">
                  <c:v>186.69361980089599</c:v>
                </c:pt>
                <c:pt idx="85">
                  <c:v>186.73703386922909</c:v>
                </c:pt>
                <c:pt idx="86">
                  <c:v>186.78339857027601</c:v>
                </c:pt>
                <c:pt idx="87">
                  <c:v>186.8325069658882</c:v>
                </c:pt>
                <c:pt idx="88">
                  <c:v>186.88415879340448</c:v>
                </c:pt>
                <c:pt idx="89">
                  <c:v>186.93816027726075</c:v>
                </c:pt>
                <c:pt idx="90">
                  <c:v>186.99432394577974</c:v>
                </c:pt>
                <c:pt idx="91">
                  <c:v>187.05246845299877</c:v>
                </c:pt>
                <c:pt idx="92">
                  <c:v>187.11241840539682</c:v>
                </c:pt>
                <c:pt idx="93">
                  <c:v>187.17400419338674</c:v>
                </c:pt>
                <c:pt idx="94">
                  <c:v>187.23706182744166</c:v>
                </c:pt>
                <c:pt idx="95">
                  <c:v>187.30143277872847</c:v>
                </c:pt>
                <c:pt idx="96">
                  <c:v>187.36696382412447</c:v>
                </c:pt>
                <c:pt idx="97">
                  <c:v>187.43350689549732</c:v>
                </c:pt>
                <c:pt idx="98">
                  <c:v>187.50091893313078</c:v>
                </c:pt>
                <c:pt idx="99">
                  <c:v>187.56906174318297</c:v>
                </c:pt>
                <c:pt idx="100">
                  <c:v>187.6378018590662</c:v>
                </c:pt>
                <c:pt idx="101">
                  <c:v>187.70701040664093</c:v>
                </c:pt>
                <c:pt idx="102">
                  <c:v>187.77656297311916</c:v>
                </c:pt>
                <c:pt idx="103">
                  <c:v>187.84633947957559</c:v>
                </c:pt>
                <c:pt idx="104">
                  <c:v>187.91622405696759</c:v>
                </c:pt>
                <c:pt idx="105">
                  <c:v>187.98610492556764</c:v>
                </c:pt>
                <c:pt idx="106">
                  <c:v>188.05587427771485</c:v>
                </c:pt>
                <c:pt idx="107">
                  <c:v>188.12542816379437</c:v>
                </c:pt>
                <c:pt idx="108">
                  <c:v>188.19466638135634</c:v>
                </c:pt>
                <c:pt idx="109">
                  <c:v>188.26349236728831</c:v>
                </c:pt>
                <c:pt idx="110">
                  <c:v>188.33181309295725</c:v>
                </c:pt>
                <c:pt idx="111">
                  <c:v>188.39953896223994</c:v>
                </c:pt>
                <c:pt idx="112">
                  <c:v>188.46658371236259</c:v>
                </c:pt>
                <c:pt idx="113">
                  <c:v>188.5328643174725</c:v>
                </c:pt>
                <c:pt idx="114">
                  <c:v>188.59830089486718</c:v>
                </c:pt>
                <c:pt idx="115">
                  <c:v>188.66281661380776</c:v>
                </c:pt>
                <c:pt idx="116">
                  <c:v>188.72633760684641</c:v>
                </c:pt>
                <c:pt idx="117">
                  <c:v>188.78879288359823</c:v>
                </c:pt>
                <c:pt idx="118">
                  <c:v>188.85011424689122</c:v>
                </c:pt>
                <c:pt idx="119">
                  <c:v>188.91023621122898</c:v>
                </c:pt>
                <c:pt idx="120">
                  <c:v>188.96909592350261</c:v>
                </c:pt>
                <c:pt idx="121">
                  <c:v>189.02663308589064</c:v>
                </c:pt>
                <c:pt idx="122">
                  <c:v>189.08278988088659</c:v>
                </c:pt>
                <c:pt idx="123">
                  <c:v>189.13751089839633</c:v>
                </c:pt>
                <c:pt idx="124">
                  <c:v>189.19074306484822</c:v>
                </c:pt>
                <c:pt idx="125">
                  <c:v>189.24243557426121</c:v>
                </c:pt>
                <c:pt idx="126">
                  <c:v>189.29253982121713</c:v>
                </c:pt>
                <c:pt idx="127">
                  <c:v>189.3410093356851</c:v>
                </c:pt>
                <c:pt idx="128">
                  <c:v>189.38779971964723</c:v>
                </c:pt>
                <c:pt idx="129">
                  <c:v>189.43286858547668</c:v>
                </c:pt>
                <c:pt idx="130">
                  <c:v>189.47617549601966</c:v>
                </c:pt>
              </c:numCache>
            </c:numRef>
          </c:val>
        </c:ser>
        <c:ser>
          <c:idx val="4"/>
          <c:order val="3"/>
          <c:tx>
            <c:strRef>
              <c:f>mod.RK1!$Q$1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82.665338887288598</c:v>
                </c:pt>
                <c:pt idx="2">
                  <c:v>83.139143339034092</c:v>
                </c:pt>
                <c:pt idx="3">
                  <c:v>83.601775776971252</c:v>
                </c:pt>
                <c:pt idx="4">
                  <c:v>84.053584983023967</c:v>
                </c:pt>
                <c:pt idx="5">
                  <c:v>84.494909457429046</c:v>
                </c:pt>
                <c:pt idx="6">
                  <c:v>84.926077702696361</c:v>
                </c:pt>
                <c:pt idx="7">
                  <c:v>85.347408499874405</c:v>
                </c:pt>
                <c:pt idx="8">
                  <c:v>85.759211177330144</c:v>
                </c:pt>
                <c:pt idx="9">
                  <c:v>86.161785872246469</c:v>
                </c:pt>
                <c:pt idx="10">
                  <c:v>86.555423785034634</c:v>
                </c:pt>
                <c:pt idx="11">
                  <c:v>86.940407426854009</c:v>
                </c:pt>
                <c:pt idx="12">
                  <c:v>87.317010860426166</c:v>
                </c:pt>
                <c:pt idx="13">
                  <c:v>87.685499934324994</c:v>
                </c:pt>
                <c:pt idx="14">
                  <c:v>88.046132510919904</c:v>
                </c:pt>
                <c:pt idx="15">
                  <c:v>88.399158688144013</c:v>
                </c:pt>
                <c:pt idx="16">
                  <c:v>88.744821015254885</c:v>
                </c:pt>
                <c:pt idx="17">
                  <c:v>89.083354702750384</c:v>
                </c:pt>
                <c:pt idx="18">
                  <c:v>89.414987826598264</c:v>
                </c:pt>
                <c:pt idx="19">
                  <c:v>89.739941526933251</c:v>
                </c:pt>
                <c:pt idx="20">
                  <c:v>90.058430201371721</c:v>
                </c:pt>
                <c:pt idx="21">
                  <c:v>90.370661693089573</c:v>
                </c:pt>
                <c:pt idx="22">
                  <c:v>90.676837473805051</c:v>
                </c:pt>
                <c:pt idx="23">
                  <c:v>90.977152821804594</c:v>
                </c:pt>
                <c:pt idx="24">
                  <c:v>91.271796995145678</c:v>
                </c:pt>
                <c:pt idx="25">
                  <c:v>91.560953400167293</c:v>
                </c:pt>
                <c:pt idx="26">
                  <c:v>91.844799755434892</c:v>
                </c:pt>
                <c:pt idx="27">
                  <c:v>92.123508251243422</c:v>
                </c:pt>
                <c:pt idx="28">
                  <c:v>92.397245704798451</c:v>
                </c:pt>
                <c:pt idx="29">
                  <c:v>92.666173711192286</c:v>
                </c:pt>
                <c:pt idx="30">
                  <c:v>92.930448790288764</c:v>
                </c:pt>
                <c:pt idx="31">
                  <c:v>93.190222529627292</c:v>
                </c:pt>
                <c:pt idx="32">
                  <c:v>93.445641723453718</c:v>
                </c:pt>
                <c:pt idx="33">
                  <c:v>93.696848507982622</c:v>
                </c:pt>
                <c:pt idx="34">
                  <c:v>93.943980492992893</c:v>
                </c:pt>
                <c:pt idx="35">
                  <c:v>94.187170889855551</c:v>
                </c:pt>
                <c:pt idx="36">
                  <c:v>94.426548636090274</c:v>
                </c:pt>
                <c:pt idx="37">
                  <c:v>94.662238516544164</c:v>
                </c:pt>
                <c:pt idx="38">
                  <c:v>94.894361281284077</c:v>
                </c:pt>
                <c:pt idx="39">
                  <c:v>95.123033760291165</c:v>
                </c:pt>
                <c:pt idx="40">
                  <c:v>95.348368975043812</c:v>
                </c:pt>
                <c:pt idx="41">
                  <c:v>95.570476247073131</c:v>
                </c:pt>
                <c:pt idx="42">
                  <c:v>95.789461303572409</c:v>
                </c:pt>
                <c:pt idx="43">
                  <c:v>96.005426380140179</c:v>
                </c:pt>
                <c:pt idx="44">
                  <c:v>96.218470320733999</c:v>
                </c:pt>
                <c:pt idx="45">
                  <c:v>96.428688674910362</c:v>
                </c:pt>
                <c:pt idx="46">
                  <c:v>96.636173792423619</c:v>
                </c:pt>
                <c:pt idx="47">
                  <c:v>96.841014915255286</c:v>
                </c:pt>
                <c:pt idx="48">
                  <c:v>97.043298267142887</c:v>
                </c:pt>
                <c:pt idx="49">
                  <c:v>97.24310714067569</c:v>
                </c:pt>
                <c:pt idx="50">
                  <c:v>97.440521982022858</c:v>
                </c:pt>
                <c:pt idx="51">
                  <c:v>97.635620473357832</c:v>
                </c:pt>
                <c:pt idx="52">
                  <c:v>97.82847761304086</c:v>
                </c:pt>
                <c:pt idx="53">
                  <c:v>98.019165793620147</c:v>
                </c:pt>
                <c:pt idx="54">
                  <c:v>98.207754877710215</c:v>
                </c:pt>
                <c:pt idx="55">
                  <c:v>98.394312271804722</c:v>
                </c:pt>
                <c:pt idx="56">
                  <c:v>98.578902998079187</c:v>
                </c:pt>
                <c:pt idx="57">
                  <c:v>98.761589764237769</c:v>
                </c:pt>
                <c:pt idx="58">
                  <c:v>98.942433031456702</c:v>
                </c:pt>
                <c:pt idx="59">
                  <c:v>99.121491080475579</c:v>
                </c:pt>
                <c:pt idx="60">
                  <c:v>99.298820075886226</c:v>
                </c:pt>
                <c:pt idx="61">
                  <c:v>99.474474128667666</c:v>
                </c:pt>
                <c:pt idx="62">
                  <c:v>99.648505357014329</c:v>
                </c:pt>
                <c:pt idx="63">
                  <c:v>99.820963945503351</c:v>
                </c:pt>
                <c:pt idx="64">
                  <c:v>99.991898202645601</c:v>
                </c:pt>
                <c:pt idx="65">
                  <c:v>100.16135461686386</c:v>
                </c:pt>
                <c:pt idx="66">
                  <c:v>100.32937791094037</c:v>
                </c:pt>
                <c:pt idx="67">
                  <c:v>100.49601109497495</c:v>
                </c:pt>
                <c:pt idx="68">
                  <c:v>100.66129551789358</c:v>
                </c:pt>
                <c:pt idx="69">
                  <c:v>100.82527091754645</c:v>
                </c:pt>
                <c:pt idx="70">
                  <c:v>100.98797546943328</c:v>
                </c:pt>
                <c:pt idx="71">
                  <c:v>101.14944583409284</c:v>
                </c:pt>
                <c:pt idx="72">
                  <c:v>101.30971720319245</c:v>
                </c:pt>
                <c:pt idx="73">
                  <c:v>101.46882334435234</c:v>
                </c:pt>
                <c:pt idx="74">
                  <c:v>101.62679664473896</c:v>
                </c:pt>
                <c:pt idx="75">
                  <c:v>101.78366815346006</c:v>
                </c:pt>
                <c:pt idx="76">
                  <c:v>101.93946762279388</c:v>
                </c:pt>
                <c:pt idx="77">
                  <c:v>102.09422354828362</c:v>
                </c:pt>
                <c:pt idx="78">
                  <c:v>102.24796320772758</c:v>
                </c:pt>
                <c:pt idx="79">
                  <c:v>102.40071269909478</c:v>
                </c:pt>
                <c:pt idx="80">
                  <c:v>102.55249697739465</c:v>
                </c:pt>
                <c:pt idx="81">
                  <c:v>102.70333989052898</c:v>
                </c:pt>
                <c:pt idx="82">
                  <c:v>102.85326421415338</c:v>
                </c:pt>
                <c:pt idx="83">
                  <c:v>103.00229168557483</c:v>
                </c:pt>
                <c:pt idx="84">
                  <c:v>103.15044303671102</c:v>
                </c:pt>
                <c:pt idx="85">
                  <c:v>103.29773802613695</c:v>
                </c:pt>
                <c:pt idx="86">
                  <c:v>103.44419547024283</c:v>
                </c:pt>
                <c:pt idx="87">
                  <c:v>103.58983327352749</c:v>
                </c:pt>
                <c:pt idx="88">
                  <c:v>103.73466845805021</c:v>
                </c:pt>
                <c:pt idx="89">
                  <c:v>103.87871719206368</c:v>
                </c:pt>
                <c:pt idx="90">
                  <c:v>104.02199481784989</c:v>
                </c:pt>
                <c:pt idx="91">
                  <c:v>104.16451587878052</c:v>
                </c:pt>
                <c:pt idx="92">
                  <c:v>104.30629414562237</c:v>
                </c:pt>
                <c:pt idx="93">
                  <c:v>104.44734264210824</c:v>
                </c:pt>
                <c:pt idx="94">
                  <c:v>104.58767366979282</c:v>
                </c:pt>
                <c:pt idx="95">
                  <c:v>104.72729883221295</c:v>
                </c:pt>
                <c:pt idx="96">
                  <c:v>104.86622905837061</c:v>
                </c:pt>
                <c:pt idx="97">
                  <c:v>105.00447462555695</c:v>
                </c:pt>
                <c:pt idx="98">
                  <c:v>105.14204518153512</c:v>
                </c:pt>
                <c:pt idx="99">
                  <c:v>105.27894976609883</c:v>
                </c:pt>
                <c:pt idx="100">
                  <c:v>105.41519683202355</c:v>
                </c:pt>
                <c:pt idx="101">
                  <c:v>105.55079426542662</c:v>
                </c:pt>
                <c:pt idx="102">
                  <c:v>105.68574940555204</c:v>
                </c:pt>
                <c:pt idx="103">
                  <c:v>105.8200690639954</c:v>
                </c:pt>
                <c:pt idx="104">
                  <c:v>105.95375954338395</c:v>
                </c:pt>
                <c:pt idx="105">
                  <c:v>106.08682665552642</c:v>
                </c:pt>
                <c:pt idx="106">
                  <c:v>106.21927573904684</c:v>
                </c:pt>
                <c:pt idx="107">
                  <c:v>106.3511116765161</c:v>
                </c:pt>
                <c:pt idx="108">
                  <c:v>106.48233891109486</c:v>
                </c:pt>
                <c:pt idx="109">
                  <c:v>106.61296146270072</c:v>
                </c:pt>
                <c:pt idx="110">
                  <c:v>106.74298294371269</c:v>
                </c:pt>
                <c:pt idx="111">
                  <c:v>106.87240657422502</c:v>
                </c:pt>
                <c:pt idx="112">
                  <c:v>107.00123519686282</c:v>
                </c:pt>
                <c:pt idx="113">
                  <c:v>107.12947129117099</c:v>
                </c:pt>
                <c:pt idx="114">
                  <c:v>107.25711698758805</c:v>
                </c:pt>
                <c:pt idx="115">
                  <c:v>107.38417408101596</c:v>
                </c:pt>
                <c:pt idx="116">
                  <c:v>107.51064404399671</c:v>
                </c:pt>
                <c:pt idx="117">
                  <c:v>107.63652803950642</c:v>
                </c:pt>
                <c:pt idx="118">
                  <c:v>107.76182693337705</c:v>
                </c:pt>
                <c:pt idx="119">
                  <c:v>107.88654130635581</c:v>
                </c:pt>
                <c:pt idx="120">
                  <c:v>108.01067146581197</c:v>
                </c:pt>
                <c:pt idx="121">
                  <c:v>108.13421745710059</c:v>
                </c:pt>
                <c:pt idx="122">
                  <c:v>108.25717907459239</c:v>
                </c:pt>
                <c:pt idx="123">
                  <c:v>108.37955587237865</c:v>
                </c:pt>
                <c:pt idx="124">
                  <c:v>108.50134717466005</c:v>
                </c:pt>
                <c:pt idx="125">
                  <c:v>108.62255208582782</c:v>
                </c:pt>
                <c:pt idx="126">
                  <c:v>108.7431695002455</c:v>
                </c:pt>
                <c:pt idx="127">
                  <c:v>108.86319811173946</c:v>
                </c:pt>
                <c:pt idx="128">
                  <c:v>108.98263642280595</c:v>
                </c:pt>
                <c:pt idx="129">
                  <c:v>109.10148275354234</c:v>
                </c:pt>
                <c:pt idx="130">
                  <c:v>109.21973525030995</c:v>
                </c:pt>
              </c:numCache>
            </c:numRef>
          </c:val>
        </c:ser>
        <c:ser>
          <c:idx val="5"/>
          <c:order val="4"/>
          <c:tx>
            <c:strRef>
              <c:f>mod.RK1!$S$1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52.572075145884575</c:v>
                </c:pt>
                <c:pt idx="6">
                  <c:v>52.633386209618394</c:v>
                </c:pt>
                <c:pt idx="7">
                  <c:v>52.685709242076655</c:v>
                </c:pt>
                <c:pt idx="8">
                  <c:v>52.729482959525278</c:v>
                </c:pt>
                <c:pt idx="9">
                  <c:v>52.765129968489596</c:v>
                </c:pt>
                <c:pt idx="10">
                  <c:v>52.793057281117669</c:v>
                </c:pt>
                <c:pt idx="11">
                  <c:v>52.813656815151624</c:v>
                </c:pt>
                <c:pt idx="12">
                  <c:v>52.82730587895086</c:v>
                </c:pt>
                <c:pt idx="13">
                  <c:v>52.834367641998348</c:v>
                </c:pt>
                <c:pt idx="14">
                  <c:v>52.835191591309005</c:v>
                </c:pt>
                <c:pt idx="15">
                  <c:v>52.830113974147402</c:v>
                </c:pt>
                <c:pt idx="16">
                  <c:v>52.819458227450262</c:v>
                </c:pt>
                <c:pt idx="17">
                  <c:v>52.803535394338361</c:v>
                </c:pt>
                <c:pt idx="18">
                  <c:v>52.782644528091126</c:v>
                </c:pt>
                <c:pt idx="19">
                  <c:v>52.757073083947034</c:v>
                </c:pt>
                <c:pt idx="20">
                  <c:v>52.72709729908231</c:v>
                </c:pt>
                <c:pt idx="21">
                  <c:v>52.692982561110618</c:v>
                </c:pt>
                <c:pt idx="22">
                  <c:v>52.654983765436569</c:v>
                </c:pt>
                <c:pt idx="23">
                  <c:v>52.61334566178656</c:v>
                </c:pt>
                <c:pt idx="24">
                  <c:v>52.56830319023117</c:v>
                </c:pt>
                <c:pt idx="25">
                  <c:v>52.520081807004388</c:v>
                </c:pt>
                <c:pt idx="26">
                  <c:v>52.468897800416414</c:v>
                </c:pt>
                <c:pt idx="27">
                  <c:v>52.414958597148178</c:v>
                </c:pt>
                <c:pt idx="28">
                  <c:v>52.358463059207615</c:v>
                </c:pt>
                <c:pt idx="29">
                  <c:v>52.299601771819781</c:v>
                </c:pt>
                <c:pt idx="30">
                  <c:v>52.238557322515042</c:v>
                </c:pt>
                <c:pt idx="31">
                  <c:v>52.175504571672192</c:v>
                </c:pt>
                <c:pt idx="32">
                  <c:v>52.11061091476595</c:v>
                </c:pt>
                <c:pt idx="33">
                  <c:v>52.044036536561165</c:v>
                </c:pt>
                <c:pt idx="34">
                  <c:v>51.975934657489248</c:v>
                </c:pt>
                <c:pt idx="35">
                  <c:v>51.906451772435503</c:v>
                </c:pt>
                <c:pt idx="36">
                  <c:v>51.835727882159617</c:v>
                </c:pt>
                <c:pt idx="37">
                  <c:v>51.763896717565181</c:v>
                </c:pt>
                <c:pt idx="38">
                  <c:v>51.691085957027951</c:v>
                </c:pt>
                <c:pt idx="39">
                  <c:v>51.61741743698655</c:v>
                </c:pt>
                <c:pt idx="40">
                  <c:v>51.543007355993566</c:v>
                </c:pt>
                <c:pt idx="41">
                  <c:v>51.46796647241927</c:v>
                </c:pt>
                <c:pt idx="42">
                  <c:v>51.392400295994669</c:v>
                </c:pt>
                <c:pt idx="43">
                  <c:v>51.316409273375363</c:v>
                </c:pt>
                <c:pt idx="44">
                  <c:v>51.240088967902409</c:v>
                </c:pt>
                <c:pt idx="45">
                  <c:v>51.163530233731343</c:v>
                </c:pt>
                <c:pt idx="46">
                  <c:v>51.086819384495627</c:v>
                </c:pt>
                <c:pt idx="47">
                  <c:v>51.010038356666094</c:v>
                </c:pt>
                <c:pt idx="48">
                  <c:v>50.933264867763164</c:v>
                </c:pt>
                <c:pt idx="49">
                  <c:v>50.856572569574311</c:v>
                </c:pt>
                <c:pt idx="50">
                  <c:v>50.780031196524703</c:v>
                </c:pt>
                <c:pt idx="51">
                  <c:v>50.703706709344836</c:v>
                </c:pt>
                <c:pt idx="52">
                  <c:v>50.62766143417474</c:v>
                </c:pt>
                <c:pt idx="53">
                  <c:v>50.551954197240399</c:v>
                </c:pt>
                <c:pt idx="54">
                  <c:v>50.47664045523409</c:v>
                </c:pt>
                <c:pt idx="55">
                  <c:v>50.401772421526594</c:v>
                </c:pt>
                <c:pt idx="56">
                  <c:v>50.327399188335484</c:v>
                </c:pt>
                <c:pt idx="57">
                  <c:v>50.25356684497018</c:v>
                </c:pt>
                <c:pt idx="58">
                  <c:v>50.180318592270986</c:v>
                </c:pt>
                <c:pt idx="59">
                  <c:v>50.107694853355852</c:v>
                </c:pt>
                <c:pt idx="60">
                  <c:v>50.035733380785516</c:v>
                </c:pt>
                <c:pt idx="61">
                  <c:v>49.964469360254213</c:v>
                </c:pt>
                <c:pt idx="62">
                  <c:v>49.893935510910332</c:v>
                </c:pt>
                <c:pt idx="63">
                  <c:v>49.824162182408173</c:v>
                </c:pt>
                <c:pt idx="64">
                  <c:v>49.755177448789155</c:v>
                </c:pt>
                <c:pt idx="65">
                  <c:v>49.687007199287891</c:v>
                </c:pt>
                <c:pt idx="66">
                  <c:v>49.61967522615587</c:v>
                </c:pt>
                <c:pt idx="67">
                  <c:v>49.553203309592753</c:v>
                </c:pt>
                <c:pt idx="68">
                  <c:v>49.487611299872704</c:v>
                </c:pt>
                <c:pt idx="69">
                  <c:v>49.422917196750575</c:v>
                </c:pt>
                <c:pt idx="70">
                  <c:v>49.359137226230445</c:v>
                </c:pt>
                <c:pt idx="71">
                  <c:v>49.296285914776448</c:v>
                </c:pt>
                <c:pt idx="72">
                  <c:v>49.23437616104367</c:v>
                </c:pt>
                <c:pt idx="73">
                  <c:v>49.173419305204469</c:v>
                </c:pt>
                <c:pt idx="74">
                  <c:v>49.113425195943499</c:v>
                </c:pt>
                <c:pt idx="75">
                  <c:v>49.054402255192606</c:v>
                </c:pt>
                <c:pt idx="76">
                  <c:v>48.996357540674524</c:v>
                </c:pt>
                <c:pt idx="77">
                  <c:v>48.939296806322503</c:v>
                </c:pt>
                <c:pt idx="78">
                  <c:v>48.883224560640883</c:v>
                </c:pt>
                <c:pt idx="79">
                  <c:v>48.828144123069812</c:v>
                </c:pt>
                <c:pt idx="80">
                  <c:v>48.774057678415453</c:v>
                </c:pt>
                <c:pt idx="81">
                  <c:v>48.720966329405165</c:v>
                </c:pt>
                <c:pt idx="82">
                  <c:v>48.66887014742553</c:v>
                </c:pt>
                <c:pt idx="83">
                  <c:v>48.617768221499261</c:v>
                </c:pt>
                <c:pt idx="84">
                  <c:v>48.567658705555509</c:v>
                </c:pt>
                <c:pt idx="85">
                  <c:v>48.51853886404637</c:v>
                </c:pt>
                <c:pt idx="86">
                  <c:v>48.470405115961</c:v>
                </c:pt>
                <c:pt idx="87">
                  <c:v>48.423253077287036</c:v>
                </c:pt>
                <c:pt idx="88">
                  <c:v>48.377077601967741</c:v>
                </c:pt>
                <c:pt idx="89">
                  <c:v>48.331872821401781</c:v>
                </c:pt>
                <c:pt idx="90">
                  <c:v>48.287632182531134</c:v>
                </c:pt>
                <c:pt idx="91">
                  <c:v>48.244348484561414</c:v>
                </c:pt>
                <c:pt idx="92">
                  <c:v>48.202013914357408</c:v>
                </c:pt>
                <c:pt idx="93">
                  <c:v>48.160620080555518</c:v>
                </c:pt>
                <c:pt idx="94">
                  <c:v>48.120158046433481</c:v>
                </c:pt>
                <c:pt idx="95">
                  <c:v>48.080618361576619</c:v>
                </c:pt>
                <c:pt idx="96">
                  <c:v>48.041991092378559</c:v>
                </c:pt>
                <c:pt idx="97">
                  <c:v>48.004265851413479</c:v>
                </c:pt>
                <c:pt idx="98">
                  <c:v>47.967431825715586</c:v>
                </c:pt>
                <c:pt idx="99">
                  <c:v>47.931477804000671</c:v>
                </c:pt>
                <c:pt idx="100">
                  <c:v>47.896392202863396</c:v>
                </c:pt>
                <c:pt idx="101">
                  <c:v>47.862163091983092</c:v>
                </c:pt>
                <c:pt idx="102">
                  <c:v>47.828778218369798</c:v>
                </c:pt>
                <c:pt idx="103">
                  <c:v>47.796225029681359</c:v>
                </c:pt>
                <c:pt idx="104">
                  <c:v>47.764490696641438</c:v>
                </c:pt>
                <c:pt idx="105">
                  <c:v>47.733562134587459</c:v>
                </c:pt>
                <c:pt idx="106">
                  <c:v>47.703426024176615</c:v>
                </c:pt>
                <c:pt idx="107">
                  <c:v>47.674068831277211</c:v>
                </c:pt>
                <c:pt idx="108">
                  <c:v>47.645476826071793</c:v>
                </c:pt>
                <c:pt idx="109">
                  <c:v>47.617636101397778</c:v>
                </c:pt>
                <c:pt idx="110">
                  <c:v>47.590532590350449</c:v>
                </c:pt>
                <c:pt idx="111">
                  <c:v>47.564152083172502</c:v>
                </c:pt>
                <c:pt idx="112">
                  <c:v>47.538480243453542</c:v>
                </c:pt>
                <c:pt idx="113">
                  <c:v>47.513502623662255</c:v>
                </c:pt>
                <c:pt idx="114">
                  <c:v>47.489204680033325</c:v>
                </c:pt>
                <c:pt idx="115">
                  <c:v>47.465571786830395</c:v>
                </c:pt>
                <c:pt idx="116">
                  <c:v>47.442589250005888</c:v>
                </c:pt>
                <c:pt idx="117">
                  <c:v>47.420242320277687</c:v>
                </c:pt>
                <c:pt idx="118">
                  <c:v>47.398516205642238</c:v>
                </c:pt>
                <c:pt idx="119">
                  <c:v>47.37739608334293</c:v>
                </c:pt>
                <c:pt idx="120">
                  <c:v>47.35686711131207</c:v>
                </c:pt>
                <c:pt idx="121">
                  <c:v>47.336914439104234</c:v>
                </c:pt>
                <c:pt idx="122">
                  <c:v>47.317523218338209</c:v>
                </c:pt>
                <c:pt idx="123">
                  <c:v>47.298678612664212</c:v>
                </c:pt>
                <c:pt idx="124">
                  <c:v>47.280365807272553</c:v>
                </c:pt>
                <c:pt idx="125">
                  <c:v>47.262570017959476</c:v>
                </c:pt>
                <c:pt idx="126">
                  <c:v>47.245276499765367</c:v>
                </c:pt>
                <c:pt idx="127">
                  <c:v>47.228470555200026</c:v>
                </c:pt>
                <c:pt idx="128">
                  <c:v>47.212137542069328</c:v>
                </c:pt>
                <c:pt idx="129">
                  <c:v>47.196262880917153</c:v>
                </c:pt>
                <c:pt idx="130">
                  <c:v>47.180832062095909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340352"/>
        <c:axId val="174358528"/>
      </c:areaChart>
      <c:catAx>
        <c:axId val="174340352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74358528"/>
        <c:crosses val="autoZero"/>
        <c:auto val="1"/>
        <c:lblAlgn val="ctr"/>
        <c:lblOffset val="100"/>
        <c:noMultiLvlLbl val="0"/>
      </c:catAx>
      <c:valAx>
        <c:axId val="1743585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74340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1"/>
          <c:order val="0"/>
          <c:tx>
            <c:strRef>
              <c:f>mod.math.!$U$1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mod.math.!$R$2:$R$136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mod.math.!$U$2:$U$136</c:f>
              <c:numCache>
                <c:formatCode>0.00</c:formatCode>
                <c:ptCount val="135"/>
                <c:pt idx="0">
                  <c:v>3461.5820803761335</c:v>
                </c:pt>
                <c:pt idx="1">
                  <c:v>3456.2597393701708</c:v>
                </c:pt>
                <c:pt idx="2">
                  <c:v>3450.8876340835659</c:v>
                </c:pt>
                <c:pt idx="3">
                  <c:v>3445.4669795127925</c:v>
                </c:pt>
                <c:pt idx="4">
                  <c:v>3439.998969530167</c:v>
                </c:pt>
                <c:pt idx="5">
                  <c:v>3434.4847772245375</c:v>
                </c:pt>
                <c:pt idx="6">
                  <c:v>3428.9255552367636</c:v>
                </c:pt>
                <c:pt idx="7">
                  <c:v>3423.3224360900876</c:v>
                </c:pt>
                <c:pt idx="8">
                  <c:v>3417.6765325154483</c:v>
                </c:pt>
                <c:pt idx="9">
                  <c:v>3411.9889377718237</c:v>
                </c:pt>
                <c:pt idx="10">
                  <c:v>3406.260725961662</c:v>
                </c:pt>
                <c:pt idx="11">
                  <c:v>3400.4929523414785</c:v>
                </c:pt>
                <c:pt idx="12">
                  <c:v>3394.6866536276843</c:v>
                </c:pt>
                <c:pt idx="13">
                  <c:v>3388.8428482977147</c:v>
                </c:pt>
                <c:pt idx="14">
                  <c:v>3382.9625368865227</c:v>
                </c:pt>
                <c:pt idx="15">
                  <c:v>3377.0467022785115</c:v>
                </c:pt>
                <c:pt idx="16">
                  <c:v>3371.0963099949608</c:v>
                </c:pt>
                <c:pt idx="17">
                  <c:v>3365.1123084770197</c:v>
                </c:pt>
                <c:pt idx="18">
                  <c:v>3359.0956293643244</c:v>
                </c:pt>
                <c:pt idx="19">
                  <c:v>3353.0471877693121</c:v>
                </c:pt>
                <c:pt idx="20">
                  <c:v>3346.9678825472811</c:v>
                </c:pt>
                <c:pt idx="21">
                  <c:v>3340.8585965622697</c:v>
                </c:pt>
                <c:pt idx="22">
                  <c:v>3334.7201969488087</c:v>
                </c:pt>
                <c:pt idx="23">
                  <c:v>3328.5535353696091</c:v>
                </c:pt>
                <c:pt idx="24">
                  <c:v>3322.3594482692411</c:v>
                </c:pt>
                <c:pt idx="25">
                  <c:v>3316.1387571238706</c:v>
                </c:pt>
                <c:pt idx="26">
                  <c:v>3309.8922686871001</c:v>
                </c:pt>
                <c:pt idx="27">
                  <c:v>3303.6207752319788</c:v>
                </c:pt>
                <c:pt idx="28">
                  <c:v>3297.3250547892335</c:v>
                </c:pt>
                <c:pt idx="29">
                  <c:v>3291.0058713817821</c:v>
                </c:pt>
                <c:pt idx="30">
                  <c:v>3284.6639752555707</c:v>
                </c:pt>
                <c:pt idx="31">
                  <c:v>3278.3001031068084</c:v>
                </c:pt>
                <c:pt idx="32">
                  <c:v>3271.9149783056291</c:v>
                </c:pt>
                <c:pt idx="33">
                  <c:v>3265.5093111162573</c:v>
                </c:pt>
                <c:pt idx="34">
                  <c:v>3259.0837989137067</c:v>
                </c:pt>
                <c:pt idx="35">
                  <c:v>3252.6391263970827</c:v>
                </c:pt>
                <c:pt idx="36">
                  <c:v>3246.1759657995226</c:v>
                </c:pt>
                <c:pt idx="37">
                  <c:v>3239.6949770948358</c:v>
                </c:pt>
                <c:pt idx="38">
                  <c:v>3233.1968082008834</c:v>
                </c:pt>
                <c:pt idx="39">
                  <c:v>3226.682095179754</c:v>
                </c:pt>
                <c:pt idx="40">
                  <c:v>3220.1514624347774</c:v>
                </c:pt>
                <c:pt idx="41">
                  <c:v>3213.6055229044227</c:v>
                </c:pt>
                <c:pt idx="42">
                  <c:v>3207.044878253133</c:v>
                </c:pt>
                <c:pt idx="43">
                  <c:v>3200.4701190591418</c:v>
                </c:pt>
                <c:pt idx="44">
                  <c:v>3193.8818249993028</c:v>
                </c:pt>
                <c:pt idx="45">
                  <c:v>3187.2805650310024</c:v>
                </c:pt>
                <c:pt idx="46">
                  <c:v>3180.6668975711732</c:v>
                </c:pt>
                <c:pt idx="47">
                  <c:v>3174.0413706724717</c:v>
                </c:pt>
                <c:pt idx="48">
                  <c:v>3167.404522196648</c:v>
                </c:pt>
                <c:pt idx="49">
                  <c:v>3160.7568799851642</c:v>
                </c:pt>
                <c:pt idx="50">
                  <c:v>3154.0989620270848</c:v>
                </c:pt>
                <c:pt idx="51">
                  <c:v>3147.4312766243024</c:v>
                </c:pt>
                <c:pt idx="52">
                  <c:v>3140.7543225541167</c:v>
                </c:pt>
                <c:pt idx="53">
                  <c:v>3134.0685892292236</c:v>
                </c:pt>
                <c:pt idx="54">
                  <c:v>3127.3745568551453</c:v>
                </c:pt>
                <c:pt idx="55">
                  <c:v>3120.6726965851408</c:v>
                </c:pt>
                <c:pt idx="56">
                  <c:v>3113.9634706726392</c:v>
                </c:pt>
                <c:pt idx="57">
                  <c:v>3107.2473326212271</c:v>
                </c:pt>
                <c:pt idx="58">
                  <c:v>3100.5247273322348</c:v>
                </c:pt>
                <c:pt idx="59">
                  <c:v>3093.7960912499489</c:v>
                </c:pt>
                <c:pt idx="60">
                  <c:v>3087.0618525044956</c:v>
                </c:pt>
                <c:pt idx="61">
                  <c:v>3080.3224310524283</c:v>
                </c:pt>
                <c:pt idx="62">
                  <c:v>3073.5782388150474</c:v>
                </c:pt>
                <c:pt idx="63">
                  <c:v>3066.8296798145011</c:v>
                </c:pt>
                <c:pt idx="64">
                  <c:v>3060.077150307684</c:v>
                </c:pt>
                <c:pt idx="65">
                  <c:v>3053.3210389179831</c:v>
                </c:pt>
                <c:pt idx="66">
                  <c:v>3046.5617267648945</c:v>
                </c:pt>
                <c:pt idx="67">
                  <c:v>3039.7995875915458</c:v>
                </c:pt>
                <c:pt idx="68">
                  <c:v>3033.0349878901566</c:v>
                </c:pt>
                <c:pt idx="69">
                  <c:v>3026.2682870254712</c:v>
                </c:pt>
                <c:pt idx="70">
                  <c:v>3019.4998373561907</c:v>
                </c:pt>
                <c:pt idx="71">
                  <c:v>3012.7299843544401</c:v>
                </c:pt>
                <c:pt idx="72">
                  <c:v>3005.9590667232901</c:v>
                </c:pt>
                <c:pt idx="73">
                  <c:v>2999.1874165123832</c:v>
                </c:pt>
                <c:pt idx="74">
                  <c:v>2992.4153592316711</c:v>
                </c:pt>
                <c:pt idx="75">
                  <c:v>2985.6432139633107</c:v>
                </c:pt>
                <c:pt idx="76">
                  <c:v>2978.8712934717337</c:v>
                </c:pt>
                <c:pt idx="77">
                  <c:v>2972.0999043119309</c:v>
                </c:pt>
                <c:pt idx="78">
                  <c:v>2965.3293469359646</c:v>
                </c:pt>
                <c:pt idx="79">
                  <c:v>2958.5599157977517</c:v>
                </c:pt>
                <c:pt idx="80">
                  <c:v>2951.7918994561305</c:v>
                </c:pt>
                <c:pt idx="81">
                  <c:v>2945.0255806762493</c:v>
                </c:pt>
                <c:pt idx="82">
                  <c:v>2938.261236529298</c:v>
                </c:pt>
                <c:pt idx="83">
                  <c:v>2931.4991384906007</c:v>
                </c:pt>
                <c:pt idx="84">
                  <c:v>2924.7395525361162</c:v>
                </c:pt>
                <c:pt idx="85">
                  <c:v>2917.9827392373486</c:v>
                </c:pt>
                <c:pt idx="86">
                  <c:v>2911.2289538547006</c:v>
                </c:pt>
                <c:pt idx="87">
                  <c:v>2904.4784464293061</c:v>
                </c:pt>
                <c:pt idx="88">
                  <c:v>2897.7314618733426</c:v>
                </c:pt>
                <c:pt idx="89">
                  <c:v>2890.9882400588704</c:v>
                </c:pt>
                <c:pt idx="90">
                  <c:v>2884.2490159052049</c:v>
                </c:pt>
                <c:pt idx="91">
                  <c:v>2877.5140194648543</c:v>
                </c:pt>
                <c:pt idx="92">
                  <c:v>2870.7834760080432</c:v>
                </c:pt>
                <c:pt idx="93">
                  <c:v>2864.0576061058409</c:v>
                </c:pt>
                <c:pt idx="94">
                  <c:v>2857.3366257119214</c:v>
                </c:pt>
                <c:pt idx="95">
                  <c:v>2850.6207462429747</c:v>
                </c:pt>
                <c:pt idx="96">
                  <c:v>2843.910174657789</c:v>
                </c:pt>
                <c:pt idx="97">
                  <c:v>2837.2051135350262</c:v>
                </c:pt>
                <c:pt idx="98">
                  <c:v>2830.5057611497155</c:v>
                </c:pt>
                <c:pt idx="99">
                  <c:v>2823.8123115484741</c:v>
                </c:pt>
                <c:pt idx="100">
                  <c:v>2817.1249546234885</c:v>
                </c:pt>
                <c:pt idx="101">
                  <c:v>2810.4438761852703</c:v>
                </c:pt>
                <c:pt idx="102">
                  <c:v>2803.7692580341995</c:v>
                </c:pt>
                <c:pt idx="103">
                  <c:v>2797.1012780308865</c:v>
                </c:pt>
                <c:pt idx="104">
                  <c:v>2790.4401101653643</c:v>
                </c:pt>
                <c:pt idx="105">
                  <c:v>2783.785924625131</c:v>
                </c:pt>
                <c:pt idx="106">
                  <c:v>2777.1388878620587</c:v>
                </c:pt>
                <c:pt idx="107">
                  <c:v>2770.4991626581946</c:v>
                </c:pt>
                <c:pt idx="108">
                  <c:v>2763.86690819046</c:v>
                </c:pt>
                <c:pt idx="109">
                  <c:v>2757.242280094275</c:v>
                </c:pt>
                <c:pt idx="110">
                  <c:v>2750.6254305261227</c:v>
                </c:pt>
                <c:pt idx="111">
                  <c:v>2744.0165082250664</c:v>
                </c:pt>
                <c:pt idx="112">
                  <c:v>2737.4156585732467</c:v>
                </c:pt>
                <c:pt idx="113">
                  <c:v>2730.8230236553572</c:v>
                </c:pt>
                <c:pt idx="114">
                  <c:v>2724.238742317134</c:v>
                </c:pt>
                <c:pt idx="115">
                  <c:v>2717.6629502228648</c:v>
                </c:pt>
                <c:pt idx="116">
                  <c:v>2711.0957799119337</c:v>
                </c:pt>
                <c:pt idx="117">
                  <c:v>2704.5373608544201</c:v>
                </c:pt>
                <c:pt idx="118">
                  <c:v>2697.9878195057654</c:v>
                </c:pt>
                <c:pt idx="119">
                  <c:v>2691.44727936052</c:v>
                </c:pt>
                <c:pt idx="120">
                  <c:v>2684.9158610051932</c:v>
                </c:pt>
                <c:pt idx="121">
                  <c:v>2678.3936821702096</c:v>
                </c:pt>
                <c:pt idx="122">
                  <c:v>2671.880857780995</c:v>
                </c:pt>
                <c:pt idx="123">
                  <c:v>2665.3775000082064</c:v>
                </c:pt>
                <c:pt idx="124">
                  <c:v>2658.8837183171058</c:v>
                </c:pt>
                <c:pt idx="125">
                  <c:v>2652.3996195161167</c:v>
                </c:pt>
                <c:pt idx="126">
                  <c:v>2645.9253078045472</c:v>
                </c:pt>
                <c:pt idx="127">
                  <c:v>2639.4608848195235</c:v>
                </c:pt>
                <c:pt idx="128">
                  <c:v>2633.0064496821169</c:v>
                </c:pt>
                <c:pt idx="129">
                  <c:v>2626.5620990426996</c:v>
                </c:pt>
                <c:pt idx="130">
                  <c:v>2620.1279271255362</c:v>
                </c:pt>
                <c:pt idx="131">
                  <c:v>2613.7040257726112</c:v>
                </c:pt>
                <c:pt idx="132">
                  <c:v>2607.2904844867262</c:v>
                </c:pt>
                <c:pt idx="133">
                  <c:v>2600.887390473858</c:v>
                </c:pt>
                <c:pt idx="134">
                  <c:v>2594.4948286848053</c:v>
                </c:pt>
              </c:numCache>
            </c:numRef>
          </c:val>
        </c:ser>
        <c:ser>
          <c:idx val="2"/>
          <c:order val="1"/>
          <c:tx>
            <c:strRef>
              <c:f>mod.math.!$V$1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mod.math.!$R$2:$R$136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mod.math.!$V$2:$V$136</c:f>
              <c:numCache>
                <c:formatCode>0.00</c:formatCode>
                <c:ptCount val="135"/>
                <c:pt idx="0">
                  <c:v>1154.5288235649423</c:v>
                </c:pt>
                <c:pt idx="1">
                  <c:v>1159.3325386098209</c:v>
                </c:pt>
                <c:pt idx="2">
                  <c:v>1164.0819071981573</c:v>
                </c:pt>
                <c:pt idx="3">
                  <c:v>1168.7771312495499</c:v>
                </c:pt>
                <c:pt idx="4">
                  <c:v>1173.4184157811487</c:v>
                </c:pt>
                <c:pt idx="5">
                  <c:v>1178.0059688066888</c:v>
                </c:pt>
                <c:pt idx="6">
                  <c:v>1182.5400012375185</c:v>
                </c:pt>
                <c:pt idx="7">
                  <c:v>1187.0207267855878</c:v>
                </c:pt>
                <c:pt idx="8">
                  <c:v>1191.4483618683555</c:v>
                </c:pt>
                <c:pt idx="9">
                  <c:v>1195.8231255155977</c:v>
                </c:pt>
                <c:pt idx="10">
                  <c:v>1200.14523927807</c:v>
                </c:pt>
                <c:pt idx="11">
                  <c:v>1204.4149271380047</c:v>
                </c:pt>
                <c:pt idx="12">
                  <c:v>1208.6324154213996</c:v>
                </c:pt>
                <c:pt idx="13">
                  <c:v>1212.7979327120806</c:v>
                </c:pt>
                <c:pt idx="14">
                  <c:v>1216.9117097674971</c:v>
                </c:pt>
                <c:pt idx="15">
                  <c:v>1220.9739794362276</c:v>
                </c:pt>
                <c:pt idx="16">
                  <c:v>1224.9849765771614</c:v>
                </c:pt>
                <c:pt idx="17">
                  <c:v>1228.944937980333</c:v>
                </c:pt>
                <c:pt idx="18">
                  <c:v>1232.8541022893721</c:v>
                </c:pt>
                <c:pt idx="19">
                  <c:v>1236.7127099255567</c:v>
                </c:pt>
                <c:pt idx="20">
                  <c:v>1240.5210030134181</c:v>
                </c:pt>
                <c:pt idx="21">
                  <c:v>1244.2792253078985</c:v>
                </c:pt>
                <c:pt idx="22">
                  <c:v>1247.9876221230149</c:v>
                </c:pt>
                <c:pt idx="23">
                  <c:v>1251.646440262004</c:v>
                </c:pt>
                <c:pt idx="24">
                  <c:v>1255.2559279489376</c:v>
                </c:pt>
                <c:pt idx="25">
                  <c:v>1258.8163347617656</c:v>
                </c:pt>
                <c:pt idx="26">
                  <c:v>1262.3279115667701</c:v>
                </c:pt>
                <c:pt idx="27">
                  <c:v>1265.7909104544076</c:v>
                </c:pt>
                <c:pt idx="28">
                  <c:v>1269.2055846765102</c:v>
                </c:pt>
                <c:pt idx="29">
                  <c:v>1272.5721885848241</c:v>
                </c:pt>
                <c:pt idx="30">
                  <c:v>1275.8909775708596</c:v>
                </c:pt>
                <c:pt idx="31">
                  <c:v>1279.1622080070401</c:v>
                </c:pt>
                <c:pt idx="32">
                  <c:v>1282.3861371891096</c:v>
                </c:pt>
                <c:pt idx="33">
                  <c:v>1285.5630232797903</c:v>
                </c:pt>
                <c:pt idx="34">
                  <c:v>1288.6931252536654</c:v>
                </c:pt>
                <c:pt idx="35">
                  <c:v>1291.7767028432606</c:v>
                </c:pt>
                <c:pt idx="36">
                  <c:v>1294.8140164863109</c:v>
                </c:pt>
                <c:pt idx="37">
                  <c:v>1297.805327274182</c:v>
                </c:pt>
                <c:pt idx="38">
                  <c:v>1300.7508969014352</c:v>
                </c:pt>
                <c:pt idx="39">
                  <c:v>1303.6509876165082</c:v>
                </c:pt>
                <c:pt idx="40">
                  <c:v>1306.5058621734993</c:v>
                </c:pt>
                <c:pt idx="41">
                  <c:v>1309.3157837850263</c:v>
                </c:pt>
                <c:pt idx="42">
                  <c:v>1312.0810160761469</c:v>
                </c:pt>
                <c:pt idx="43">
                  <c:v>1314.8018230393222</c:v>
                </c:pt>
                <c:pt idx="44">
                  <c:v>1317.4784689904016</c:v>
                </c:pt>
                <c:pt idx="45">
                  <c:v>1320.1112185256095</c:v>
                </c:pt>
                <c:pt idx="46">
                  <c:v>1322.7003364795189</c:v>
                </c:pt>
                <c:pt idx="47">
                  <c:v>1325.2460878839975</c:v>
                </c:pt>
                <c:pt idx="48">
                  <c:v>1327.7487379280972</c:v>
                </c:pt>
                <c:pt idx="49">
                  <c:v>1330.2085519188806</c:v>
                </c:pt>
                <c:pt idx="50">
                  <c:v>1332.6257952431658</c:v>
                </c:pt>
                <c:pt idx="51">
                  <c:v>1335.0007333301651</c:v>
                </c:pt>
                <c:pt idx="52">
                  <c:v>1337.3336316150135</c:v>
                </c:pt>
                <c:pt idx="53">
                  <c:v>1339.6247555031582</c:v>
                </c:pt>
                <c:pt idx="54">
                  <c:v>1341.874370335607</c:v>
                </c:pt>
                <c:pt idx="55">
                  <c:v>1344.0827413550016</c:v>
                </c:pt>
                <c:pt idx="56">
                  <c:v>1346.2501336725215</c:v>
                </c:pt>
                <c:pt idx="57">
                  <c:v>1348.3768122355877</c:v>
                </c:pt>
                <c:pt idx="58">
                  <c:v>1350.4630417963576</c:v>
                </c:pt>
                <c:pt idx="59">
                  <c:v>1352.509086880993</c:v>
                </c:pt>
                <c:pt idx="60">
                  <c:v>1354.5152117596974</c:v>
                </c:pt>
                <c:pt idx="61">
                  <c:v>1356.4816804174914</c:v>
                </c:pt>
                <c:pt idx="62">
                  <c:v>1358.4087565257237</c:v>
                </c:pt>
                <c:pt idx="63">
                  <c:v>1360.2967034143078</c:v>
                </c:pt>
                <c:pt idx="64">
                  <c:v>1362.1457840446551</c:v>
                </c:pt>
                <c:pt idx="65">
                  <c:v>1363.9562609833085</c:v>
                </c:pt>
                <c:pt idx="66">
                  <c:v>1365.7283963762518</c:v>
                </c:pt>
                <c:pt idx="67">
                  <c:v>1367.4624519238894</c:v>
                </c:pt>
                <c:pt idx="68">
                  <c:v>1369.1586888566762</c:v>
                </c:pt>
                <c:pt idx="69">
                  <c:v>1370.8173679113934</c:v>
                </c:pt>
                <c:pt idx="70">
                  <c:v>1372.4387493080542</c:v>
                </c:pt>
                <c:pt idx="71">
                  <c:v>1374.0230927274245</c:v>
                </c:pt>
                <c:pt idx="72">
                  <c:v>1375.5706572891513</c:v>
                </c:pt>
                <c:pt idx="73">
                  <c:v>1377.0817015304892</c:v>
                </c:pt>
                <c:pt idx="74">
                  <c:v>1378.5564833856047</c:v>
                </c:pt>
                <c:pt idx="75">
                  <c:v>1379.9952601654572</c:v>
                </c:pt>
                <c:pt idx="76">
                  <c:v>1381.3982885382366</c:v>
                </c:pt>
                <c:pt idx="77">
                  <c:v>1382.7658245103576</c:v>
                </c:pt>
                <c:pt idx="78">
                  <c:v>1384.0981234079879</c:v>
                </c:pt>
                <c:pt idx="79">
                  <c:v>1385.39543985911</c:v>
                </c:pt>
                <c:pt idx="80">
                  <c:v>1386.6580277760979</c:v>
                </c:pt>
                <c:pt idx="81">
                  <c:v>1387.8861403388078</c:v>
                </c:pt>
                <c:pt idx="82">
                  <c:v>1389.0800299781629</c:v>
                </c:pt>
                <c:pt idx="83">
                  <c:v>1390.2399483602308</c:v>
                </c:pt>
                <c:pt idx="84">
                  <c:v>1391.3661463707815</c:v>
                </c:pt>
                <c:pt idx="85">
                  <c:v>1392.4588741003133</c:v>
                </c:pt>
                <c:pt idx="86">
                  <c:v>1393.5183808295378</c:v>
                </c:pt>
                <c:pt idx="87">
                  <c:v>1394.5449150153238</c:v>
                </c:pt>
                <c:pt idx="88">
                  <c:v>1395.5387242770778</c:v>
                </c:pt>
                <c:pt idx="89">
                  <c:v>1396.500055383563</c:v>
                </c:pt>
                <c:pt idx="90">
                  <c:v>1397.42915424014</c:v>
                </c:pt>
                <c:pt idx="91">
                  <c:v>1398.3262658764279</c:v>
                </c:pt>
                <c:pt idx="92">
                  <c:v>1399.1916344343745</c:v>
                </c:pt>
                <c:pt idx="93">
                  <c:v>1400.0255031567237</c:v>
                </c:pt>
                <c:pt idx="94">
                  <c:v>1400.8281143758779</c:v>
                </c:pt>
                <c:pt idx="95">
                  <c:v>1401.5997095031466</c:v>
                </c:pt>
                <c:pt idx="96">
                  <c:v>1402.3405290183673</c:v>
                </c:pt>
                <c:pt idx="97">
                  <c:v>1403.0508124599012</c:v>
                </c:pt>
                <c:pt idx="98">
                  <c:v>1403.7307984149859</c:v>
                </c:pt>
                <c:pt idx="99">
                  <c:v>1404.3807245104431</c:v>
                </c:pt>
                <c:pt idx="100">
                  <c:v>1405.0008274037389</c:v>
                </c:pt>
                <c:pt idx="101">
                  <c:v>1405.5913427743753</c:v>
                </c:pt>
                <c:pt idx="102">
                  <c:v>1406.1525053156224</c:v>
                </c:pt>
                <c:pt idx="103">
                  <c:v>1406.68454872657</c:v>
                </c:pt>
                <c:pt idx="104">
                  <c:v>1407.1877057045062</c:v>
                </c:pt>
                <c:pt idx="105">
                  <c:v>1407.662207937602</c:v>
                </c:pt>
                <c:pt idx="106">
                  <c:v>1408.1082860979027</c:v>
                </c:pt>
                <c:pt idx="107">
                  <c:v>1408.5261698346255</c:v>
                </c:pt>
                <c:pt idx="108">
                  <c:v>1408.9160877677443</c:v>
                </c:pt>
                <c:pt idx="109">
                  <c:v>1409.2782674818584</c:v>
                </c:pt>
                <c:pt idx="110">
                  <c:v>1409.6129355203575</c:v>
                </c:pt>
                <c:pt idx="111">
                  <c:v>1409.920317379841</c:v>
                </c:pt>
                <c:pt idx="112">
                  <c:v>1410.2006375048277</c:v>
                </c:pt>
                <c:pt idx="113">
                  <c:v>1410.4541192827107</c:v>
                </c:pt>
                <c:pt idx="114">
                  <c:v>1410.6809850389843</c:v>
                </c:pt>
                <c:pt idx="115">
                  <c:v>1410.8814560327148</c:v>
                </c:pt>
                <c:pt idx="116">
                  <c:v>1411.0557524522628</c:v>
                </c:pt>
                <c:pt idx="117">
                  <c:v>1411.2040934112438</c:v>
                </c:pt>
                <c:pt idx="118">
                  <c:v>1411.3266969447293</c:v>
                </c:pt>
                <c:pt idx="119">
                  <c:v>1411.4237800056733</c:v>
                </c:pt>
                <c:pt idx="120">
                  <c:v>1411.4955584615723</c:v>
                </c:pt>
                <c:pt idx="121">
                  <c:v>1411.542247091339</c:v>
                </c:pt>
                <c:pt idx="122">
                  <c:v>1411.5640595823975</c:v>
                </c:pt>
                <c:pt idx="123">
                  <c:v>1411.5612085279865</c:v>
                </c:pt>
                <c:pt idx="124">
                  <c:v>1411.5339054246751</c:v>
                </c:pt>
                <c:pt idx="125">
                  <c:v>1411.4823606700704</c:v>
                </c:pt>
                <c:pt idx="126">
                  <c:v>1411.4067835607332</c:v>
                </c:pt>
                <c:pt idx="127">
                  <c:v>1411.3073822902811</c:v>
                </c:pt>
                <c:pt idx="128">
                  <c:v>1411.184363947681</c:v>
                </c:pt>
                <c:pt idx="129">
                  <c:v>1411.0379345157276</c:v>
                </c:pt>
                <c:pt idx="130">
                  <c:v>1410.8682988697005</c:v>
                </c:pt>
                <c:pt idx="131">
                  <c:v>1410.6756607761963</c:v>
                </c:pt>
                <c:pt idx="132">
                  <c:v>1410.4602228921387</c:v>
                </c:pt>
                <c:pt idx="133">
                  <c:v>1410.2221867639475</c:v>
                </c:pt>
                <c:pt idx="134">
                  <c:v>1409.9617528268786</c:v>
                </c:pt>
              </c:numCache>
            </c:numRef>
          </c:val>
        </c:ser>
        <c:ser>
          <c:idx val="3"/>
          <c:order val="2"/>
          <c:tx>
            <c:strRef>
              <c:f>mod.math.!$W$1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mod.math.!$R$2:$R$136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mod.math.!$W$2:$W$136</c:f>
              <c:numCache>
                <c:formatCode>0.00</c:formatCode>
                <c:ptCount val="135"/>
                <c:pt idx="0">
                  <c:v>241.52903340204074</c:v>
                </c:pt>
                <c:pt idx="1">
                  <c:v>239.19737987546864</c:v>
                </c:pt>
                <c:pt idx="2">
                  <c:v>236.94721366316793</c:v>
                </c:pt>
                <c:pt idx="3">
                  <c:v>234.77610370928545</c:v>
                </c:pt>
                <c:pt idx="4">
                  <c:v>232.68168625176736</c:v>
                </c:pt>
                <c:pt idx="5">
                  <c:v>230.66166299170976</c:v>
                </c:pt>
                <c:pt idx="6">
                  <c:v>228.71379931244647</c:v>
                </c:pt>
                <c:pt idx="7">
                  <c:v>226.83592254702029</c:v>
                </c:pt>
                <c:pt idx="8">
                  <c:v>225.0259202927212</c:v>
                </c:pt>
                <c:pt idx="9">
                  <c:v>223.28173877140833</c:v>
                </c:pt>
                <c:pt idx="10">
                  <c:v>221.6013812343721</c:v>
                </c:pt>
                <c:pt idx="11">
                  <c:v>219.98290641052233</c:v>
                </c:pt>
                <c:pt idx="12">
                  <c:v>218.42442699672395</c:v>
                </c:pt>
                <c:pt idx="13">
                  <c:v>216.92410818913257</c:v>
                </c:pt>
                <c:pt idx="14">
                  <c:v>215.48016625441539</c:v>
                </c:pt>
                <c:pt idx="15">
                  <c:v>214.09086713977069</c:v>
                </c:pt>
                <c:pt idx="16">
                  <c:v>212.75452512069188</c:v>
                </c:pt>
                <c:pt idx="17">
                  <c:v>211.46950148544659</c:v>
                </c:pt>
                <c:pt idx="18">
                  <c:v>210.23420325527508</c:v>
                </c:pt>
                <c:pt idx="19">
                  <c:v>209.04708193933371</c:v>
                </c:pt>
                <c:pt idx="20">
                  <c:v>207.90663232343906</c:v>
                </c:pt>
                <c:pt idx="21">
                  <c:v>206.81139129169418</c:v>
                </c:pt>
                <c:pt idx="22">
                  <c:v>205.75993668010159</c:v>
                </c:pt>
                <c:pt idx="23">
                  <c:v>204.75088616129241</c:v>
                </c:pt>
                <c:pt idx="24">
                  <c:v>203.78289615952747</c:v>
                </c:pt>
                <c:pt idx="25">
                  <c:v>202.85466079514566</c:v>
                </c:pt>
                <c:pt idx="26">
                  <c:v>201.96491085765794</c:v>
                </c:pt>
                <c:pt idx="27">
                  <c:v>201.11241280671155</c:v>
                </c:pt>
                <c:pt idx="28">
                  <c:v>200.29596780016152</c:v>
                </c:pt>
                <c:pt idx="29">
                  <c:v>199.514410748518</c:v>
                </c:pt>
                <c:pt idx="30">
                  <c:v>198.76660939504762</c:v>
                </c:pt>
                <c:pt idx="31">
                  <c:v>198.05146342083506</c:v>
                </c:pt>
                <c:pt idx="32">
                  <c:v>197.36790357412391</c:v>
                </c:pt>
                <c:pt idx="33">
                  <c:v>196.71489082327886</c:v>
                </c:pt>
                <c:pt idx="34">
                  <c:v>196.09141553272505</c:v>
                </c:pt>
                <c:pt idx="35">
                  <c:v>195.4964966612427</c:v>
                </c:pt>
                <c:pt idx="36">
                  <c:v>194.92918098200741</c:v>
                </c:pt>
                <c:pt idx="37">
                  <c:v>194.3885423237864</c:v>
                </c:pt>
                <c:pt idx="38">
                  <c:v>193.87368083271517</c:v>
                </c:pt>
                <c:pt idx="39">
                  <c:v>193.3837222540966</c:v>
                </c:pt>
                <c:pt idx="40">
                  <c:v>192.91781723367694</c:v>
                </c:pt>
                <c:pt idx="41">
                  <c:v>192.47514063787074</c:v>
                </c:pt>
                <c:pt idx="42">
                  <c:v>192.05489089241991</c:v>
                </c:pt>
                <c:pt idx="43">
                  <c:v>191.65628933898586</c:v>
                </c:pt>
                <c:pt idx="44">
                  <c:v>191.27857960918803</c:v>
                </c:pt>
                <c:pt idx="45">
                  <c:v>190.92102701561447</c:v>
                </c:pt>
                <c:pt idx="46">
                  <c:v>190.58291795934434</c:v>
                </c:pt>
                <c:pt idx="47">
                  <c:v>190.26355935353376</c:v>
                </c:pt>
                <c:pt idx="48">
                  <c:v>189.96227806262849</c:v>
                </c:pt>
                <c:pt idx="49">
                  <c:v>189.67842035677947</c:v>
                </c:pt>
                <c:pt idx="50">
                  <c:v>189.41135138104866</c:v>
                </c:pt>
                <c:pt idx="51">
                  <c:v>189.16045463900366</c:v>
                </c:pt>
                <c:pt idx="52">
                  <c:v>188.92513149031029</c:v>
                </c:pt>
                <c:pt idx="53">
                  <c:v>188.70480066194338</c:v>
                </c:pt>
                <c:pt idx="54">
                  <c:v>188.49889777264659</c:v>
                </c:pt>
                <c:pt idx="55">
                  <c:v>188.30687487028098</c:v>
                </c:pt>
                <c:pt idx="56">
                  <c:v>188.12819998171295</c:v>
                </c:pt>
                <c:pt idx="57">
                  <c:v>187.96235667490237</c:v>
                </c:pt>
                <c:pt idx="58">
                  <c:v>187.80884363285728</c:v>
                </c:pt>
                <c:pt idx="59">
                  <c:v>187.66717423913633</c:v>
                </c:pt>
                <c:pt idx="60">
                  <c:v>187.53687617458385</c:v>
                </c:pt>
                <c:pt idx="61">
                  <c:v>187.41749102499313</c:v>
                </c:pt>
                <c:pt idx="62">
                  <c:v>187.30857389940209</c:v>
                </c:pt>
                <c:pt idx="63">
                  <c:v>187.20969305873237</c:v>
                </c:pt>
                <c:pt idx="64">
                  <c:v>187.12042955449198</c:v>
                </c:pt>
                <c:pt idx="65">
                  <c:v>187.04037687726793</c:v>
                </c:pt>
                <c:pt idx="66">
                  <c:v>186.96914061474408</c:v>
                </c:pt>
                <c:pt idx="67">
                  <c:v>186.9063381189859</c:v>
                </c:pt>
                <c:pt idx="68">
                  <c:v>186.85159818274025</c:v>
                </c:pt>
                <c:pt idx="69">
                  <c:v>186.80456072450633</c:v>
                </c:pt>
                <c:pt idx="70">
                  <c:v>186.76487648214086</c:v>
                </c:pt>
                <c:pt idx="71">
                  <c:v>186.73220671476457</c:v>
                </c:pt>
                <c:pt idx="72">
                  <c:v>186.70622291274589</c:v>
                </c:pt>
                <c:pt idx="73">
                  <c:v>186.68660651554387</c:v>
                </c:pt>
                <c:pt idx="74">
                  <c:v>186.67304863719508</c:v>
                </c:pt>
                <c:pt idx="75">
                  <c:v>186.66524979924071</c:v>
                </c:pt>
                <c:pt idx="76">
                  <c:v>186.66291967088802</c:v>
                </c:pt>
                <c:pt idx="77">
                  <c:v>186.6657768162149</c:v>
                </c:pt>
                <c:pt idx="78">
                  <c:v>186.67354844822304</c:v>
                </c:pt>
                <c:pt idx="79">
                  <c:v>186.68597018955617</c:v>
                </c:pt>
                <c:pt idx="80">
                  <c:v>186.70278583970236</c:v>
                </c:pt>
                <c:pt idx="81">
                  <c:v>186.72374714850434</c:v>
                </c:pt>
                <c:pt idx="82">
                  <c:v>186.74861359580848</c:v>
                </c:pt>
                <c:pt idx="83">
                  <c:v>186.77715217708405</c:v>
                </c:pt>
                <c:pt idx="84">
                  <c:v>186.80913719485349</c:v>
                </c:pt>
                <c:pt idx="85">
                  <c:v>186.84435005577464</c:v>
                </c:pt>
                <c:pt idx="86">
                  <c:v>186.8825790732223</c:v>
                </c:pt>
                <c:pt idx="87">
                  <c:v>186.92361927522145</c:v>
                </c:pt>
                <c:pt idx="88">
                  <c:v>186.96727221758567</c:v>
                </c:pt>
                <c:pt idx="89">
                  <c:v>187.01334580212085</c:v>
                </c:pt>
                <c:pt idx="90">
                  <c:v>187.06165409975679</c:v>
                </c:pt>
                <c:pt idx="91">
                  <c:v>187.11201717847433</c:v>
                </c:pt>
                <c:pt idx="92">
                  <c:v>187.1642609358957</c:v>
                </c:pt>
                <c:pt idx="93">
                  <c:v>187.21821693641604</c:v>
                </c:pt>
                <c:pt idx="94">
                  <c:v>187.27372225274868</c:v>
                </c:pt>
                <c:pt idx="95">
                  <c:v>187.33061931176857</c:v>
                </c:pt>
                <c:pt idx="96">
                  <c:v>187.38875574453553</c:v>
                </c:pt>
                <c:pt idx="97">
                  <c:v>187.44798424038498</c:v>
                </c:pt>
                <c:pt idx="98">
                  <c:v>187.50816240497562</c:v>
                </c:pt>
                <c:pt idx="99">
                  <c:v>187.56915262218854</c:v>
                </c:pt>
                <c:pt idx="100">
                  <c:v>187.63082191977136</c:v>
                </c:pt>
                <c:pt idx="101">
                  <c:v>187.69304183862849</c:v>
                </c:pt>
                <c:pt idx="102">
                  <c:v>187.75568830565712</c:v>
                </c:pt>
                <c:pt idx="103">
                  <c:v>187.81864151003427</c:v>
                </c:pt>
                <c:pt idx="104">
                  <c:v>187.88178578286113</c:v>
                </c:pt>
                <c:pt idx="105">
                  <c:v>187.94500948007433</c:v>
                </c:pt>
                <c:pt idx="106">
                  <c:v>188.00820486853451</c:v>
                </c:pt>
                <c:pt idx="107">
                  <c:v>188.07126801520951</c:v>
                </c:pt>
                <c:pt idx="108">
                  <c:v>188.13409867936417</c:v>
                </c:pt>
                <c:pt idx="109">
                  <c:v>188.19660020767944</c:v>
                </c:pt>
                <c:pt idx="110">
                  <c:v>188.25867943221959</c:v>
                </c:pt>
                <c:pt idx="111">
                  <c:v>188.32024657117086</c:v>
                </c:pt>
                <c:pt idx="112">
                  <c:v>188.38121513227733</c:v>
                </c:pt>
                <c:pt idx="113">
                  <c:v>188.44150181890046</c:v>
                </c:pt>
                <c:pt idx="114">
                  <c:v>188.50102643863181</c:v>
                </c:pt>
                <c:pt idx="115">
                  <c:v>188.55971181439017</c:v>
                </c:pt>
                <c:pt idx="116">
                  <c:v>188.61748369793546</c:v>
                </c:pt>
                <c:pt idx="117">
                  <c:v>188.67427068573457</c:v>
                </c:pt>
                <c:pt idx="118">
                  <c:v>188.730004137116</c:v>
                </c:pt>
                <c:pt idx="119">
                  <c:v>188.78461809465037</c:v>
                </c:pt>
                <c:pt idx="120">
                  <c:v>188.83804920669795</c:v>
                </c:pt>
                <c:pt idx="121">
                  <c:v>188.89023665206398</c:v>
                </c:pt>
                <c:pt idx="122">
                  <c:v>188.9411220667053</c:v>
                </c:pt>
                <c:pt idx="123">
                  <c:v>188.99064947243252</c:v>
                </c:pt>
                <c:pt idx="124">
                  <c:v>189.03876520755432</c:v>
                </c:pt>
                <c:pt idx="125">
                  <c:v>189.08541785941139</c:v>
                </c:pt>
                <c:pt idx="126">
                  <c:v>189.13055819874828</c:v>
                </c:pt>
                <c:pt idx="127">
                  <c:v>189.17413911587539</c:v>
                </c:pt>
                <c:pt idx="128">
                  <c:v>189.21611555856992</c:v>
                </c:pt>
                <c:pt idx="129">
                  <c:v>189.25644447167267</c:v>
                </c:pt>
                <c:pt idx="130">
                  <c:v>189.29508473833081</c:v>
                </c:pt>
                <c:pt idx="131">
                  <c:v>189.33199712284582</c:v>
                </c:pt>
                <c:pt idx="132">
                  <c:v>189.36714421508111</c:v>
                </c:pt>
                <c:pt idx="133">
                  <c:v>189.40049037638767</c:v>
                </c:pt>
                <c:pt idx="134">
                  <c:v>189.43200168700744</c:v>
                </c:pt>
              </c:numCache>
            </c:numRef>
          </c:val>
        </c:ser>
        <c:ser>
          <c:idx val="4"/>
          <c:order val="3"/>
          <c:tx>
            <c:strRef>
              <c:f>mod.math.!$X$1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mod.math.!$R$2:$R$136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mod.math.!$X$2:$X$136</c:f>
              <c:numCache>
                <c:formatCode>0.00</c:formatCode>
                <c:ptCount val="135"/>
                <c:pt idx="0">
                  <c:v>82.180003066254699</c:v>
                </c:pt>
                <c:pt idx="1">
                  <c:v>82.659632657081659</c:v>
                </c:pt>
                <c:pt idx="2">
                  <c:v>83.128084138478982</c:v>
                </c:pt>
                <c:pt idx="3">
                  <c:v>83.585701364495549</c:v>
                </c:pt>
                <c:pt idx="4">
                  <c:v>84.032818182407766</c:v>
                </c:pt>
                <c:pt idx="5">
                  <c:v>84.469758705418485</c:v>
                </c:pt>
                <c:pt idx="6">
                  <c:v>84.896837578073132</c:v>
                </c:pt>
                <c:pt idx="7">
                  <c:v>85.314360234580704</c:v>
                </c:pt>
                <c:pt idx="8">
                  <c:v>85.722623150241702</c:v>
                </c:pt>
                <c:pt idx="9">
                  <c:v>86.121914086152628</c:v>
                </c:pt>
                <c:pt idx="10">
                  <c:v>86.512512327377692</c:v>
                </c:pt>
                <c:pt idx="11">
                  <c:v>86.894688914758433</c:v>
                </c:pt>
                <c:pt idx="12">
                  <c:v>87.268706870530764</c:v>
                </c:pt>
                <c:pt idx="13">
                  <c:v>87.634821417915703</c:v>
                </c:pt>
                <c:pt idx="14">
                  <c:v>87.993280194846307</c:v>
                </c:pt>
                <c:pt idx="15">
                  <c:v>88.344323461982981</c:v>
                </c:pt>
                <c:pt idx="16">
                  <c:v>88.688184305177572</c:v>
                </c:pt>
                <c:pt idx="17">
                  <c:v>89.02508883252284</c:v>
                </c:pt>
                <c:pt idx="18">
                  <c:v>89.355256366145738</c:v>
                </c:pt>
                <c:pt idx="19">
                  <c:v>89.678899628872841</c:v>
                </c:pt>
                <c:pt idx="20">
                  <c:v>89.996224925911577</c:v>
                </c:pt>
                <c:pt idx="21">
                  <c:v>90.307432321677368</c:v>
                </c:pt>
                <c:pt idx="22">
                  <c:v>90.612715811898511</c:v>
                </c:pt>
                <c:pt idx="23">
                  <c:v>90.912263491122758</c:v>
                </c:pt>
                <c:pt idx="24">
                  <c:v>91.206257715747199</c:v>
                </c:pt>
                <c:pt idx="25">
                  <c:v>91.494875262695018</c:v>
                </c:pt>
                <c:pt idx="26">
                  <c:v>91.778287483852523</c:v>
                </c:pt>
                <c:pt idx="27">
                  <c:v>92.0566604563748</c:v>
                </c:pt>
                <c:pt idx="28">
                  <c:v>92.330155128983563</c:v>
                </c:pt>
                <c:pt idx="29">
                  <c:v>92.598927464346161</c:v>
                </c:pt>
                <c:pt idx="30">
                  <c:v>92.863128577654606</c:v>
                </c:pt>
                <c:pt idx="31">
                  <c:v>93.122904871498577</c:v>
                </c:pt>
                <c:pt idx="32">
                  <c:v>93.378398167135799</c:v>
                </c:pt>
                <c:pt idx="33">
                  <c:v>93.629745832245078</c:v>
                </c:pt>
                <c:pt idx="34">
                  <c:v>93.877080905274795</c:v>
                </c:pt>
                <c:pt idx="35">
                  <c:v>94.120532216455672</c:v>
                </c:pt>
                <c:pt idx="36">
                  <c:v>94.360224505582835</c:v>
                </c:pt>
                <c:pt idx="37">
                  <c:v>94.596278536645912</c:v>
                </c:pt>
                <c:pt idx="38">
                  <c:v>94.828811209389926</c:v>
                </c:pt>
                <c:pt idx="39">
                  <c:v>95.0579356678968</c:v>
                </c:pt>
                <c:pt idx="40">
                  <c:v>95.283761406254655</c:v>
                </c:pt>
                <c:pt idx="41">
                  <c:v>95.506394371399779</c:v>
                </c:pt>
                <c:pt idx="42">
                  <c:v>95.725937063210154</c:v>
                </c:pt>
                <c:pt idx="43">
                  <c:v>95.942488631912738</c:v>
                </c:pt>
                <c:pt idx="44">
                  <c:v>96.156144972883794</c:v>
                </c:pt>
                <c:pt idx="45">
                  <c:v>96.366998818910986</c:v>
                </c:pt>
                <c:pt idx="46">
                  <c:v>96.575139829981424</c:v>
                </c:pt>
                <c:pt idx="47">
                  <c:v>96.780654680663019</c:v>
                </c:pt>
                <c:pt idx="48">
                  <c:v>96.983627145144339</c:v>
                </c:pt>
                <c:pt idx="49">
                  <c:v>97.18413817999334</c:v>
                </c:pt>
                <c:pt idx="50">
                  <c:v>97.38226600469568</c:v>
                </c:pt>
                <c:pt idx="51">
                  <c:v>97.578086180033267</c:v>
                </c:pt>
                <c:pt idx="52">
                  <c:v>97.771671684355965</c:v>
                </c:pt>
                <c:pt idx="53">
                  <c:v>97.963092987811081</c:v>
                </c:pt>
                <c:pt idx="54">
                  <c:v>98.152418124572648</c:v>
                </c:pt>
                <c:pt idx="55">
                  <c:v>98.339712763133946</c:v>
                </c:pt>
                <c:pt idx="56">
                  <c:v>98.5250402747115</c:v>
                </c:pt>
                <c:pt idx="57">
                  <c:v>98.708461799806003</c:v>
                </c:pt>
                <c:pt idx="58">
                  <c:v>98.890036312976974</c:v>
                </c:pt>
                <c:pt idx="59">
                  <c:v>99.069820685871832</c:v>
                </c:pt>
                <c:pt idx="60">
                  <c:v>99.247869748559026</c:v>
                </c:pt>
                <c:pt idx="61">
                  <c:v>99.424236349210389</c:v>
                </c:pt>
                <c:pt idx="62">
                  <c:v>99.598971412172375</c:v>
                </c:pt>
                <c:pt idx="63">
                  <c:v>99.772123994475976</c:v>
                </c:pt>
                <c:pt idx="64">
                  <c:v>99.943741340820281</c:v>
                </c:pt>
                <c:pt idx="65">
                  <c:v>100.11386893707129</c:v>
                </c:pt>
                <c:pt idx="66">
                  <c:v>100.28255056232024</c:v>
                </c:pt>
                <c:pt idx="67">
                  <c:v>100.44982833953185</c:v>
                </c:pt>
                <c:pt idx="68">
                  <c:v>100.61574278482516</c:v>
                </c:pt>
                <c:pt idx="69">
                  <c:v>100.78033285542386</c:v>
                </c:pt>
                <c:pt idx="70">
                  <c:v>100.94363599630543</c:v>
                </c:pt>
                <c:pt idx="71">
                  <c:v>101.10568818558994</c:v>
                </c:pt>
                <c:pt idx="72">
                  <c:v>101.26652397869873</c:v>
                </c:pt>
                <c:pt idx="73">
                  <c:v>101.42617655131517</c:v>
                </c:pt>
                <c:pt idx="74">
                  <c:v>101.58467774118174</c:v>
                </c:pt>
                <c:pt idx="75">
                  <c:v>101.74205808876104</c:v>
                </c:pt>
                <c:pt idx="76">
                  <c:v>101.89834687679161</c:v>
                </c:pt>
                <c:pt idx="77">
                  <c:v>102.05357216877178</c:v>
                </c:pt>
                <c:pt idx="78">
                  <c:v>102.20776084639243</c:v>
                </c:pt>
                <c:pt idx="79">
                  <c:v>102.36093864595324</c:v>
                </c:pt>
                <c:pt idx="80">
                  <c:v>102.51313019378665</c:v>
                </c:pt>
                <c:pt idx="81">
                  <c:v>102.66435904071318</c:v>
                </c:pt>
                <c:pt idx="82">
                  <c:v>102.81464769556095</c:v>
                </c:pt>
                <c:pt idx="83">
                  <c:v>102.96401765776375</c:v>
                </c:pt>
                <c:pt idx="84">
                  <c:v>103.11248944907408</c:v>
                </c:pt>
                <c:pt idx="85">
                  <c:v>103.26008264440236</c:v>
                </c:pt>
                <c:pt idx="86">
                  <c:v>103.40681590181487</c:v>
                </c:pt>
                <c:pt idx="87">
                  <c:v>103.55270699170927</c:v>
                </c:pt>
                <c:pt idx="88">
                  <c:v>103.69777282518726</c:v>
                </c:pt>
                <c:pt idx="89">
                  <c:v>103.84202948164841</c:v>
                </c:pt>
                <c:pt idx="90">
                  <c:v>103.985492235626</c:v>
                </c:pt>
                <c:pt idx="91">
                  <c:v>104.1281755828827</c:v>
                </c:pt>
                <c:pt idx="92">
                  <c:v>104.27009326578639</c:v>
                </c:pt>
                <c:pt idx="93">
                  <c:v>104.41125829798818</c:v>
                </c:pt>
                <c:pt idx="94">
                  <c:v>104.55168298841465</c:v>
                </c:pt>
                <c:pt idx="95">
                  <c:v>104.69137896460012</c:v>
                </c:pt>
                <c:pt idx="96">
                  <c:v>104.830357195369</c:v>
                </c:pt>
                <c:pt idx="97">
                  <c:v>104.96862801289132</c:v>
                </c:pt>
                <c:pt idx="98">
                  <c:v>105.10620113412637</c:v>
                </c:pt>
                <c:pt idx="99">
                  <c:v>105.24308568166606</c:v>
                </c:pt>
                <c:pt idx="100">
                  <c:v>105.37929020400162</c:v>
                </c:pt>
                <c:pt idx="101">
                  <c:v>105.51482269522359</c:v>
                </c:pt>
                <c:pt idx="102">
                  <c:v>105.64969061417065</c:v>
                </c:pt>
                <c:pt idx="103">
                  <c:v>105.78390090304401</c:v>
                </c:pt>
                <c:pt idx="104">
                  <c:v>105.91746000549949</c:v>
                </c:pt>
                <c:pt idx="105">
                  <c:v>106.05037388423165</c:v>
                </c:pt>
                <c:pt idx="106">
                  <c:v>106.18264803806449</c:v>
                </c:pt>
                <c:pt idx="107">
                  <c:v>106.31428751855884</c:v>
                </c:pt>
                <c:pt idx="108">
                  <c:v>106.4452969461546</c:v>
                </c:pt>
                <c:pt idx="109">
                  <c:v>106.57568052585327</c:v>
                </c:pt>
                <c:pt idx="110">
                  <c:v>106.70544206245779</c:v>
                </c:pt>
                <c:pt idx="111">
                  <c:v>106.83458497538112</c:v>
                </c:pt>
                <c:pt idx="112">
                  <c:v>106.96311231303292</c:v>
                </c:pt>
                <c:pt idx="113">
                  <c:v>107.09102676679601</c:v>
                </c:pt>
                <c:pt idx="114">
                  <c:v>107.21833068460467</c:v>
                </c:pt>
                <c:pt idx="115">
                  <c:v>107.34502608413595</c:v>
                </c:pt>
                <c:pt idx="116">
                  <c:v>107.4711146656191</c:v>
                </c:pt>
                <c:pt idx="117">
                  <c:v>107.59659782428156</c:v>
                </c:pt>
                <c:pt idx="118">
                  <c:v>107.72147666243444</c:v>
                </c:pt>
                <c:pt idx="119">
                  <c:v>107.84575200120867</c:v>
                </c:pt>
                <c:pt idx="120">
                  <c:v>107.96942439195271</c:v>
                </c:pt>
                <c:pt idx="121">
                  <c:v>108.09249412730122</c:v>
                </c:pt>
                <c:pt idx="122">
                  <c:v>108.21496125191788</c:v>
                </c:pt>
                <c:pt idx="123">
                  <c:v>108.33682557293059</c:v>
                </c:pt>
                <c:pt idx="124">
                  <c:v>108.45808667005622</c:v>
                </c:pt>
                <c:pt idx="125">
                  <c:v>108.57874390543321</c:v>
                </c:pt>
                <c:pt idx="126">
                  <c:v>108.69879643316364</c:v>
                </c:pt>
                <c:pt idx="127">
                  <c:v>108.81824320857243</c:v>
                </c:pt>
                <c:pt idx="128">
                  <c:v>108.937082997196</c:v>
                </c:pt>
                <c:pt idx="129">
                  <c:v>109.05531438350317</c:v>
                </c:pt>
                <c:pt idx="130">
                  <c:v>109.17293577935573</c:v>
                </c:pt>
                <c:pt idx="131">
                  <c:v>109.28994543221864</c:v>
                </c:pt>
                <c:pt idx="132">
                  <c:v>109.40634143312207</c:v>
                </c:pt>
                <c:pt idx="133">
                  <c:v>109.52212172438789</c:v>
                </c:pt>
                <c:pt idx="134">
                  <c:v>109.63728410712076</c:v>
                </c:pt>
              </c:numCache>
            </c:numRef>
          </c:val>
        </c:ser>
        <c:ser>
          <c:idx val="5"/>
          <c:order val="4"/>
          <c:tx>
            <c:strRef>
              <c:f>mod.math.!$Y$1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mod.math.!$R$2:$R$136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mod.math.!$Y$2:$Y$136</c:f>
              <c:numCache>
                <c:formatCode>0.00</c:formatCode>
                <c:ptCount val="135"/>
                <c:pt idx="0">
                  <c:v>52.114148285917679</c:v>
                </c:pt>
                <c:pt idx="1">
                  <c:v>52.221948130876612</c:v>
                </c:pt>
                <c:pt idx="2">
                  <c:v>52.31882221371751</c:v>
                </c:pt>
                <c:pt idx="3">
                  <c:v>52.405270436504964</c:v>
                </c:pt>
                <c:pt idx="4">
                  <c:v>52.481774928361816</c:v>
                </c:pt>
                <c:pt idx="5">
                  <c:v>52.548800601946297</c:v>
                </c:pt>
                <c:pt idx="6">
                  <c:v>52.606795693596553</c:v>
                </c:pt>
                <c:pt idx="7">
                  <c:v>52.656192287604284</c:v>
                </c:pt>
                <c:pt idx="8">
                  <c:v>52.697406825070502</c:v>
                </c:pt>
                <c:pt idx="9">
                  <c:v>52.730840597778197</c:v>
                </c:pt>
                <c:pt idx="10">
                  <c:v>52.756880227511601</c:v>
                </c:pt>
                <c:pt idx="11">
                  <c:v>52.775898131233518</c:v>
                </c:pt>
                <c:pt idx="12">
                  <c:v>52.788252972523779</c:v>
                </c:pt>
                <c:pt idx="13">
                  <c:v>52.794290099670462</c:v>
                </c:pt>
                <c:pt idx="14">
                  <c:v>52.794341970793838</c:v>
                </c:pt>
                <c:pt idx="15">
                  <c:v>52.788728566373067</c:v>
                </c:pt>
                <c:pt idx="16">
                  <c:v>52.777757789534206</c:v>
                </c:pt>
                <c:pt idx="17">
                  <c:v>52.761725854449892</c:v>
                </c:pt>
                <c:pt idx="18">
                  <c:v>52.740917663188753</c:v>
                </c:pt>
                <c:pt idx="19">
                  <c:v>52.71560717134696</c:v>
                </c:pt>
                <c:pt idx="20">
                  <c:v>52.686057742779383</c:v>
                </c:pt>
                <c:pt idx="21">
                  <c:v>52.65252249374538</c:v>
                </c:pt>
                <c:pt idx="22">
                  <c:v>52.615244626769865</c:v>
                </c:pt>
                <c:pt idx="23">
                  <c:v>52.574457754515805</c:v>
                </c:pt>
                <c:pt idx="24">
                  <c:v>52.530386213953889</c:v>
                </c:pt>
                <c:pt idx="25">
                  <c:v>52.483245371107159</c:v>
                </c:pt>
                <c:pt idx="26">
                  <c:v>52.433241916641975</c:v>
                </c:pt>
                <c:pt idx="27">
                  <c:v>52.380574152567945</c:v>
                </c:pt>
                <c:pt idx="28">
                  <c:v>52.325432270301349</c:v>
                </c:pt>
                <c:pt idx="29">
                  <c:v>52.267998620342453</c:v>
                </c:pt>
                <c:pt idx="30">
                  <c:v>52.208447973806102</c:v>
                </c:pt>
                <c:pt idx="31">
                  <c:v>52.1469477760415</c:v>
                </c:pt>
                <c:pt idx="32">
                  <c:v>52.083658392567855</c:v>
                </c:pt>
                <c:pt idx="33">
                  <c:v>52.018733347549158</c:v>
                </c:pt>
                <c:pt idx="34">
                  <c:v>51.952319555022328</c:v>
                </c:pt>
                <c:pt idx="35">
                  <c:v>51.88455754308805</c:v>
                </c:pt>
                <c:pt idx="36">
                  <c:v>51.815581671268049</c:v>
                </c:pt>
                <c:pt idx="37">
                  <c:v>51.745520341226666</c:v>
                </c:pt>
                <c:pt idx="38">
                  <c:v>51.674496201048285</c:v>
                </c:pt>
                <c:pt idx="39">
                  <c:v>51.602626343257555</c:v>
                </c:pt>
                <c:pt idx="40">
                  <c:v>51.530022496764119</c:v>
                </c:pt>
                <c:pt idx="41">
                  <c:v>51.456791212908087</c:v>
                </c:pt>
                <c:pt idx="42">
                  <c:v>51.383034045776697</c:v>
                </c:pt>
                <c:pt idx="43">
                  <c:v>51.308847726960479</c:v>
                </c:pt>
                <c:pt idx="44">
                  <c:v>51.234324334909047</c:v>
                </c:pt>
                <c:pt idx="45">
                  <c:v>51.159551459044593</c:v>
                </c:pt>
                <c:pt idx="46">
                  <c:v>51.084612358785492</c:v>
                </c:pt>
                <c:pt idx="47">
                  <c:v>51.00958611762924</c:v>
                </c:pt>
                <c:pt idx="48">
                  <c:v>50.934547792437925</c:v>
                </c:pt>
                <c:pt idx="49">
                  <c:v>50.859568558067124</c:v>
                </c:pt>
                <c:pt idx="50">
                  <c:v>50.784715847474544</c:v>
                </c:pt>
                <c:pt idx="51">
                  <c:v>50.710053487440121</c:v>
                </c:pt>
                <c:pt idx="52">
                  <c:v>50.635641830026771</c:v>
                </c:pt>
                <c:pt idx="53">
                  <c:v>50.561537879906737</c:v>
                </c:pt>
                <c:pt idx="54">
                  <c:v>50.48779541767481</c:v>
                </c:pt>
                <c:pt idx="55">
                  <c:v>50.414465119265714</c:v>
                </c:pt>
                <c:pt idx="56">
                  <c:v>50.341594671592219</c:v>
                </c:pt>
                <c:pt idx="57">
                  <c:v>50.269228884512962</c:v>
                </c:pt>
                <c:pt idx="58">
                  <c:v>50.197409799239786</c:v>
                </c:pt>
                <c:pt idx="59">
                  <c:v>50.12617679328909</c:v>
                </c:pt>
                <c:pt idx="60">
                  <c:v>50.055566682080183</c:v>
                </c:pt>
                <c:pt idx="61">
                  <c:v>49.985613817278079</c:v>
                </c:pt>
                <c:pt idx="62">
                  <c:v>49.916350181978899</c:v>
                </c:pt>
                <c:pt idx="63">
                  <c:v>49.84780548283085</c:v>
                </c:pt>
                <c:pt idx="64">
                  <c:v>49.780007239181657</c:v>
                </c:pt>
                <c:pt idx="65">
                  <c:v>49.712980869340996</c:v>
                </c:pt>
                <c:pt idx="66">
                  <c:v>49.646749774043833</c:v>
                </c:pt>
                <c:pt idx="67">
                  <c:v>49.581335417197799</c:v>
                </c:pt>
                <c:pt idx="68">
                  <c:v>49.516757403996124</c:v>
                </c:pt>
                <c:pt idx="69">
                  <c:v>49.453033556474281</c:v>
                </c:pt>
                <c:pt idx="70">
                  <c:v>49.390179986587249</c:v>
                </c:pt>
                <c:pt idx="71">
                  <c:v>49.328211166881538</c:v>
                </c:pt>
                <c:pt idx="72">
                  <c:v>49.267139998833599</c:v>
                </c:pt>
                <c:pt idx="73">
                  <c:v>49.206977878925727</c:v>
                </c:pt>
                <c:pt idx="74">
                  <c:v>49.147734762526653</c:v>
                </c:pt>
                <c:pt idx="75">
                  <c:v>49.089419225643027</c:v>
                </c:pt>
                <c:pt idx="76">
                  <c:v>49.032038524606591</c:v>
                </c:pt>
                <c:pt idx="77">
                  <c:v>48.975598653758652</c:v>
                </c:pt>
                <c:pt idx="78">
                  <c:v>48.920104401192674</c:v>
                </c:pt>
                <c:pt idx="79">
                  <c:v>48.86555940261438</c:v>
                </c:pt>
                <c:pt idx="80">
                  <c:v>48.811966193375255</c:v>
                </c:pt>
                <c:pt idx="81">
                  <c:v>48.759326258736564</c:v>
                </c:pt>
                <c:pt idx="82">
                  <c:v>48.707640082415836</c:v>
                </c:pt>
                <c:pt idx="83">
                  <c:v>48.656907193470119</c:v>
                </c:pt>
                <c:pt idx="84">
                  <c:v>48.607126211565003</c:v>
                </c:pt>
                <c:pt idx="85">
                  <c:v>48.558294890680529</c:v>
                </c:pt>
                <c:pt idx="86">
                  <c:v>48.510410161299845</c:v>
                </c:pt>
                <c:pt idx="87">
                  <c:v>48.463468171129385</c:v>
                </c:pt>
                <c:pt idx="88">
                  <c:v>48.417464324393627</c:v>
                </c:pt>
                <c:pt idx="89">
                  <c:v>48.372393319750188</c:v>
                </c:pt>
                <c:pt idx="90">
                  <c:v>48.328249186865982</c:v>
                </c:pt>
                <c:pt idx="91">
                  <c:v>48.285025321697553</c:v>
                </c:pt>
                <c:pt idx="92">
                  <c:v>48.242714520514411</c:v>
                </c:pt>
                <c:pt idx="93">
                  <c:v>48.20130901270511</c:v>
                </c:pt>
                <c:pt idx="94">
                  <c:v>48.160800492403482</c:v>
                </c:pt>
                <c:pt idx="95">
                  <c:v>48.121180148972201</c:v>
                </c:pt>
                <c:pt idx="96">
                  <c:v>48.082438696378588</c:v>
                </c:pt>
                <c:pt idx="97">
                  <c:v>48.044566401498365</c:v>
                </c:pt>
                <c:pt idx="98">
                  <c:v>48.007553111380034</c:v>
                </c:pt>
                <c:pt idx="99">
                  <c:v>47.971388279502662</c:v>
                </c:pt>
                <c:pt idx="100">
                  <c:v>47.936060991059549</c:v>
                </c:pt>
                <c:pt idx="101">
                  <c:v>47.901559987297141</c:v>
                </c:pt>
                <c:pt idx="102">
                  <c:v>47.867873688940435</c:v>
                </c:pt>
                <c:pt idx="103">
                  <c:v>47.834990218732614</c:v>
                </c:pt>
                <c:pt idx="104">
                  <c:v>47.802897423118125</c:v>
                </c:pt>
                <c:pt idx="105">
                  <c:v>47.771582893095605</c:v>
                </c:pt>
                <c:pt idx="106">
                  <c:v>47.741033984267304</c:v>
                </c:pt>
                <c:pt idx="107">
                  <c:v>47.711237836111486</c:v>
                </c:pt>
                <c:pt idx="108">
                  <c:v>47.682181390501604</c:v>
                </c:pt>
                <c:pt idx="109">
                  <c:v>47.653851409496639</c:v>
                </c:pt>
                <c:pt idx="110">
                  <c:v>47.626234492427656</c:v>
                </c:pt>
                <c:pt idx="111">
                  <c:v>47.599317092300588</c:v>
                </c:pt>
                <c:pt idx="112">
                  <c:v>47.573085531539895</c:v>
                </c:pt>
                <c:pt idx="113">
                  <c:v>47.54752601709329</c:v>
                </c:pt>
                <c:pt idx="114">
                  <c:v>47.522624654918097</c:v>
                </c:pt>
                <c:pt idx="115">
                  <c:v>47.498367463870714</c:v>
                </c:pt>
                <c:pt idx="116">
                  <c:v>47.474740389017242</c:v>
                </c:pt>
                <c:pt idx="117">
                  <c:v>47.451729314385481</c:v>
                </c:pt>
                <c:pt idx="118">
                  <c:v>47.429320075176093</c:v>
                </c:pt>
                <c:pt idx="119">
                  <c:v>47.407498469450722</c:v>
                </c:pt>
                <c:pt idx="120">
                  <c:v>47.38625026931517</c:v>
                </c:pt>
                <c:pt idx="121">
                  <c:v>47.365561231613384</c:v>
                </c:pt>
                <c:pt idx="122">
                  <c:v>47.345417108149633</c:v>
                </c:pt>
                <c:pt idx="123">
                  <c:v>47.325803655453839</c:v>
                </c:pt>
                <c:pt idx="124">
                  <c:v>47.306706644106001</c:v>
                </c:pt>
                <c:pt idx="125">
                  <c:v>47.288111867634214</c:v>
                </c:pt>
                <c:pt idx="126">
                  <c:v>47.270005151000888</c:v>
                </c:pt>
                <c:pt idx="127">
                  <c:v>47.252372358691282</c:v>
                </c:pt>
                <c:pt idx="128">
                  <c:v>47.235199402417621</c:v>
                </c:pt>
                <c:pt idx="129">
                  <c:v>47.218472248452173</c:v>
                </c:pt>
                <c:pt idx="130">
                  <c:v>47.202176924602121</c:v>
                </c:pt>
                <c:pt idx="131">
                  <c:v>47.186299526838198</c:v>
                </c:pt>
                <c:pt idx="132">
                  <c:v>47.170826225589728</c:v>
                </c:pt>
                <c:pt idx="133">
                  <c:v>47.155743271716872</c:v>
                </c:pt>
                <c:pt idx="134">
                  <c:v>47.141037002172176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24128"/>
        <c:axId val="174642304"/>
      </c:areaChart>
      <c:catAx>
        <c:axId val="17462412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74642304"/>
        <c:crosses val="autoZero"/>
        <c:auto val="1"/>
        <c:lblAlgn val="ctr"/>
        <c:lblOffset val="100"/>
        <c:noMultiLvlLbl val="0"/>
      </c:catAx>
      <c:valAx>
        <c:axId val="1746423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74624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4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324971</xdr:colOff>
      <xdr:row>35</xdr:row>
      <xdr:rowOff>12324</xdr:rowOff>
    </xdr:from>
    <xdr:to>
      <xdr:col>20</xdr:col>
      <xdr:colOff>123265</xdr:colOff>
      <xdr:row>50</xdr:row>
      <xdr:rowOff>43700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q%20de%20bateman%20avec%20flux-annex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matrix18/matri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dd"/>
      <sheetName val="micro"/>
      <sheetName val="dens"/>
      <sheetName val="V.Pu_dragon"/>
      <sheetName val="all"/>
      <sheetName val="Dragon_vs_RK1"/>
      <sheetName val="explication des écarts"/>
    </sheetNames>
    <sheetDataSet>
      <sheetData sheetId="0"/>
      <sheetData sheetId="1"/>
      <sheetData sheetId="2"/>
      <sheetData sheetId="3" refreshError="1"/>
      <sheetData sheetId="4" refreshError="1"/>
      <sheetData sheetId="5">
        <row r="43">
          <cell r="AJ43">
            <v>2.1652186908494884E-2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rix"/>
      <sheetName val="Functions"/>
    </sheetNames>
    <definedNames>
      <definedName name="M_ID"/>
      <definedName name="MatCharPoly"/>
      <definedName name="Poly_Roots"/>
      <definedName name="SYSLINSING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103"/>
  <sheetViews>
    <sheetView tabSelected="1" topLeftCell="A16" zoomScale="70" zoomScaleNormal="70" workbookViewId="0">
      <selection activeCell="D38" sqref="D38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8" width="24.375" style="6" bestFit="1" customWidth="1"/>
    <col min="9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6220105.9522259887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22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7.7460822262109225E+18</v>
      </c>
      <c r="H10" s="80" t="e">
        <f t="shared" ref="H10:H17" ca="1" si="1">INDIRECT("Eq_de_Bateman_avec_RK1!"&amp;O10&amp;P10)</f>
        <v>#REF!</v>
      </c>
      <c r="I10" s="89" t="e">
        <f ca="1">H10*1000/E10/C$8*6.02214129E+23</f>
        <v>#REF!</v>
      </c>
      <c r="J10" s="80" t="e">
        <f t="shared" ref="J10:J15" ca="1" si="2">H10/(SUM(H$10:H$15))*100</f>
        <v>#REF!</v>
      </c>
      <c r="K10" s="95" t="e">
        <f ca="1">SUM(D10:D15)-SUM(H10:H15)</f>
        <v>#REF!</v>
      </c>
      <c r="O10" s="6" t="s">
        <v>120</v>
      </c>
      <c r="P10" s="6">
        <f>P$9</f>
        <v>14</v>
      </c>
    </row>
    <row r="11" spans="1:16" ht="15">
      <c r="A11" s="123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1.4022643440257964E+21</v>
      </c>
      <c r="G11" s="99"/>
      <c r="H11" s="80" t="e">
        <f t="shared" ca="1" si="1"/>
        <v>#REF!</v>
      </c>
      <c r="I11" s="89" t="e">
        <f t="shared" ref="I11:I17" ca="1" si="4">H11*1000/E11/C$8*6.02214129E+23</f>
        <v>#REF!</v>
      </c>
      <c r="J11" s="80" t="e">
        <f t="shared" ca="1" si="2"/>
        <v>#REF!</v>
      </c>
      <c r="O11" s="6" t="s">
        <v>121</v>
      </c>
      <c r="P11" s="6">
        <f t="shared" ref="P11:P17" si="5">P$9</f>
        <v>14</v>
      </c>
    </row>
    <row r="12" spans="1:16" ht="15">
      <c r="A12" s="123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4.6574338606438718E+20</v>
      </c>
      <c r="G12" s="100"/>
      <c r="H12" s="80" t="e">
        <f t="shared" ca="1" si="1"/>
        <v>#REF!</v>
      </c>
      <c r="I12" s="89" t="e">
        <f t="shared" ca="1" si="4"/>
        <v>#REF!</v>
      </c>
      <c r="J12" s="80" t="e">
        <f t="shared" ca="1" si="2"/>
        <v>#REF!</v>
      </c>
      <c r="O12" s="6" t="s">
        <v>122</v>
      </c>
      <c r="P12" s="6">
        <f t="shared" si="5"/>
        <v>14</v>
      </c>
    </row>
    <row r="13" spans="1:16" ht="15">
      <c r="A13" s="123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9.702987209674734E+19</v>
      </c>
      <c r="G13" s="10"/>
      <c r="H13" s="80" t="e">
        <f t="shared" ca="1" si="1"/>
        <v>#REF!</v>
      </c>
      <c r="I13" s="89" t="e">
        <f t="shared" ca="1" si="4"/>
        <v>#REF!</v>
      </c>
      <c r="J13" s="80" t="e">
        <f t="shared" ca="1" si="2"/>
        <v>#REF!</v>
      </c>
      <c r="O13" s="6" t="s">
        <v>123</v>
      </c>
      <c r="P13" s="6">
        <f t="shared" si="5"/>
        <v>14</v>
      </c>
    </row>
    <row r="14" spans="1:16" ht="15">
      <c r="A14" s="123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3.2877890545178849E+19</v>
      </c>
      <c r="G14" s="44"/>
      <c r="H14" s="80" t="e">
        <f t="shared" ca="1" si="1"/>
        <v>#REF!</v>
      </c>
      <c r="I14" s="89" t="e">
        <f t="shared" ca="1" si="4"/>
        <v>#REF!</v>
      </c>
      <c r="J14" s="80" t="e">
        <f t="shared" ca="1" si="2"/>
        <v>#REF!</v>
      </c>
      <c r="O14" s="6" t="s">
        <v>124</v>
      </c>
      <c r="P14" s="6">
        <f t="shared" si="5"/>
        <v>14</v>
      </c>
    </row>
    <row r="15" spans="1:16" ht="15">
      <c r="A15" s="123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2.0935906012576186E+19</v>
      </c>
      <c r="H15" s="80" t="e">
        <f t="shared" ca="1" si="1"/>
        <v>#REF!</v>
      </c>
      <c r="I15" s="89" t="e">
        <f t="shared" ca="1" si="4"/>
        <v>#REF!</v>
      </c>
      <c r="J15" s="80" t="e">
        <f t="shared" ca="1" si="2"/>
        <v>#REF!</v>
      </c>
      <c r="O15" s="6" t="s">
        <v>125</v>
      </c>
      <c r="P15" s="6">
        <f t="shared" si="5"/>
        <v>14</v>
      </c>
    </row>
    <row r="16" spans="1:16" ht="15">
      <c r="A16" s="123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5.7255366140277055E+19</v>
      </c>
      <c r="H16" s="80" t="e">
        <f t="shared" ca="1" si="1"/>
        <v>#REF!</v>
      </c>
      <c r="I16" s="89" t="e">
        <f t="shared" ca="1" si="4"/>
        <v>#REF!</v>
      </c>
      <c r="O16" s="6" t="s">
        <v>128</v>
      </c>
      <c r="P16" s="6">
        <f t="shared" si="5"/>
        <v>14</v>
      </c>
    </row>
    <row r="17" spans="1:16" ht="15">
      <c r="A17" s="123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1.0815324002538532E+22</v>
      </c>
      <c r="H17" s="80" t="e">
        <f t="shared" ca="1" si="1"/>
        <v>#REF!</v>
      </c>
      <c r="I17" s="89" t="e">
        <f t="shared" ca="1" si="4"/>
        <v>#REF!</v>
      </c>
      <c r="O17" s="6" t="s">
        <v>129</v>
      </c>
      <c r="P17" s="6">
        <f t="shared" si="5"/>
        <v>14</v>
      </c>
    </row>
    <row r="18" spans="1:16" ht="15">
      <c r="A18" s="123"/>
      <c r="B18" s="45" t="s">
        <v>53</v>
      </c>
      <c r="C18" s="91">
        <f>SUM(K44:K51)</f>
        <v>3.5614600845530866E-3</v>
      </c>
      <c r="D18" s="11"/>
      <c r="E18" s="11"/>
      <c r="F18" s="11"/>
      <c r="G18" s="11" t="e">
        <f ca="1">H18/C18</f>
        <v>#REF!</v>
      </c>
      <c r="H18" s="92" t="e">
        <f ca="1">SUMPRODUCT(I10:I17,G44:G51)*1E-24</f>
        <v>#REF!</v>
      </c>
    </row>
    <row r="19" spans="1:16" ht="15">
      <c r="A19" s="123"/>
      <c r="B19" s="45" t="s">
        <v>130</v>
      </c>
      <c r="C19" s="91">
        <f>SUM(L44:L51)</f>
        <v>7.4043096858525219E-3</v>
      </c>
      <c r="D19" s="11"/>
      <c r="E19" s="11"/>
      <c r="F19" s="11"/>
      <c r="G19" s="11" t="e">
        <f t="shared" ref="G19:G21" ca="1" si="6">H19/C19</f>
        <v>#REF!</v>
      </c>
      <c r="H19" s="92" t="e">
        <f ca="1">SUMPRODUCT(I10:I17,I44:I51)*1E-24</f>
        <v>#REF!</v>
      </c>
    </row>
    <row r="20" spans="1:16" ht="15">
      <c r="A20" s="123"/>
      <c r="B20" s="98" t="s">
        <v>142</v>
      </c>
      <c r="C20" s="91">
        <f>C19-C18</f>
        <v>3.8428496012994353E-3</v>
      </c>
      <c r="D20" s="11"/>
      <c r="E20" s="11"/>
      <c r="F20" s="11"/>
      <c r="G20" s="11" t="e">
        <f t="shared" ca="1" si="6"/>
        <v>#REF!</v>
      </c>
      <c r="H20" s="92" t="e">
        <f ca="1">H19-H18</f>
        <v>#REF!</v>
      </c>
    </row>
    <row r="21" spans="1:16" ht="15">
      <c r="A21" s="123"/>
      <c r="B21" s="45" t="s">
        <v>131</v>
      </c>
      <c r="C21" s="91">
        <f>SUM(M44:M51)</f>
        <v>1.0405065276121185E-2</v>
      </c>
      <c r="D21" s="11"/>
      <c r="E21" s="11"/>
      <c r="F21" s="11"/>
      <c r="G21" s="11" t="e">
        <f t="shared" ca="1" si="6"/>
        <v>#REF!</v>
      </c>
      <c r="H21" s="92" t="e">
        <f ca="1">SUMPRODUCT(I10:I17,J44:J51)*1E-24</f>
        <v>#REF!</v>
      </c>
      <c r="J21" s="7"/>
    </row>
    <row r="22" spans="1:16" ht="15">
      <c r="A22" s="124"/>
      <c r="B22" s="45" t="s">
        <v>134</v>
      </c>
      <c r="C22" s="91">
        <f>C21/C19</f>
        <v>1.4052714861457285</v>
      </c>
      <c r="D22" s="11"/>
      <c r="E22" s="11"/>
      <c r="F22" s="11"/>
      <c r="G22" s="11"/>
      <c r="H22" s="93" t="e">
        <f ca="1">H21/H19</f>
        <v>#REF!</v>
      </c>
      <c r="I22" s="90" t="e">
        <f ca="1">(H22-C22)/(C22*H22)</f>
        <v>#REF!</v>
      </c>
      <c r="J22" s="7"/>
    </row>
    <row r="23" spans="1:16" ht="15" customHeight="1">
      <c r="A23" s="121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21"/>
      <c r="B24" s="45" t="s">
        <v>58</v>
      </c>
      <c r="C24" s="76">
        <v>75</v>
      </c>
      <c r="I24" s="7"/>
    </row>
    <row r="25" spans="1:16" ht="15.75" customHeight="1" thickBot="1">
      <c r="A25" s="121"/>
      <c r="B25" s="45" t="s">
        <v>71</v>
      </c>
      <c r="C25" s="46">
        <f>C24/100*C23</f>
        <v>2250</v>
      </c>
      <c r="E25" s="9" t="s">
        <v>57</v>
      </c>
      <c r="G25" s="118" t="s">
        <v>141</v>
      </c>
      <c r="H25" s="119"/>
      <c r="I25" s="119"/>
      <c r="J25" s="120" t="s">
        <v>144</v>
      </c>
      <c r="K25" s="120"/>
    </row>
    <row r="26" spans="1:16" ht="15.75" thickBot="1">
      <c r="A26" s="121"/>
      <c r="B26" s="45" t="s">
        <v>46</v>
      </c>
      <c r="C26" s="76">
        <f>365*20</f>
        <v>7300</v>
      </c>
      <c r="E26" s="9" t="s">
        <v>49</v>
      </c>
      <c r="H26" s="104" t="s">
        <v>145</v>
      </c>
      <c r="I26" s="104" t="s">
        <v>146</v>
      </c>
      <c r="L26" s="96"/>
    </row>
    <row r="27" spans="1:16" ht="15.75" thickBot="1">
      <c r="A27" s="121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7">
        <v>7.1771044355892211E-6</v>
      </c>
      <c r="K27" s="97">
        <v>8.1878948066105295E-15</v>
      </c>
    </row>
    <row r="28" spans="1:16" ht="15">
      <c r="A28" s="121"/>
      <c r="B28" s="45" t="s">
        <v>56</v>
      </c>
      <c r="C28" s="47">
        <f>C25*1000000/B41</f>
        <v>6.9247514903034528E+19</v>
      </c>
      <c r="G28" s="45" t="s">
        <v>9</v>
      </c>
      <c r="H28" s="94">
        <v>0</v>
      </c>
      <c r="I28" s="94">
        <v>0</v>
      </c>
      <c r="J28" s="97">
        <v>1.8155401136570395E-3</v>
      </c>
      <c r="K28" s="97">
        <v>2.184547681638449E-11</v>
      </c>
    </row>
    <row r="29" spans="1:16" ht="15">
      <c r="A29" s="121"/>
      <c r="B29" s="45" t="s">
        <v>54</v>
      </c>
      <c r="C29" s="47">
        <f>C28/C8</f>
        <v>11132851342870.281</v>
      </c>
      <c r="G29" s="45" t="s">
        <v>10</v>
      </c>
      <c r="H29" s="94">
        <v>0</v>
      </c>
      <c r="I29" s="94">
        <v>0</v>
      </c>
      <c r="J29" s="97">
        <v>1.4150651647143464E-4</v>
      </c>
      <c r="K29" s="97">
        <v>8.6921442266074678E-11</v>
      </c>
    </row>
    <row r="30" spans="1:16" ht="15">
      <c r="A30" s="121"/>
      <c r="B30" s="45" t="s">
        <v>59</v>
      </c>
      <c r="C30" s="47">
        <f>C29/C18</f>
        <v>3125923379334265</v>
      </c>
      <c r="G30" s="45" t="s">
        <v>11</v>
      </c>
      <c r="H30" s="94">
        <v>0</v>
      </c>
      <c r="I30" s="94">
        <v>0</v>
      </c>
      <c r="J30" s="97">
        <v>1.7429731674126897E-4</v>
      </c>
      <c r="K30" s="97">
        <v>1.9440782317303729E-10</v>
      </c>
      <c r="O30" s="12"/>
      <c r="P30" s="11"/>
    </row>
    <row r="31" spans="1:16" ht="15">
      <c r="A31" s="121"/>
      <c r="B31" s="45" t="s">
        <v>51</v>
      </c>
      <c r="C31" s="46">
        <f>C25*1000000/C8</f>
        <v>361.7301726500001</v>
      </c>
      <c r="G31" s="45" t="s">
        <v>13</v>
      </c>
      <c r="H31" s="94">
        <v>0</v>
      </c>
      <c r="I31" s="94">
        <v>0</v>
      </c>
      <c r="J31" s="97">
        <v>7.2495921405943409E-6</v>
      </c>
      <c r="K31" s="97">
        <v>-9.2952243124777567E-11</v>
      </c>
      <c r="O31" s="12"/>
      <c r="P31" s="11"/>
    </row>
    <row r="32" spans="1:16" ht="15" customHeight="1">
      <c r="A32" s="121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7">
        <v>4.6745820803106852E-6</v>
      </c>
      <c r="K32" s="97">
        <v>0</v>
      </c>
      <c r="O32" s="12"/>
      <c r="P32" s="11"/>
    </row>
    <row r="33" spans="1:16" ht="15">
      <c r="A33" s="121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7">
        <v>7.7513940822150629E-5</v>
      </c>
      <c r="K33" s="97">
        <v>0</v>
      </c>
      <c r="O33" s="12"/>
      <c r="P33" s="11"/>
    </row>
    <row r="34" spans="1:16" ht="15">
      <c r="A34" s="121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7">
        <v>-1.9484219875957887E-5</v>
      </c>
      <c r="K34" s="97">
        <v>-2.2093516320942364E-3</v>
      </c>
      <c r="O34" s="12"/>
      <c r="P34" s="11"/>
    </row>
    <row r="35" spans="1:16" ht="15.75" thickBot="1">
      <c r="P35" s="12"/>
    </row>
    <row r="36" spans="1:16" ht="15.75" thickBot="1">
      <c r="G36" s="102" t="s">
        <v>143</v>
      </c>
      <c r="H36" s="103">
        <f>[1]Dragon_vs_RK1!$AJ$43</f>
        <v>2.1652186908494884E-2</v>
      </c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127">
        <v>0.52359999999999995</v>
      </c>
      <c r="E38" s="74">
        <f>D38*C38</f>
        <v>5.7876827624000002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202.8</v>
      </c>
      <c r="B41" s="58">
        <f>A41*1000000*1.602176565E-19</f>
        <v>3.2492140738200003E-11</v>
      </c>
    </row>
    <row r="42" spans="1:16" ht="15" thickBot="1"/>
    <row r="43" spans="1:16" ht="60.75" thickBot="1"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45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1.2575000000000001</v>
      </c>
      <c r="H44" s="81">
        <f t="shared" si="9"/>
        <v>0.49969000000000002</v>
      </c>
      <c r="I44" s="82">
        <f>H44+G44</f>
        <v>1.75719</v>
      </c>
      <c r="J44" s="81">
        <v>3.7700999999999998</v>
      </c>
      <c r="K44" s="72">
        <f t="shared" ref="K44:K51" si="10">G44*1E-24*F10</f>
        <v>9.7406983994602358E-6</v>
      </c>
      <c r="L44" s="72">
        <f t="shared" ref="L44:L51" si="11">I44*1E-24*F10</f>
        <v>1.3611338227075571E-5</v>
      </c>
      <c r="M44" s="72">
        <f t="shared" ref="M44:M51" si="12">J44*1E-24*F10</f>
        <v>2.9203504601037798E-5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1.7582</v>
      </c>
      <c r="H45" s="81">
        <f t="shared" si="9"/>
        <v>0.46005000000000001</v>
      </c>
      <c r="I45" s="84">
        <f t="shared" ref="I45:I51" si="13">H45+G45</f>
        <v>2.2182499999999998</v>
      </c>
      <c r="J45" s="83">
        <v>5.1894</v>
      </c>
      <c r="K45" s="72">
        <f t="shared" si="10"/>
        <v>2.4654611696661552E-3</v>
      </c>
      <c r="L45" s="72">
        <f t="shared" si="11"/>
        <v>3.1105728811352223E-3</v>
      </c>
      <c r="M45" s="72">
        <f t="shared" si="12"/>
        <v>7.2769105868874676E-3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0.41238999999999998</v>
      </c>
      <c r="H46" s="81">
        <f t="shared" si="9"/>
        <v>0.45652999999999999</v>
      </c>
      <c r="I46" s="84">
        <f t="shared" si="13"/>
        <v>0.86891999999999991</v>
      </c>
      <c r="J46" s="83">
        <v>1.2642</v>
      </c>
      <c r="K46" s="72">
        <f t="shared" si="10"/>
        <v>1.920679149790926E-4</v>
      </c>
      <c r="L46" s="72">
        <f t="shared" si="11"/>
        <v>4.0469374301906725E-4</v>
      </c>
      <c r="M46" s="72">
        <f t="shared" si="12"/>
        <v>5.8879278866259821E-4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2.4380000000000002</v>
      </c>
      <c r="H47" s="81">
        <f t="shared" si="9"/>
        <v>0.44950000000000001</v>
      </c>
      <c r="I47" s="84">
        <f t="shared" si="13"/>
        <v>2.8875000000000002</v>
      </c>
      <c r="J47" s="83">
        <v>7.2667000000000002</v>
      </c>
      <c r="K47" s="72">
        <f t="shared" si="10"/>
        <v>2.3655882817187002E-4</v>
      </c>
      <c r="L47" s="72">
        <f t="shared" si="11"/>
        <v>2.8017375567935794E-4</v>
      </c>
      <c r="M47" s="72">
        <f t="shared" si="12"/>
        <v>7.0508697156543385E-4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0.29929</v>
      </c>
      <c r="H48" s="81">
        <f t="shared" si="9"/>
        <v>0.44868000000000002</v>
      </c>
      <c r="I48" s="84">
        <f t="shared" si="13"/>
        <v>0.74797000000000002</v>
      </c>
      <c r="J48" s="83">
        <v>0.93701999999999996</v>
      </c>
      <c r="K48" s="72">
        <f t="shared" si="10"/>
        <v>9.8400238612665772E-6</v>
      </c>
      <c r="L48" s="72">
        <f t="shared" si="11"/>
        <v>2.4591675791077424E-5</v>
      </c>
      <c r="M48" s="72">
        <f t="shared" si="12"/>
        <v>3.0807240998643484E-5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0.30307000000000001</v>
      </c>
      <c r="H49" s="81">
        <f t="shared" si="9"/>
        <v>1.6906000000000001</v>
      </c>
      <c r="I49" s="84">
        <f t="shared" si="13"/>
        <v>1.9936700000000001</v>
      </c>
      <c r="J49" s="83">
        <v>1.0602</v>
      </c>
      <c r="K49" s="72">
        <f t="shared" si="10"/>
        <v>6.3450450352314647E-6</v>
      </c>
      <c r="L49" s="72">
        <f t="shared" si="11"/>
        <v>4.1739287740092767E-5</v>
      </c>
      <c r="M49" s="72">
        <f t="shared" si="12"/>
        <v>2.2196247554533271E-5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1.8373999999999999</v>
      </c>
      <c r="H50" s="81">
        <f t="shared" si="9"/>
        <v>0.51766999999999996</v>
      </c>
      <c r="I50" s="84">
        <f t="shared" si="13"/>
        <v>2.35507</v>
      </c>
      <c r="J50" s="83">
        <v>4.5256999999999996</v>
      </c>
      <c r="K50" s="72">
        <f t="shared" si="10"/>
        <v>1.0520100974614505E-4</v>
      </c>
      <c r="L50" s="72">
        <f t="shared" si="11"/>
        <v>1.3484039513598229E-4</v>
      </c>
      <c r="M50" s="72">
        <f t="shared" si="12"/>
        <v>2.5912061054105185E-4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4.9582000000000001E-2</v>
      </c>
      <c r="H51" s="81">
        <f t="shared" si="9"/>
        <v>0.26423999999999997</v>
      </c>
      <c r="I51" s="84">
        <f t="shared" si="13"/>
        <v>0.31382199999999999</v>
      </c>
      <c r="J51" s="83">
        <v>0.13804</v>
      </c>
      <c r="K51" s="72">
        <f t="shared" si="10"/>
        <v>5.3624539469386545E-4</v>
      </c>
      <c r="L51" s="72">
        <f t="shared" si="11"/>
        <v>3.3940866091246467E-3</v>
      </c>
      <c r="M51" s="72">
        <f t="shared" si="12"/>
        <v>1.4929473253104189E-3</v>
      </c>
    </row>
    <row r="53" spans="1:13">
      <c r="F53" s="10"/>
      <c r="G53" s="10"/>
    </row>
    <row r="54" spans="1:13">
      <c r="F54" s="10"/>
      <c r="G54" s="10"/>
    </row>
    <row r="55" spans="1:13"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-1.113320079522917E-3</v>
      </c>
      <c r="H76" s="94">
        <f>D76/D86-1</f>
        <v>-4.7829654385719289E-3</v>
      </c>
      <c r="I76" s="94">
        <f>E76/E86-1</f>
        <v>-1.0608953957139677E-3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-1.1375270162666817E-3</v>
      </c>
      <c r="H77" s="94">
        <f t="shared" si="14"/>
        <v>-3.956091729159894E-3</v>
      </c>
      <c r="I77" s="94">
        <f t="shared" si="14"/>
        <v>-1.0790812394019245E-3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4.3648003103857747E-4</v>
      </c>
      <c r="H78" s="94">
        <f t="shared" si="14"/>
        <v>-2.6504282303463356E-3</v>
      </c>
      <c r="I78" s="94">
        <f t="shared" si="14"/>
        <v>4.7453337551406349E-4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-2.0098441345365314E-3</v>
      </c>
      <c r="H79" s="94">
        <f t="shared" si="14"/>
        <v>-3.3815350389322374E-3</v>
      </c>
      <c r="I79" s="94">
        <f t="shared" si="14"/>
        <v>-1.9540388055594438E-3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5.0118614053262789E-4</v>
      </c>
      <c r="H80" s="94">
        <f t="shared" si="14"/>
        <v>-3.4991530712311647E-3</v>
      </c>
      <c r="I80" s="94">
        <f t="shared" si="14"/>
        <v>5.015045135405849E-4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3.6295245322870429E-4</v>
      </c>
      <c r="H81" s="94">
        <f t="shared" si="14"/>
        <v>-3.0758310658938193E-3</v>
      </c>
      <c r="I81" s="94">
        <f t="shared" si="14"/>
        <v>4.7152018106366711E-4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-2.1225644933057231E-3</v>
      </c>
      <c r="H82" s="94">
        <f t="shared" si="14"/>
        <v>-3.8248304904668906E-3</v>
      </c>
      <c r="I82" s="94">
        <f t="shared" si="14"/>
        <v>-2.0769349742593146E-3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4.8404662982526325E-4</v>
      </c>
      <c r="H83" s="94">
        <f t="shared" si="14"/>
        <v>4.6170148349984341E-3</v>
      </c>
      <c r="I83" s="94">
        <f t="shared" si="14"/>
        <v>5.069892083726657E-4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1.2575000000000001</v>
      </c>
      <c r="D86" s="10">
        <v>0.49969000000000002</v>
      </c>
      <c r="E86" s="10">
        <v>3.7704</v>
      </c>
    </row>
    <row r="87" spans="1:9">
      <c r="B87" s="6" t="s">
        <v>9</v>
      </c>
      <c r="C87" s="10">
        <v>1.7582</v>
      </c>
      <c r="D87" s="10">
        <v>0.46005000000000001</v>
      </c>
      <c r="E87" s="10">
        <v>5.1896000000000004</v>
      </c>
    </row>
    <row r="88" spans="1:9">
      <c r="B88" s="6" t="s">
        <v>10</v>
      </c>
      <c r="C88" s="10">
        <v>0.41238999999999998</v>
      </c>
      <c r="D88" s="10">
        <v>0.45652999999999999</v>
      </c>
      <c r="E88" s="10">
        <v>1.2644</v>
      </c>
    </row>
    <row r="89" spans="1:9">
      <c r="B89" s="6" t="s">
        <v>11</v>
      </c>
      <c r="C89" s="10">
        <v>2.4380000000000002</v>
      </c>
      <c r="D89" s="10">
        <v>0.44950000000000001</v>
      </c>
      <c r="E89" s="10">
        <v>7.2670000000000003</v>
      </c>
    </row>
    <row r="90" spans="1:9">
      <c r="B90" s="6" t="s">
        <v>13</v>
      </c>
      <c r="C90" s="10">
        <v>0.29929</v>
      </c>
      <c r="D90" s="10">
        <v>0.44868000000000002</v>
      </c>
      <c r="E90" s="10">
        <v>0.93718000000000001</v>
      </c>
    </row>
    <row r="91" spans="1:9">
      <c r="B91" s="6" t="s">
        <v>14</v>
      </c>
      <c r="C91" s="10">
        <v>0.30307000000000001</v>
      </c>
      <c r="D91" s="10">
        <v>1.6906000000000001</v>
      </c>
      <c r="E91" s="10">
        <v>1.0604</v>
      </c>
    </row>
    <row r="92" spans="1:9">
      <c r="B92" s="6" t="s">
        <v>15</v>
      </c>
      <c r="C92" s="10">
        <v>1.8373999999999999</v>
      </c>
      <c r="D92" s="10">
        <v>0.51766999999999996</v>
      </c>
      <c r="E92" s="10">
        <v>4.5259</v>
      </c>
    </row>
    <row r="93" spans="1:9">
      <c r="B93" s="6" t="s">
        <v>16</v>
      </c>
      <c r="C93" s="10">
        <v>4.9582000000000001E-2</v>
      </c>
      <c r="D93" s="10">
        <v>0.26423999999999997</v>
      </c>
      <c r="E93" s="10">
        <v>0.13807</v>
      </c>
    </row>
    <row r="96" spans="1:9">
      <c r="C96" s="10"/>
      <c r="D96" s="10"/>
      <c r="E96" s="10"/>
    </row>
    <row r="97" spans="3:5">
      <c r="C97" s="10"/>
      <c r="D97" s="10"/>
      <c r="E97" s="10"/>
    </row>
    <row r="98" spans="3:5">
      <c r="C98" s="10"/>
      <c r="D98" s="10"/>
      <c r="E98" s="10"/>
    </row>
    <row r="99" spans="3:5">
      <c r="C99" s="10"/>
      <c r="D99" s="10"/>
      <c r="E99" s="10"/>
    </row>
    <row r="100" spans="3:5">
      <c r="C100" s="10"/>
      <c r="D100" s="10"/>
      <c r="E100" s="10"/>
    </row>
    <row r="101" spans="3:5">
      <c r="C101" s="10"/>
      <c r="D101" s="10"/>
      <c r="E101" s="10"/>
    </row>
    <row r="102" spans="3:5">
      <c r="C102" s="10"/>
      <c r="D102" s="10"/>
      <c r="E102" s="10"/>
    </row>
    <row r="103" spans="3:5">
      <c r="C103" s="10"/>
      <c r="D103" s="10"/>
      <c r="E103" s="10"/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L2" sqref="L2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3125923379334265</v>
      </c>
      <c r="I2" s="39">
        <f>B2</f>
        <v>19.041708027546772</v>
      </c>
      <c r="J2" s="21">
        <f>-(Données!I$44*1E-24*H2+Données!F$44)*I2+(Données!H$49*1E-24*H2*S2)*0.71+Données!H$50*1E-24*H2*W2</f>
        <v>3.1105945627482547E-7</v>
      </c>
      <c r="K2" s="41">
        <f>B3</f>
        <v>3461.5820803761339</v>
      </c>
      <c r="L2" s="23">
        <f>-(Données!I$45*1E-24*H2+Données!F$45)*K2+(I2*Données!H$44*1E-24*H2)+(Données!H$51*1E-24*H2)*Y2</f>
        <v>-2.015899358916743E-6</v>
      </c>
      <c r="M2" s="39">
        <f>B4</f>
        <v>1154.5288235649409</v>
      </c>
      <c r="N2" s="21">
        <f>-(Données!I$46*1E-24*H2+Données!F$46)*M2+Données!H$45*1E-24*H2*K2</f>
        <v>1.8382628556946444E-6</v>
      </c>
      <c r="O2" s="41">
        <f>B5</f>
        <v>241.52903340204062</v>
      </c>
      <c r="P2" s="23">
        <f>-(Données!I$47*1E-24*H2+Données!F$47)*O2+(Données!H$46*1E-24*H2)*M2</f>
        <v>-9.0305355164630673E-7</v>
      </c>
      <c r="Q2" s="39">
        <f>B6</f>
        <v>82.180003066254471</v>
      </c>
      <c r="R2" s="43">
        <f>-(Données!I$48*1E-24*H2+Données!F$48)*Q2+Données!H$47*1E-24*H2*O2+(Données!H$49*1E-24*H2*S2)*0.85*0.16</f>
        <v>1.8467877512713857E-7</v>
      </c>
      <c r="S2" s="41">
        <f>B7</f>
        <v>52.114148285917473</v>
      </c>
      <c r="T2" s="22">
        <f>-(Données!I$49*1E-24*H2+Données!F$49)*S2+Données!F$47*O2</f>
        <v>4.3163591081061186E-8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-1.0199324380558183E-6</v>
      </c>
      <c r="Y2" s="41">
        <f>B9</f>
        <v>26586.632553782751</v>
      </c>
      <c r="Z2" s="23">
        <f>-(Données!I$51*1E-24*H2+Données!F$51)*Y2+Données!F$48*Q2</f>
        <v>-2.6081043881043615E-5</v>
      </c>
      <c r="AA2" s="14">
        <f>W2+Y2</f>
        <v>26725.60570344064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3125923379334265</v>
      </c>
      <c r="I3" s="40">
        <f>I2+J2*D$5</f>
        <v>19.859172278637015</v>
      </c>
      <c r="J3" s="21">
        <f>-(Données!I$44*1E-24*H3+Données!F$44)*I3+(Données!H$49*1E-24*H3*S3)*0.71+Données!H$50*1E-24*H3*W3</f>
        <v>3.0245261261028471E-7</v>
      </c>
      <c r="K3" s="42">
        <f>K2+L2*D$5</f>
        <v>3456.2842968609007</v>
      </c>
      <c r="L3" s="23">
        <f>-(Données!I$45*1E-24*H3+Données!F$45)*K3+(I3*Données!H$44*1E-24*H3)+(Données!H$51*1E-24*H3)*Y3</f>
        <v>-2.0344968443976156E-6</v>
      </c>
      <c r="M3" s="40">
        <f>M2+N2*D$5</f>
        <v>1159.3597783497064</v>
      </c>
      <c r="N3" s="21">
        <f>-(Données!I$46*1E-24*H3+Données!F$46)*M3+Données!H$45*1E-24*H3*K3</f>
        <v>1.8175062998326076E-6</v>
      </c>
      <c r="O3" s="42">
        <f>O2+P2*D$5</f>
        <v>239.15580866831414</v>
      </c>
      <c r="P3" s="23">
        <f>-(Données!I$47*1E-24*H3+Données!F$47)*O3+(Données!H$46*1E-24*H3)*M3</f>
        <v>-8.7109707505685337E-7</v>
      </c>
      <c r="Q3" s="40">
        <f>Q2+R2*D$5</f>
        <v>82.665338887288598</v>
      </c>
      <c r="R3" s="43">
        <f>-(Données!I$48*1E-24*H3+Données!F$48)*Q3+Données!H$47*1E-24*H3*O3+(Données!H$49*1E-24*H3*S3)*0.85*0.16</f>
        <v>1.8029088726997301E-7</v>
      </c>
      <c r="S3" s="42">
        <f>S2+T2*D$5</f>
        <v>52.227582203278502</v>
      </c>
      <c r="T3" s="22">
        <f>-(Données!I$49*1E-24*H3+Données!F$49)*S3+Données!F$47*O3</f>
        <v>3.8809545212256615E-8</v>
      </c>
      <c r="U3" s="28">
        <f t="shared" si="2"/>
        <v>5009.5519772481257</v>
      </c>
      <c r="V3" s="19"/>
      <c r="W3" s="40">
        <f t="shared" ref="W3:W18" si="3">W2+X2*D$5</f>
        <v>136.29276721068064</v>
      </c>
      <c r="X3" s="21">
        <f>-(Données!I$50*1E-24*H3+Données!F$50)*W3+Données!F$45*K3</f>
        <v>-1.0002049128969372E-6</v>
      </c>
      <c r="Y3" s="42">
        <f t="shared" ref="Y3:Y18" si="4">Y2+Z2*D$5</f>
        <v>26518.091570463366</v>
      </c>
      <c r="Z3" s="23">
        <f>-(Données!I$51*1E-24*H3+Données!F$51)*Y3+Données!F$48*Q3</f>
        <v>-2.6013806276716344E-5</v>
      </c>
      <c r="AA3" s="15">
        <f t="shared" ref="AA3:AA18" si="5">W3+Y3</f>
        <v>26654.384337674048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3125923379334265</v>
      </c>
      <c r="I4" s="40">
        <f t="shared" ref="I4:I18" si="6">I3+J3*D$5</f>
        <v>20.654017744576844</v>
      </c>
      <c r="J4" s="21">
        <f>-(Données!I$44*1E-24*H4+Données!F$44)*I4+(Données!H$49*1E-24*H4*S4)*0.71+Données!H$50*1E-24*H4*W4</f>
        <v>2.9401663933704306E-7</v>
      </c>
      <c r="K4" s="42">
        <f t="shared" ref="K4:K18" si="7">K3+L3*D$5</f>
        <v>3450.9376391538235</v>
      </c>
      <c r="L4" s="23">
        <f>-(Données!I$45*1E-24*H4+Données!F$45)*K4+(I4*Données!H$44*1E-24*H4)+(Données!H$51*1E-24*H4)*Y4</f>
        <v>-2.0526447646766639E-6</v>
      </c>
      <c r="M4" s="40">
        <f t="shared" ref="M4:M18" si="8">M3+N3*D$5</f>
        <v>1164.1361849056666</v>
      </c>
      <c r="N4" s="21">
        <f>-(Données!I$46*1E-24*H4+Données!F$46)*M4+Données!H$45*1E-24*H4*K4</f>
        <v>1.7968278043228368E-6</v>
      </c>
      <c r="O4" s="42">
        <f t="shared" ref="O4:O18" si="9">O3+P3*D$5</f>
        <v>236.86656555506474</v>
      </c>
      <c r="P4" s="23">
        <f>-(Données!I$47*1E-24*H4+Données!F$47)*O4+(Données!H$46*1E-24*H4)*M4</f>
        <v>-8.4010532698978051E-7</v>
      </c>
      <c r="Q4" s="40">
        <f t="shared" ref="Q4:Q18" si="10">Q3+R3*D$5</f>
        <v>83.139143339034092</v>
      </c>
      <c r="R4" s="43">
        <f>-(Données!I$48*1E-24*H4+Données!F$48)*Q4+Données!H$47*1E-24*H4*O4+(Données!H$49*1E-24*H4*S4)*0.85*0.16</f>
        <v>1.7603974046315186E-7</v>
      </c>
      <c r="S4" s="42">
        <f t="shared" ref="S4:S18" si="11">S3+T3*D$5</f>
        <v>52.32957368809631</v>
      </c>
      <c r="T4" s="22">
        <f>-(Données!I$49*1E-24*H4+Données!F$49)*S4+Données!F$47*O4</f>
        <v>3.4656247769018684E-8</v>
      </c>
      <c r="U4" s="28">
        <f t="shared" si="2"/>
        <v>5008.0631243862626</v>
      </c>
      <c r="V4" s="19"/>
      <c r="W4" s="40">
        <f t="shared" si="3"/>
        <v>133.66422869958748</v>
      </c>
      <c r="X4" s="21">
        <f>-(Données!I$50*1E-24*H4+Données!F$50)*W4+Données!F$45*K4</f>
        <v>-9.8085909534440588E-7</v>
      </c>
      <c r="Y4" s="42">
        <f t="shared" si="4"/>
        <v>26449.727287568156</v>
      </c>
      <c r="Z4" s="23">
        <f>-(Données!I$51*1E-24*H4+Données!F$51)*Y4+Données!F$48*Q4</f>
        <v>-2.5946742013271104E-5</v>
      </c>
      <c r="AA4" s="15">
        <f t="shared" si="5"/>
        <v>26583.391516267744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3125923379334265</v>
      </c>
      <c r="I5" s="40">
        <f t="shared" si="6"/>
        <v>21.426693472754593</v>
      </c>
      <c r="J5" s="21">
        <f>-(Données!I$44*1E-24*H5+Données!F$44)*I5+(Données!H$49*1E-24*H5*S5)*0.71+Données!H$50*1E-24*H5*W5</f>
        <v>2.8574931360800048E-7</v>
      </c>
      <c r="K5" s="42">
        <f t="shared" si="7"/>
        <v>3445.5432887122533</v>
      </c>
      <c r="L5" s="23">
        <f>-(Données!I$45*1E-24*H5+Données!F$45)*K5+(I5*Données!H$44*1E-24*H5)+(Données!H$51*1E-24*H5)*Y5</f>
        <v>-2.0703509880146251E-6</v>
      </c>
      <c r="M5" s="40">
        <f t="shared" si="8"/>
        <v>1168.8582483754269</v>
      </c>
      <c r="N5" s="21">
        <f>-(Données!I$46*1E-24*H5+Données!F$46)*M5+Données!H$45*1E-24*H5*K5</f>
        <v>1.7762285103058288E-6</v>
      </c>
      <c r="O5" s="42">
        <f t="shared" si="9"/>
        <v>234.65876875573559</v>
      </c>
      <c r="P5" s="23">
        <f>-(Données!I$47*1E-24*H5+Données!F$47)*O5+(Données!H$46*1E-24*H5)*M5</f>
        <v>-8.1005124070489386E-7</v>
      </c>
      <c r="Q5" s="40">
        <f t="shared" si="10"/>
        <v>83.601775776971252</v>
      </c>
      <c r="R5" s="43">
        <f>-(Données!I$48*1E-24*H5+Données!F$48)*Q5+Données!H$47*1E-24*H5*O5+(Données!H$49*1E-24*H5*S5)*0.85*0.16</f>
        <v>1.7192131128337692E-7</v>
      </c>
      <c r="S5" s="42">
        <f t="shared" si="11"/>
        <v>52.420650307233295</v>
      </c>
      <c r="T5" s="22">
        <f>-(Données!I$49*1E-24*H5+Données!F$49)*S5+Données!F$47*O5</f>
        <v>3.0696494072855545E-8</v>
      </c>
      <c r="U5" s="28">
        <f t="shared" si="2"/>
        <v>5006.5094254003761</v>
      </c>
      <c r="V5" s="19"/>
      <c r="W5" s="40">
        <f t="shared" si="3"/>
        <v>131.08653099702238</v>
      </c>
      <c r="X5" s="21">
        <f>-(Données!I$50*1E-24*H5+Données!F$50)*W5+Données!F$45*K5</f>
        <v>-9.6188759952817128E-7</v>
      </c>
      <c r="Y5" s="42">
        <f t="shared" si="4"/>
        <v>26381.539249557278</v>
      </c>
      <c r="Z5" s="23">
        <f>-(Données!I$51*1E-24*H5+Données!F$51)*Y5+Données!F$48*Q5</f>
        <v>-2.5879850643809749E-5</v>
      </c>
      <c r="AA5" s="15">
        <f t="shared" si="5"/>
        <v>26512.625780554299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3125923379334265</v>
      </c>
      <c r="I6" s="40">
        <f t="shared" si="6"/>
        <v>22.17764266891642</v>
      </c>
      <c r="J6" s="21">
        <f>-(Données!I$44*1E-24*H6+Données!F$44)*I6+(Données!H$49*1E-24*H6*S6)*0.71+Données!H$50*1E-24*H6*W6</f>
        <v>2.7764840649423964E-7</v>
      </c>
      <c r="K6" s="42">
        <f t="shared" si="7"/>
        <v>3440.1024063157511</v>
      </c>
      <c r="L6" s="23">
        <f>-(Données!I$45*1E-24*H6+Données!F$45)*K6+(I6*Données!H$44*1E-24*H6)+(Données!H$51*1E-24*H6)*Y6</f>
        <v>-2.0876232474264788E-6</v>
      </c>
      <c r="M6" s="40">
        <f t="shared" si="8"/>
        <v>1173.5261769005106</v>
      </c>
      <c r="N6" s="21">
        <f>-(Données!I$46*1E-24*H6+Données!F$46)*M6+Données!H$45*1E-24*H6*K6</f>
        <v>1.7557095210301054E-6</v>
      </c>
      <c r="O6" s="42">
        <f t="shared" si="9"/>
        <v>232.52995409516313</v>
      </c>
      <c r="P6" s="23">
        <f>-(Données!I$47*1E-24*H6+Données!F$47)*O6+(Données!H$46*1E-24*H6)*M6</f>
        <v>-7.8090849636204445E-7</v>
      </c>
      <c r="Q6" s="40">
        <f t="shared" si="10"/>
        <v>84.053584983023967</v>
      </c>
      <c r="R6" s="43">
        <f>-(Données!I$48*1E-24*H6+Données!F$48)*Q6+Données!H$47*1E-24*H6*O6+(Données!H$49*1E-24*H6*S6)*0.85*0.16</f>
        <v>1.6793168736875399E-7</v>
      </c>
      <c r="S6" s="42">
        <f t="shared" si="11"/>
        <v>52.501320693656758</v>
      </c>
      <c r="T6" s="22">
        <f>-(Données!I$49*1E-24*H6+Données!F$49)*S6+Données!F$47*O6</f>
        <v>2.6923307544832408E-8</v>
      </c>
      <c r="U6" s="28">
        <f t="shared" si="2"/>
        <v>5004.8910856570219</v>
      </c>
      <c r="V6" s="19"/>
      <c r="W6" s="40">
        <f t="shared" si="3"/>
        <v>128.55869038546234</v>
      </c>
      <c r="X6" s="21">
        <f>-(Données!I$50*1E-24*H6+Données!F$50)*W6+Données!F$45*K6</f>
        <v>-9.4328318248944509E-7</v>
      </c>
      <c r="Y6" s="42">
        <f t="shared" si="4"/>
        <v>26313.527002065344</v>
      </c>
      <c r="Z6" s="23">
        <f>-(Données!I$51*1E-24*H6+Données!F$51)*Y6+Données!F$48*Q6</f>
        <v>-2.5813131722586877E-5</v>
      </c>
      <c r="AA6" s="15">
        <f t="shared" si="5"/>
        <v>26442.085692450808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3125923379334265</v>
      </c>
      <c r="I7" s="40">
        <f t="shared" si="6"/>
        <v>22.907302681183282</v>
      </c>
      <c r="J7" s="21">
        <f>-(Données!I$44*1E-24*H7+Données!F$44)*I7+(Données!H$49*1E-24*H7*S7)*0.71+Données!H$50*1E-24*H7*W7</f>
        <v>2.6971168471827385E-7</v>
      </c>
      <c r="K7" s="42">
        <f t="shared" si="7"/>
        <v>3434.6161324215141</v>
      </c>
      <c r="L7" s="23">
        <f>-(Données!I$45*1E-24*H7+Données!F$45)*K7+(I7*Données!H$44*1E-24*H7)+(Données!H$51*1E-24*H7)*Y7</f>
        <v>-2.1044691431737641E-6</v>
      </c>
      <c r="M7" s="40">
        <f t="shared" si="8"/>
        <v>1178.1401815217778</v>
      </c>
      <c r="N7" s="21">
        <f>-(Données!I$46*1E-24*H7+Données!F$46)*M7+Données!H$45*1E-24*H7*K7</f>
        <v>1.7352719026341537E-6</v>
      </c>
      <c r="O7" s="42">
        <f t="shared" si="9"/>
        <v>230.47772656672367</v>
      </c>
      <c r="P7" s="23">
        <f>-(Données!I$47*1E-24*H7+Données!F$47)*O7+(Données!H$46*1E-24*H7)*M7</f>
        <v>-7.5265150043461922E-7</v>
      </c>
      <c r="Q7" s="40">
        <f t="shared" si="10"/>
        <v>84.494909457429046</v>
      </c>
      <c r="R7" s="43">
        <f>-(Données!I$48*1E-24*H7+Données!F$48)*Q7+Données!H$47*1E-24*H7*O7+(Données!H$49*1E-24*H7*S7)*0.85*0.16</f>
        <v>1.6406706440917886E-7</v>
      </c>
      <c r="S7" s="42">
        <f t="shared" si="11"/>
        <v>52.572075145884575</v>
      </c>
      <c r="T7" s="22">
        <f>-(Données!I$49*1E-24*H7+Données!F$49)*S7+Données!F$47*O7</f>
        <v>2.3329932927631576E-8</v>
      </c>
      <c r="U7" s="28">
        <f t="shared" si="2"/>
        <v>5003.208327794513</v>
      </c>
      <c r="V7" s="19"/>
      <c r="W7" s="40">
        <f t="shared" si="3"/>
        <v>126.07974218188008</v>
      </c>
      <c r="X7" s="21">
        <f>-(Données!I$50*1E-24*H7+Données!F$50)*W7+Données!F$45*K7</f>
        <v>-9.2503874141551473E-7</v>
      </c>
      <c r="Y7" s="42">
        <f t="shared" si="4"/>
        <v>26245.690091898385</v>
      </c>
      <c r="Z7" s="23">
        <f>-(Données!I$51*1E-24*H7+Données!F$51)*Y7+Données!F$48*Q7</f>
        <v>-2.5746584805006826E-5</v>
      </c>
      <c r="AA7" s="15">
        <f t="shared" si="5"/>
        <v>26371.769834080264</v>
      </c>
      <c r="AC7" s="19"/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3125923379334265</v>
      </c>
      <c r="I8" s="40">
        <f t="shared" si="6"/>
        <v>23.616104988622904</v>
      </c>
      <c r="J8" s="21">
        <f>-(Données!I$44*1E-24*H8+Données!F$44)*I8+(Données!H$49*1E-24*H8*S8)*0.71+Données!H$50*1E-24*H8*W8</f>
        <v>2.6193691230605624E-7</v>
      </c>
      <c r="K8" s="42">
        <f t="shared" si="7"/>
        <v>3429.0855875132534</v>
      </c>
      <c r="L8" s="23">
        <f>-(Données!I$45*1E-24*H8+Données!F$45)*K8+(I8*Données!H$44*1E-24*H8)+(Données!H$51*1E-24*H8)*Y8</f>
        <v>-2.120896145204396E-6</v>
      </c>
      <c r="M8" s="40">
        <f t="shared" si="8"/>
        <v>1182.7004760819004</v>
      </c>
      <c r="N8" s="21">
        <f>-(Données!I$46*1E-24*H8+Données!F$46)*M8+Données!H$45*1E-24*H8*K8</f>
        <v>1.7149166849133661E-6</v>
      </c>
      <c r="O8" s="42">
        <f t="shared" si="9"/>
        <v>228.49975842358148</v>
      </c>
      <c r="P8" s="23">
        <f>-(Données!I$47*1E-24*H8+Données!F$47)*O8+(Données!H$46*1E-24*H8)*M8</f>
        <v>-7.2525536569143177E-7</v>
      </c>
      <c r="Q8" s="40">
        <f t="shared" si="10"/>
        <v>84.926077702696361</v>
      </c>
      <c r="R8" s="43">
        <f>-(Données!I$48*1E-24*H8+Données!F$48)*Q8+Données!H$47*1E-24*H8*O8+(Données!H$49*1E-24*H8*S8)*0.85*0.16</f>
        <v>1.6032374321843132E-7</v>
      </c>
      <c r="S8" s="42">
        <f t="shared" si="11"/>
        <v>52.633386209618394</v>
      </c>
      <c r="T8" s="22">
        <f>-(Données!I$49*1E-24*H8+Données!F$49)*S8+Données!F$47*O8</f>
        <v>1.9909829702535307E-8</v>
      </c>
      <c r="U8" s="28">
        <f t="shared" si="2"/>
        <v>5001.4613909196723</v>
      </c>
      <c r="V8" s="19"/>
      <c r="W8" s="40">
        <f t="shared" si="3"/>
        <v>123.64874036944011</v>
      </c>
      <c r="X8" s="21">
        <f>-(Données!I$50*1E-24*H8+Données!F$50)*W8+Données!F$45*K8</f>
        <v>-9.0714731092805721E-7</v>
      </c>
      <c r="Y8" s="42">
        <f t="shared" si="4"/>
        <v>26178.028067030828</v>
      </c>
      <c r="Z8" s="23">
        <f>-(Données!I$51*1E-24*H8+Données!F$51)*Y8+Données!F$48*Q8</f>
        <v>-2.5680209447620693E-5</v>
      </c>
      <c r="AA8" s="15">
        <f t="shared" si="5"/>
        <v>26301.676807400268</v>
      </c>
      <c r="AC8" s="19"/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3125923379334265</v>
      </c>
      <c r="I9" s="40">
        <f t="shared" si="6"/>
        <v>24.304475194163221</v>
      </c>
      <c r="J9" s="21">
        <f>-(Données!I$44*1E-24*H9+Données!F$44)*I9+(Données!H$49*1E-24*H9*S9)*0.71+Données!H$50*1E-24*H9*W9</f>
        <v>2.5432185216067454E-7</v>
      </c>
      <c r="K9" s="42">
        <f t="shared" si="7"/>
        <v>3423.5118724436561</v>
      </c>
      <c r="L9" s="23">
        <f>-(Données!I$45*1E-24*H9+Données!F$45)*K9+(I9*Données!H$44*1E-24*H9)+(Données!H$51*1E-24*H9)*Y9</f>
        <v>-2.1369115955412113E-6</v>
      </c>
      <c r="M9" s="40">
        <f t="shared" si="8"/>
        <v>1187.2072771298529</v>
      </c>
      <c r="N9" s="21">
        <f>-(Données!I$46*1E-24*H9+Données!F$46)*M9+Données!H$45*1E-24*H9*K9</f>
        <v>1.6946448620722682E-6</v>
      </c>
      <c r="O9" s="42">
        <f t="shared" si="9"/>
        <v>226.59378732254439</v>
      </c>
      <c r="P9" s="23">
        <f>-(Données!I$47*1E-24*H9+Données!F$47)*O9+(Données!H$46*1E-24*H9)*M9</f>
        <v>-6.9869589173129373E-7</v>
      </c>
      <c r="Q9" s="40">
        <f t="shared" si="10"/>
        <v>85.347408499874405</v>
      </c>
      <c r="R9" s="43">
        <f>-(Données!I$48*1E-24*H9+Données!F$48)*Q9+Données!H$47*1E-24*H9*O9+(Données!H$49*1E-24*H9*S9)*0.85*0.16</f>
        <v>1.5669812688574661E-7</v>
      </c>
      <c r="S9" s="42">
        <f t="shared" si="11"/>
        <v>52.685709242076655</v>
      </c>
      <c r="T9" s="22">
        <f>-(Données!I$49*1E-24*H9+Données!F$49)*S9+Données!F$47*O9</f>
        <v>1.6656665695822813E-8</v>
      </c>
      <c r="U9" s="28">
        <f t="shared" si="2"/>
        <v>4999.6505298321681</v>
      </c>
      <c r="V9" s="19"/>
      <c r="W9" s="40">
        <f t="shared" si="3"/>
        <v>121.26475723632117</v>
      </c>
      <c r="X9" s="21">
        <f>-(Données!I$50*1E-24*H9+Données!F$50)*W9+Données!F$45*K9</f>
        <v>-8.8960206042392123E-7</v>
      </c>
      <c r="Y9" s="42">
        <f t="shared" si="4"/>
        <v>26110.54047660248</v>
      </c>
      <c r="Z9" s="23">
        <f>-(Données!I$51*1E-24*H9+Données!F$51)*Y9+Données!F$48*Q9</f>
        <v>-2.5614005208123381E-5</v>
      </c>
      <c r="AA9" s="15">
        <f t="shared" si="5"/>
        <v>26231.805233838801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3125923379334265</v>
      </c>
      <c r="I10" s="40">
        <f t="shared" si="6"/>
        <v>24.972833021641474</v>
      </c>
      <c r="J10" s="21">
        <f>-(Données!I$44*1E-24*H10+Données!F$44)*I10+(Données!H$49*1E-24*H10*S10)*0.71+Données!H$50*1E-24*H10*W10</f>
        <v>2.4686426756055613E-7</v>
      </c>
      <c r="K10" s="42">
        <f t="shared" si="7"/>
        <v>3417.8960687705739</v>
      </c>
      <c r="L10" s="23">
        <f>-(Données!I$45*1E-24*H10+Données!F$45)*K10+(I10*Données!H$44*1E-24*H10)+(Données!H$51*1E-24*H10)*Y10</f>
        <v>-2.1525227106205005E-6</v>
      </c>
      <c r="M10" s="40">
        <f t="shared" si="8"/>
        <v>1191.6608038273787</v>
      </c>
      <c r="N10" s="21">
        <f>-(Données!I$46*1E-24*H10+Données!F$46)*M10+Données!H$45*1E-24*H10*K10</f>
        <v>1.674457393462351E-6</v>
      </c>
      <c r="O10" s="42">
        <f t="shared" si="9"/>
        <v>224.75761451907454</v>
      </c>
      <c r="P10" s="23">
        <f>-(Données!I$47*1E-24*H10+Données!F$47)*O10+(Données!H$46*1E-24*H10)*M10</f>
        <v>-6.7294954605499329E-7</v>
      </c>
      <c r="Q10" s="40">
        <f t="shared" si="10"/>
        <v>85.759211177330144</v>
      </c>
      <c r="R10" s="43">
        <f>-(Données!I$48*1E-24*H10+Données!F$48)*Q10+Données!H$47*1E-24*H10*O10+(Données!H$49*1E-24*H10*S10)*0.85*0.16</f>
        <v>1.5318671800469099E-7</v>
      </c>
      <c r="S10" s="42">
        <f t="shared" si="11"/>
        <v>52.729482959525278</v>
      </c>
      <c r="T10" s="22">
        <f>-(Données!I$49*1E-24*H10+Données!F$49)*S10+Données!F$47*O10</f>
        <v>1.3564310869223398E-8</v>
      </c>
      <c r="U10" s="28">
        <f t="shared" si="2"/>
        <v>4997.7760142755233</v>
      </c>
      <c r="V10" s="19"/>
      <c r="W10" s="40">
        <f t="shared" si="3"/>
        <v>118.9268830215271</v>
      </c>
      <c r="X10" s="21">
        <f>-(Données!I$50*1E-24*H10+Données!F$50)*W10+Données!F$45*K10</f>
        <v>-8.7239629146736239E-7</v>
      </c>
      <c r="Y10" s="42">
        <f t="shared" si="4"/>
        <v>26043.226870915532</v>
      </c>
      <c r="Z10" s="23">
        <f>-(Données!I$51*1E-24*H10+Données!F$51)*Y10+Données!F$48*Q10</f>
        <v>-2.5547971645350602E-5</v>
      </c>
      <c r="AA10" s="15">
        <f t="shared" si="5"/>
        <v>26162.153753937058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3125923379334265</v>
      </c>
      <c r="I11" s="40">
        <f t="shared" si="6"/>
        <v>25.621592316790615</v>
      </c>
      <c r="J11" s="21">
        <f>-(Données!I$44*1E-24*H11+Données!F$44)*I11+(Données!H$49*1E-24*H11*S11)*0.71+Données!H$50*1E-24*H11*W11</f>
        <v>2.395619235849196E-7</v>
      </c>
      <c r="K11" s="42">
        <f t="shared" si="7"/>
        <v>3412.2392390870632</v>
      </c>
      <c r="L11" s="23">
        <f>-(Données!I$45*1E-24*H11+Données!F$45)*K11+(I11*Données!H$44*1E-24*H11)+(Données!H$51*1E-24*H11)*Y11</f>
        <v>-2.167736583581792E-6</v>
      </c>
      <c r="M11" s="40">
        <f t="shared" si="8"/>
        <v>1196.0612778573977</v>
      </c>
      <c r="N11" s="21">
        <f>-(Données!I$46*1E-24*H11+Données!F$46)*M11+Données!H$45*1E-24*H11*K11</f>
        <v>1.6543552043057852E-6</v>
      </c>
      <c r="O11" s="42">
        <f t="shared" si="9"/>
        <v>222.98910311204202</v>
      </c>
      <c r="P11" s="23">
        <f>-(Données!I$47*1E-24*H11+Données!F$47)*O11+(Données!H$46*1E-24*H11)*M11</f>
        <v>-6.479934456598065E-7</v>
      </c>
      <c r="Q11" s="40">
        <f t="shared" si="10"/>
        <v>86.161785872246469</v>
      </c>
      <c r="R11" s="43">
        <f>-(Données!I$48*1E-24*H11+Données!F$48)*Q11+Données!H$47*1E-24*H11*O11+(Données!H$49*1E-24*H11*S11)*0.85*0.16</f>
        <v>1.497861159772296E-7</v>
      </c>
      <c r="S11" s="42">
        <f t="shared" si="11"/>
        <v>52.765129968489596</v>
      </c>
      <c r="T11" s="22">
        <f>-(Données!I$49*1E-24*H11+Données!F$49)*S11+Données!F$47*O11</f>
        <v>1.062683128922107E-8</v>
      </c>
      <c r="U11" s="28">
        <f t="shared" si="2"/>
        <v>4995.8381282140299</v>
      </c>
      <c r="V11" s="19"/>
      <c r="W11" s="40">
        <f t="shared" si="3"/>
        <v>116.63422556755087</v>
      </c>
      <c r="X11" s="21">
        <f>-(Données!I$50*1E-24*H11+Données!F$50)*W11+Données!F$45*K11</f>
        <v>-8.5552343523273532E-7</v>
      </c>
      <c r="Y11" s="42">
        <f t="shared" si="4"/>
        <v>25976.086801431549</v>
      </c>
      <c r="Z11" s="23">
        <f>-(Données!I$51*1E-24*H11+Données!F$51)*Y11+Données!F$48*Q11</f>
        <v>-2.5482108319275954E-5</v>
      </c>
      <c r="AA11" s="15">
        <f t="shared" si="5"/>
        <v>26092.721026999101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3125923379334265</v>
      </c>
      <c r="I12" s="40">
        <f t="shared" si="6"/>
        <v>26.251161051971785</v>
      </c>
      <c r="J12" s="21">
        <f>-(Données!I$44*1E-24*H12+Données!F$44)*I12+(Données!H$49*1E-24*H12*S12)*0.71+Données!H$50*1E-24*H12*W12</f>
        <v>2.324125884691199E-7</v>
      </c>
      <c r="K12" s="42">
        <f t="shared" si="7"/>
        <v>3406.54242734541</v>
      </c>
      <c r="L12" s="23">
        <f>-(Données!I$45*1E-24*H12+Données!F$45)*K12+(I12*Données!H$44*1E-24*H12)+(Données!H$51*1E-24*H12)*Y12</f>
        <v>-2.1825601865100166E-6</v>
      </c>
      <c r="M12" s="40">
        <f t="shared" si="8"/>
        <v>1200.4089233343134</v>
      </c>
      <c r="N12" s="21">
        <f>-(Données!I$46*1E-24*H12+Données!F$46)*M12+Données!H$45*1E-24*H12*K12</f>
        <v>1.6343391864053152E-6</v>
      </c>
      <c r="O12" s="42">
        <f t="shared" si="9"/>
        <v>221.28617633684806</v>
      </c>
      <c r="P12" s="23">
        <f>-(Données!I$47*1E-24*H12+Données!F$47)*O12+(Données!H$46*1E-24*H12)*M12</f>
        <v>-6.238053391421036E-7</v>
      </c>
      <c r="Q12" s="40">
        <f t="shared" si="10"/>
        <v>86.555423785034634</v>
      </c>
      <c r="R12" s="43">
        <f>-(Données!I$48*1E-24*H12+Données!F$48)*Q12+Données!H$47*1E-24*H12*O12+(Données!H$49*1E-24*H12*S12)*0.85*0.16</f>
        <v>1.464930143909347E-7</v>
      </c>
      <c r="S12" s="42">
        <f t="shared" si="11"/>
        <v>52.793057281117669</v>
      </c>
      <c r="T12" s="22">
        <f>-(Données!I$49*1E-24*H12+Données!F$49)*S12+Données!F$47*O12</f>
        <v>7.8384832701501989E-9</v>
      </c>
      <c r="U12" s="28">
        <f t="shared" si="2"/>
        <v>4993.8371691346956</v>
      </c>
      <c r="V12" s="19"/>
      <c r="W12" s="40">
        <f t="shared" si="3"/>
        <v>114.38590997975925</v>
      </c>
      <c r="X12" s="21">
        <f>-(Données!I$50*1E-24*H12+Données!F$50)*W12+Données!F$45*K12</f>
        <v>-8.3897704999666735E-7</v>
      </c>
      <c r="Y12" s="42">
        <f t="shared" si="4"/>
        <v>25909.119820768494</v>
      </c>
      <c r="Z12" s="23">
        <f>-(Données!I$51*1E-24*H12+Données!F$51)*Y12+Données!F$48*Q12</f>
        <v>-2.5416414791007956E-5</v>
      </c>
      <c r="AA12" s="15">
        <f t="shared" si="5"/>
        <v>26023.505730748253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3125923379334265</v>
      </c>
      <c r="I13" s="40">
        <f t="shared" si="6"/>
        <v>26.861941334468632</v>
      </c>
      <c r="J13" s="21">
        <f>-(Données!I$44*1E-24*H13+Données!F$44)*I13+(Données!H$49*1E-24*H13*S13)*0.71+Données!H$50*1E-24*H13*W13</f>
        <v>2.2541403489244858E-7</v>
      </c>
      <c r="K13" s="42">
        <f t="shared" si="7"/>
        <v>3400.8066591752618</v>
      </c>
      <c r="L13" s="23">
        <f>-(Données!I$45*1E-24*H13+Données!F$45)*K13+(I13*Données!H$44*1E-24*H13)+(Données!H$51*1E-24*H13)*Y13</f>
        <v>-2.1970003726312771E-6</v>
      </c>
      <c r="M13" s="40">
        <f t="shared" si="8"/>
        <v>1204.7039667161866</v>
      </c>
      <c r="N13" s="21">
        <f>-(Données!I$46*1E-24*H13+Données!F$46)*M13+Données!H$45*1E-24*H13*K13</f>
        <v>1.6144101988406075E-6</v>
      </c>
      <c r="O13" s="42">
        <f t="shared" si="9"/>
        <v>219.6468159055826</v>
      </c>
      <c r="P13" s="23">
        <f>-(Données!I$47*1E-24*H13+Données!F$47)*O13+(Données!H$46*1E-24*H13)*M13</f>
        <v>-6.0036358929399641E-7</v>
      </c>
      <c r="Q13" s="40">
        <f t="shared" si="10"/>
        <v>86.940407426854009</v>
      </c>
      <c r="R13" s="43">
        <f>-(Données!I$48*1E-24*H13+Données!F$48)*Q13+Données!H$47*1E-24*H13*O13+(Données!H$49*1E-24*H13*S13)*0.85*0.16</f>
        <v>1.4330419846733516E-7</v>
      </c>
      <c r="S13" s="42">
        <f t="shared" si="11"/>
        <v>52.813656815151624</v>
      </c>
      <c r="T13" s="22">
        <f>-(Données!I$49*1E-24*H13+Données!F$49)*S13+Données!F$47*O13</f>
        <v>5.1937076861635062E-9</v>
      </c>
      <c r="U13" s="28">
        <f t="shared" si="2"/>
        <v>4991.7734473735054</v>
      </c>
      <c r="V13" s="19"/>
      <c r="W13" s="40">
        <f t="shared" si="3"/>
        <v>112.181078292368</v>
      </c>
      <c r="X13" s="21">
        <f>-(Données!I$50*1E-24*H13+Données!F$50)*W13+Données!F$45*K13</f>
        <v>-8.227508186787548E-7</v>
      </c>
      <c r="Y13" s="42">
        <f t="shared" si="4"/>
        <v>25842.325482697725</v>
      </c>
      <c r="Z13" s="23">
        <f>-(Données!I$51*1E-24*H13+Données!F$51)*Y13+Données!F$48*Q13</f>
        <v>-2.5350890622787098E-5</v>
      </c>
      <c r="AA13" s="15">
        <f t="shared" si="5"/>
        <v>25954.506560990092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3125923379334265</v>
      </c>
      <c r="I14" s="40">
        <f t="shared" si="6"/>
        <v>27.454329418165987</v>
      </c>
      <c r="J14" s="21">
        <f>-(Données!I$44*1E-24*H14+Données!F$44)*I14+(Données!H$49*1E-24*H14*S14)*0.71+Données!H$50*1E-24*H14*W14</f>
        <v>2.1856404120086697E-7</v>
      </c>
      <c r="K14" s="42">
        <f t="shared" si="7"/>
        <v>3395.0329421959868</v>
      </c>
      <c r="L14" s="23">
        <f>-(Données!I$45*1E-24*H14+Données!F$45)*K14+(I14*Données!H$44*1E-24*H14)+(Données!H$51*1E-24*H14)*Y14</f>
        <v>-2.2110638784632655E-6</v>
      </c>
      <c r="M14" s="40">
        <f t="shared" si="8"/>
        <v>1208.9466367187397</v>
      </c>
      <c r="N14" s="21">
        <f>-(Données!I$46*1E-24*H14+Données!F$46)*M14+Données!H$45*1E-24*H14*K14</f>
        <v>1.5945690686513124E-6</v>
      </c>
      <c r="O14" s="42">
        <f t="shared" si="9"/>
        <v>218.06906039291798</v>
      </c>
      <c r="P14" s="23">
        <f>-(Données!I$47*1E-24*H14+Données!F$47)*O14+(Données!H$46*1E-24*H14)*M14</f>
        <v>-5.7764715618036777E-7</v>
      </c>
      <c r="Q14" s="40">
        <f t="shared" si="10"/>
        <v>87.317010860426166</v>
      </c>
      <c r="R14" s="43">
        <f>-(Données!I$48*1E-24*H14+Données!F$48)*Q14+Données!H$47*1E-24*H14*O14+(Données!H$49*1E-24*H14*S14)*0.85*0.16</f>
        <v>1.40216542579465E-7</v>
      </c>
      <c r="S14" s="42">
        <f t="shared" si="11"/>
        <v>52.82730587895086</v>
      </c>
      <c r="T14" s="22">
        <f>-(Données!I$49*1E-24*H14+Données!F$49)*S14+Données!F$47*O14</f>
        <v>2.6871244472926646E-9</v>
      </c>
      <c r="U14" s="28">
        <f t="shared" si="2"/>
        <v>4989.6472854651875</v>
      </c>
      <c r="V14" s="19"/>
      <c r="W14" s="40">
        <f t="shared" si="3"/>
        <v>110.01888914088023</v>
      </c>
      <c r="X14" s="21">
        <f>-(Données!I$50*1E-24*H14+Données!F$50)*W14+Données!F$45*K14</f>
        <v>-8.0683854642984573E-7</v>
      </c>
      <c r="Y14" s="42">
        <f t="shared" si="4"/>
        <v>25775.703342141042</v>
      </c>
      <c r="Z14" s="23">
        <f>-(Données!I$51*1E-24*H14+Données!F$51)*Y14+Données!F$48*Q14</f>
        <v>-2.5285535377982936E-5</v>
      </c>
      <c r="AA14" s="15">
        <f t="shared" si="5"/>
        <v>25885.722231281921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3125923379334265</v>
      </c>
      <c r="I15" s="40">
        <f t="shared" si="6"/>
        <v>28.028715718441866</v>
      </c>
      <c r="J15" s="21">
        <f>-(Données!I$44*1E-24*H15+Données!F$44)*I15+(Données!H$49*1E-24*H15*S15)*0.71+Données!H$50*1E-24*H15*W15</f>
        <v>2.1186039256707086E-7</v>
      </c>
      <c r="K15" s="42">
        <f t="shared" si="7"/>
        <v>3389.2222663233852</v>
      </c>
      <c r="L15" s="23">
        <f>-(Données!I$45*1E-24*H15+Données!F$45)*K15+(I15*Données!H$44*1E-24*H15)+(Données!H$51*1E-24*H15)*Y15</f>
        <v>-2.2247573259214884E-6</v>
      </c>
      <c r="M15" s="40">
        <f t="shared" si="8"/>
        <v>1213.1371642311553</v>
      </c>
      <c r="N15" s="21">
        <f>-(Données!I$46*1E-24*H15+Données!F$46)*M15+Données!H$45*1E-24*H15*K15</f>
        <v>1.5748165915071333E-6</v>
      </c>
      <c r="O15" s="42">
        <f t="shared" si="9"/>
        <v>216.55100366647596</v>
      </c>
      <c r="P15" s="23">
        <f>-(Données!I$47*1E-24*H15+Données!F$47)*O15+(Données!H$46*1E-24*H15)*M15</f>
        <v>-5.5563558068299541E-7</v>
      </c>
      <c r="Q15" s="40">
        <f t="shared" si="10"/>
        <v>87.685499934324994</v>
      </c>
      <c r="R15" s="43">
        <f>-(Données!I$48*1E-24*H15+Données!F$48)*Q15+Données!H$47*1E-24*H15*O15+(Données!H$49*1E-24*H15*S15)*0.85*0.16</f>
        <v>1.3722700783672266E-7</v>
      </c>
      <c r="S15" s="42">
        <f t="shared" si="11"/>
        <v>52.834367641998348</v>
      </c>
      <c r="T15" s="22">
        <f>-(Données!I$49*1E-24*H15+Données!F$49)*S15+Données!F$47*O15</f>
        <v>3.1352713495444097E-10</v>
      </c>
      <c r="U15" s="28">
        <f t="shared" si="2"/>
        <v>4987.4590175157819</v>
      </c>
      <c r="V15" s="19"/>
      <c r="W15" s="40">
        <f t="shared" si="3"/>
        <v>107.89851744086261</v>
      </c>
      <c r="X15" s="21">
        <f>-(Données!I$50*1E-24*H15+Données!F$50)*W15+Données!F$45*K15</f>
        <v>-7.9123415826698465E-7</v>
      </c>
      <c r="Y15" s="42">
        <f t="shared" si="4"/>
        <v>25709.252955167703</v>
      </c>
      <c r="Z15" s="23">
        <f>-(Données!I$51*1E-24*H15+Données!F$51)*Y15+Données!F$48*Q15</f>
        <v>-2.5220348621091141E-5</v>
      </c>
      <c r="AA15" s="15">
        <f t="shared" si="5"/>
        <v>25817.151472608566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3125923379334265</v>
      </c>
      <c r="I16" s="40">
        <f t="shared" si="6"/>
        <v>28.585484830108129</v>
      </c>
      <c r="J16" s="21">
        <f>-(Données!I$44*1E-24*H16+Données!F$44)*I16+(Données!H$49*1E-24*H16*S16)*0.71+Données!H$50*1E-24*H16*W16</f>
        <v>2.0530088209020566E-7</v>
      </c>
      <c r="K16" s="42">
        <f t="shared" si="7"/>
        <v>3383.3756040708636</v>
      </c>
      <c r="L16" s="23">
        <f>-(Données!I$45*1E-24*H16+Données!F$45)*K16+(I16*Données!H$44*1E-24*H16)+(Données!H$51*1E-24*H16)*Y16</f>
        <v>-2.2380872243823338E-6</v>
      </c>
      <c r="M16" s="40">
        <f t="shared" si="8"/>
        <v>1217.2757822336362</v>
      </c>
      <c r="N16" s="21">
        <f>-(Données!I$46*1E-24*H16+Données!F$46)*M16+Données!H$45*1E-24*H16*K16</f>
        <v>1.5551535323651317E-6</v>
      </c>
      <c r="O16" s="42">
        <f t="shared" si="9"/>
        <v>215.09079336044104</v>
      </c>
      <c r="P16" s="23">
        <f>-(Données!I$47*1E-24*H16+Données!F$47)*O16+(Données!H$46*1E-24*H16)*M16</f>
        <v>-5.343089684988692E-7</v>
      </c>
      <c r="Q16" s="40">
        <f t="shared" si="10"/>
        <v>88.046132510919904</v>
      </c>
      <c r="R16" s="43">
        <f>-(Données!I$48*1E-24*H16+Données!F$48)*Q16+Données!H$47*1E-24*H16*O16+(Données!H$49*1E-24*H16*S16)*0.85*0.16</f>
        <v>1.34332639735203E-7</v>
      </c>
      <c r="S16" s="42">
        <f t="shared" si="11"/>
        <v>52.835191591309005</v>
      </c>
      <c r="T16" s="22">
        <f>-(Données!I$49*1E-24*H16+Données!F$49)*S16+Données!F$47*O16</f>
        <v>-1.9321222076130556E-9</v>
      </c>
      <c r="U16" s="28">
        <f t="shared" si="2"/>
        <v>4985.2089885972782</v>
      </c>
      <c r="V16" s="19"/>
      <c r="W16" s="40">
        <f t="shared" si="3"/>
        <v>105.81915407293697</v>
      </c>
      <c r="X16" s="21">
        <f>-(Données!I$50*1E-24*H16+Données!F$50)*W16+Données!F$45*K16</f>
        <v>-7.7593169675411973E-7</v>
      </c>
      <c r="Y16" s="42">
        <f t="shared" si="4"/>
        <v>25642.973878991477</v>
      </c>
      <c r="Z16" s="23">
        <f>-(Données!I$51*1E-24*H16+Données!F$51)*Y16+Données!F$48*Q16</f>
        <v>-2.5155329917730598E-5</v>
      </c>
      <c r="AA16" s="15">
        <f t="shared" si="5"/>
        <v>25748.793033064416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3125923379334265</v>
      </c>
      <c r="I17" s="40">
        <f t="shared" si="6"/>
        <v>29.125015548241191</v>
      </c>
      <c r="J17" s="21">
        <f>-(Données!I$44*1E-24*H17+Données!F$44)*I17+(Données!H$49*1E-24*H17*S17)*0.71+Données!H$50*1E-24*H17*W17</f>
        <v>1.9888331183747657E-7</v>
      </c>
      <c r="K17" s="42">
        <f t="shared" si="7"/>
        <v>3377.4939108451867</v>
      </c>
      <c r="L17" s="23">
        <f>-(Données!I$45*1E-24*H17+Données!F$45)*K17+(I17*Données!H$44*1E-24*H17)+(Données!H$51*1E-24*H17)*Y17</f>
        <v>-2.2510599727040144E-6</v>
      </c>
      <c r="M17" s="40">
        <f t="shared" si="8"/>
        <v>1221.3627257166918</v>
      </c>
      <c r="N17" s="21">
        <f>-(Données!I$46*1E-24*H17+Données!F$46)*M17+Données!H$45*1E-24*H17*K17</f>
        <v>1.5355806261145493E-6</v>
      </c>
      <c r="O17" s="42">
        <f t="shared" si="9"/>
        <v>213.68662939122601</v>
      </c>
      <c r="P17" s="23">
        <f>-(Données!I$47*1E-24*H17+Données!F$47)*O17+(Données!H$46*1E-24*H17)*M17</f>
        <v>-5.1364797458012885E-7</v>
      </c>
      <c r="Q17" s="40">
        <f t="shared" si="10"/>
        <v>88.399158688144013</v>
      </c>
      <c r="R17" s="43">
        <f>-(Données!I$48*1E-24*H17+Données!F$48)*Q17+Données!H$47*1E-24*H17*O17+(Données!H$49*1E-24*H17*S17)*0.85*0.16</f>
        <v>1.3153056587171554E-7</v>
      </c>
      <c r="S17" s="42">
        <f t="shared" si="11"/>
        <v>52.830113974147402</v>
      </c>
      <c r="T17" s="22">
        <f>-(Données!I$49*1E-24*H17+Données!F$49)*S17+Données!F$47*O17</f>
        <v>-4.0546981343747711E-9</v>
      </c>
      <c r="U17" s="28">
        <f t="shared" si="2"/>
        <v>4982.8975541636373</v>
      </c>
      <c r="V17" s="19"/>
      <c r="W17" s="40">
        <f t="shared" si="3"/>
        <v>103.78000557386714</v>
      </c>
      <c r="X17" s="21">
        <f>-(Données!I$50*1E-24*H17+Données!F$50)*W17+Données!F$45*K17</f>
        <v>-7.6092531972768551E-7</v>
      </c>
      <c r="Y17" s="42">
        <f t="shared" si="4"/>
        <v>25576.86567196768</v>
      </c>
      <c r="Z17" s="23">
        <f>-(Données!I$51*1E-24*H17+Données!F$51)*Y17+Données!F$48*Q17</f>
        <v>-2.5090478834640485E-5</v>
      </c>
      <c r="AA17" s="15">
        <f t="shared" si="5"/>
        <v>25680.645677541546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3125923379334265</v>
      </c>
      <c r="I18" s="40">
        <f t="shared" si="6"/>
        <v>29.647680891750078</v>
      </c>
      <c r="J18" s="21">
        <f>-(Données!I$44*1E-24*H18+Données!F$44)*I18+(Données!H$49*1E-24*H18*S18)*0.71+Données!H$50*1E-24*H18*W18</f>
        <v>1.9260549382982413E-7</v>
      </c>
      <c r="K18" s="42">
        <f t="shared" si="7"/>
        <v>3371.5781252369206</v>
      </c>
      <c r="L18" s="23">
        <f>-(Données!I$45*1E-24*H18+Données!F$45)*K18+(I18*Données!H$44*1E-24*H18)+(Données!H$51*1E-24*H18)*Y18</f>
        <v>-2.2636818612063882E-6</v>
      </c>
      <c r="M18" s="40">
        <f t="shared" si="8"/>
        <v>1225.3982316021209</v>
      </c>
      <c r="N18" s="21">
        <f>-(Données!I$46*1E-24*H18+Données!F$46)*M18+Données!H$45*1E-24*H18*K18</f>
        <v>1.5160985782093759E-6</v>
      </c>
      <c r="O18" s="42">
        <f t="shared" si="9"/>
        <v>212.33676251402943</v>
      </c>
      <c r="P18" s="23">
        <f>-(Données!I$47*1E-24*H18+Données!F$47)*O18+(Données!H$46*1E-24*H18)*M18</f>
        <v>-4.9363378800342242E-7</v>
      </c>
      <c r="Q18" s="40">
        <f t="shared" si="10"/>
        <v>88.744821015254885</v>
      </c>
      <c r="R18" s="43">
        <f>-(Données!I$48*1E-24*H18+Données!F$48)*Q18+Données!H$47*1E-24*H18*O18+(Données!H$49*1E-24*H18*S18)*0.85*0.16</f>
        <v>1.2881799371975093E-7</v>
      </c>
      <c r="S18" s="42">
        <f t="shared" si="11"/>
        <v>52.819458227450262</v>
      </c>
      <c r="T18" s="22">
        <f>-(Données!I$49*1E-24*H18+Données!F$49)*S18+Données!F$47*O18</f>
        <v>-6.0589167092479783E-9</v>
      </c>
      <c r="U18" s="28">
        <f t="shared" si="2"/>
        <v>4980.5250794875255</v>
      </c>
      <c r="V18" s="19"/>
      <c r="W18" s="40">
        <f t="shared" si="3"/>
        <v>101.78029383362279</v>
      </c>
      <c r="X18" s="21">
        <f>-(Données!I$50*1E-24*H18+Données!F$50)*W18+Données!F$45*K18</f>
        <v>-7.4620929806619213E-7</v>
      </c>
      <c r="Y18" s="42">
        <f t="shared" si="4"/>
        <v>25510.927893590244</v>
      </c>
      <c r="Z18" s="23">
        <f>-(Données!I$51*1E-24*H18+Données!F$51)*Y18+Données!F$48*Q18</f>
        <v>-2.5025794939677383E-5</v>
      </c>
      <c r="AA18" s="15">
        <f t="shared" si="5"/>
        <v>25612.708187423868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3125923379334265</v>
      </c>
      <c r="I19" s="40">
        <f t="shared" ref="I19:I30" si="14">I18+J18*D$5</f>
        <v>30.153848129534854</v>
      </c>
      <c r="J19" s="21">
        <f>-(Données!I$44*1E-24*H19+Données!F$44)*I19+(Données!H$49*1E-24*H19*S19)*0.71+Données!H$50*1E-24*H19*W19</f>
        <v>1.8646525097376454E-7</v>
      </c>
      <c r="K19" s="42">
        <f t="shared" ref="K19:K30" si="15">K18+L18*D$5</f>
        <v>3365.6291693056701</v>
      </c>
      <c r="L19" s="23">
        <f>-(Données!I$45*1E-24*H19+Données!F$45)*K19+(I19*Données!H$44*1E-24*H19)+(Données!H$51*1E-24*H19)*Y19</f>
        <v>-2.2759590736106641E-6</v>
      </c>
      <c r="M19" s="40">
        <f t="shared" ref="M19:M30" si="16">M18+N18*D$5</f>
        <v>1229.3825386656551</v>
      </c>
      <c r="N19" s="21">
        <f>-(Données!I$46*1E-24*H19+Données!F$46)*M19+Données!H$45*1E-24*H19*K19</f>
        <v>1.4967080652889174E-6</v>
      </c>
      <c r="O19" s="42">
        <f t="shared" ref="O19:O30" si="17">O18+P18*D$5</f>
        <v>211.03949291915643</v>
      </c>
      <c r="P19" s="23">
        <f>-(Données!I$47*1E-24*H19+Données!F$47)*O19+(Données!H$46*1E-24*H19)*M19</f>
        <v>-4.742481172568098E-7</v>
      </c>
      <c r="Q19" s="40">
        <f t="shared" ref="Q19:Q30" si="18">Q18+R18*D$5</f>
        <v>89.083354702750384</v>
      </c>
      <c r="R19" s="43">
        <f>-(Données!I$48*1E-24*H19+Données!F$48)*Q19+Données!H$47*1E-24*H19*O19+(Données!H$49*1E-24*H19*S19)*0.85*0.16</f>
        <v>1.2619220846570603E-7</v>
      </c>
      <c r="S19" s="42">
        <f t="shared" ref="S19:S30" si="19">S18+T18*D$5</f>
        <v>52.803535394338361</v>
      </c>
      <c r="T19" s="22">
        <f>-(Données!I$49*1E-24*H19+Données!F$49)*S19+Données!F$47*O19</f>
        <v>-7.9493402767259846E-9</v>
      </c>
      <c r="U19" s="28">
        <f t="shared" ref="U19:U30" si="20">I19+K19+M19+O19+Q19+S19</f>
        <v>4978.0919391171055</v>
      </c>
      <c r="V19" s="19"/>
      <c r="W19" s="40">
        <f t="shared" ref="W19:W30" si="21">W18+X18*D$5</f>
        <v>99.819255798304837</v>
      </c>
      <c r="X19" s="21">
        <f>-(Données!I$50*1E-24*H19+Données!F$50)*W19+Données!F$45*K19</f>
        <v>-7.3177801350297176E-7</v>
      </c>
      <c r="Y19" s="42">
        <f t="shared" ref="Y19:Y30" si="22">Y18+Z18*D$5</f>
        <v>25445.160104488772</v>
      </c>
      <c r="Z19" s="23">
        <f>-(Données!I$51*1E-24*H19+Données!F$51)*Y19+Données!F$48*Q19</f>
        <v>-2.4961277801812391E-5</v>
      </c>
      <c r="AA19" s="15">
        <f t="shared" ref="AA19:AA30" si="23">W19+Y19</f>
        <v>25544.979360287078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3125923379334265</v>
      </c>
      <c r="I20" s="40">
        <f t="shared" si="14"/>
        <v>30.643878809093906</v>
      </c>
      <c r="J20" s="21">
        <f>-(Données!I$44*1E-24*H20+Données!F$44)*I20+(Données!H$49*1E-24*H20*S20)*0.71+Données!H$50*1E-24*H20*W20</f>
        <v>1.8046041794142529E-7</v>
      </c>
      <c r="K20" s="42">
        <f t="shared" si="15"/>
        <v>3359.6479488602213</v>
      </c>
      <c r="L20" s="23">
        <f>-(Données!I$45*1E-24*H20+Données!F$45)*K20+(I20*Données!H$44*1E-24*H20)+(Données!H$51*1E-24*H20)*Y20</f>
        <v>-2.2878976889399031E-6</v>
      </c>
      <c r="M20" s="40">
        <f t="shared" si="16"/>
        <v>1233.3158874612345</v>
      </c>
      <c r="N20" s="21">
        <f>-(Données!I$46*1E-24*H20+Données!F$46)*M20+Données!H$45*1E-24*H20*K20</f>
        <v>1.4774097357866017E-6</v>
      </c>
      <c r="O20" s="42">
        <f t="shared" si="17"/>
        <v>209.79316886700553</v>
      </c>
      <c r="P20" s="23">
        <f>-(Données!I$47*1E-24*H20+Données!F$47)*O20+(Données!H$46*1E-24*H20)*M20</f>
        <v>-4.5547317593267276E-7</v>
      </c>
      <c r="Q20" s="40">
        <f t="shared" si="18"/>
        <v>89.414987826598264</v>
      </c>
      <c r="R20" s="43">
        <f>-(Données!I$48*1E-24*H20+Données!F$48)*Q20+Données!H$47*1E-24*H20*O20+(Données!H$49*1E-24*H20*S20)*0.85*0.16</f>
        <v>1.2365057090372359E-7</v>
      </c>
      <c r="S20" s="42">
        <f t="shared" si="19"/>
        <v>52.782644528091126</v>
      </c>
      <c r="T20" s="22">
        <f>-(Données!I$49*1E-24*H20+Données!F$49)*S20+Données!F$47*O20</f>
        <v>-9.7303820944037587E-9</v>
      </c>
      <c r="U20" s="28">
        <f t="shared" si="20"/>
        <v>4975.5985163522446</v>
      </c>
      <c r="V20" s="19"/>
      <c r="W20" s="40">
        <f t="shared" si="21"/>
        <v>97.896143178819031</v>
      </c>
      <c r="X20" s="21">
        <f>-(Données!I$50*1E-24*H20+Données!F$50)*W20+Données!F$45*K20</f>
        <v>-7.1762595648124499E-7</v>
      </c>
      <c r="Y20" s="42">
        <f t="shared" si="22"/>
        <v>25379.561866425611</v>
      </c>
      <c r="Z20" s="23">
        <f>-(Données!I$51*1E-24*H20+Données!F$51)*Y20+Données!F$48*Q20</f>
        <v>-2.4896926991128217E-5</v>
      </c>
      <c r="AA20" s="15">
        <f t="shared" si="23"/>
        <v>25477.45800960443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3125923379334265</v>
      </c>
      <c r="I21" s="40">
        <f t="shared" si="14"/>
        <v>31.118128787443972</v>
      </c>
      <c r="J21" s="21">
        <f>-(Données!I$44*1E-24*H21+Données!F$44)*I21+(Données!H$49*1E-24*H21*S21)*0.71+Données!H$50*1E-24*H21*W21</f>
        <v>1.7458884200074005E-7</v>
      </c>
      <c r="K21" s="42">
        <f t="shared" si="15"/>
        <v>3353.6353537336872</v>
      </c>
      <c r="L21" s="23">
        <f>-(Données!I$45*1E-24*H21+Données!F$45)*K21+(I21*Données!H$44*1E-24*H21)+(Données!H$51*1E-24*H21)*Y21</f>
        <v>-2.2995036833812949E-6</v>
      </c>
      <c r="M21" s="40">
        <f t="shared" si="16"/>
        <v>1237.1985202468818</v>
      </c>
      <c r="N21" s="21">
        <f>-(Données!I$46*1E-24*H21+Données!F$46)*M21+Données!H$45*1E-24*H21*K21</f>
        <v>1.4582042105272417E-6</v>
      </c>
      <c r="O21" s="42">
        <f t="shared" si="17"/>
        <v>208.59618536065446</v>
      </c>
      <c r="P21" s="23">
        <f>-(Données!I$47*1E-24*H21+Données!F$47)*O21+(Données!H$46*1E-24*H21)*M21</f>
        <v>-4.3729166881539996E-7</v>
      </c>
      <c r="Q21" s="40">
        <f t="shared" si="18"/>
        <v>89.739941526933251</v>
      </c>
      <c r="R21" s="43">
        <f>-(Données!I$48*1E-24*H21+Données!F$48)*Q21+Données!H$47*1E-24*H21*O21+(Données!H$49*1E-24*H21*S21)*0.85*0.16</f>
        <v>1.2119051538754791E-7</v>
      </c>
      <c r="S21" s="42">
        <f t="shared" si="19"/>
        <v>52.757073083947034</v>
      </c>
      <c r="T21" s="22">
        <f>-(Données!I$49*1E-24*H21+Données!F$49)*S21+Données!F$47*O21</f>
        <v>-1.1406310831325068E-8</v>
      </c>
      <c r="U21" s="28">
        <f t="shared" si="20"/>
        <v>4973.0452027395468</v>
      </c>
      <c r="V21" s="19"/>
      <c r="W21" s="40">
        <f t="shared" si="21"/>
        <v>96.01022216518632</v>
      </c>
      <c r="X21" s="21">
        <f>-(Données!I$50*1E-24*H21+Données!F$50)*W21+Données!F$45*K21</f>
        <v>-7.0374772405068893E-7</v>
      </c>
      <c r="Y21" s="42">
        <f t="shared" si="22"/>
        <v>25314.132742292924</v>
      </c>
      <c r="Z21" s="23">
        <f>-(Données!I$51*1E-24*H21+Données!F$51)*Y21+Données!F$48*Q21</f>
        <v>-2.4832742078816306E-5</v>
      </c>
      <c r="AA21" s="15">
        <f t="shared" si="23"/>
        <v>25410.142964458111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3125923379334265</v>
      </c>
      <c r="I22" s="40">
        <f t="shared" si="14"/>
        <v>31.576948264221915</v>
      </c>
      <c r="J22" s="21">
        <f>-(Données!I$44*1E-24*H22+Données!F$44)*I22+(Données!H$49*1E-24*H22*S22)*0.71+Données!H$50*1E-24*H22*W22</f>
        <v>1.6884838379770139E-7</v>
      </c>
      <c r="K22" s="42">
        <f t="shared" si="15"/>
        <v>3347.5922580537613</v>
      </c>
      <c r="L22" s="23">
        <f>-(Données!I$45*1E-24*H22+Données!F$45)*K22+(I22*Données!H$44*1E-24*H22)+(Données!H$51*1E-24*H22)*Y22</f>
        <v>-2.3107829321110362E-6</v>
      </c>
      <c r="M22" s="40">
        <f t="shared" si="16"/>
        <v>1241.0306809121473</v>
      </c>
      <c r="N22" s="21">
        <f>-(Données!I$46*1E-24*H22+Données!F$46)*M22+Données!H$45*1E-24*H22*K22</f>
        <v>1.4390920833130008E-6</v>
      </c>
      <c r="O22" s="42">
        <f t="shared" si="17"/>
        <v>207.44698285500758</v>
      </c>
      <c r="P22" s="23">
        <f>-(Données!I$47*1E-24*H22+Données!F$47)*O22+(Données!H$46*1E-24*H22)*M22</f>
        <v>-4.1968677835294262E-7</v>
      </c>
      <c r="Q22" s="40">
        <f t="shared" si="18"/>
        <v>90.058430201371721</v>
      </c>
      <c r="R22" s="43">
        <f>-(Données!I$48*1E-24*H22+Données!F$48)*Q22+Données!H$47*1E-24*H22*O22+(Données!H$49*1E-24*H22*S22)*0.85*0.16</f>
        <v>1.1880954783784239E-7</v>
      </c>
      <c r="S22" s="42">
        <f t="shared" si="19"/>
        <v>52.72709729908231</v>
      </c>
      <c r="T22" s="22">
        <f>-(Données!I$49*1E-24*H22+Données!F$49)*S22+Données!F$47*O22</f>
        <v>-1.2981254935957004E-8</v>
      </c>
      <c r="U22" s="28">
        <f t="shared" si="20"/>
        <v>4970.4323975855914</v>
      </c>
      <c r="V22" s="19"/>
      <c r="W22" s="40">
        <f t="shared" si="21"/>
        <v>94.160773146381104</v>
      </c>
      <c r="X22" s="21">
        <f>-(Données!I$50*1E-24*H22+Données!F$50)*W22+Données!F$45*K22</f>
        <v>-6.9013801780470546E-7</v>
      </c>
      <c r="Y22" s="42">
        <f t="shared" si="22"/>
        <v>25248.872296109796</v>
      </c>
      <c r="Z22" s="23">
        <f>-(Données!I$51*1E-24*H22+Données!F$51)*Y22+Données!F$48*Q22</f>
        <v>-2.4768722637173998E-5</v>
      </c>
      <c r="AA22" s="15">
        <f t="shared" si="23"/>
        <v>25343.033069256177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3125923379334265</v>
      </c>
      <c r="I23" s="40">
        <f t="shared" si="14"/>
        <v>32.020681816842277</v>
      </c>
      <c r="J23" s="21">
        <f>-(Données!I$44*1E-24*H23+Données!F$44)*I23+(Données!H$49*1E-24*H23*S23)*0.71+Données!H$50*1E-24*H23*W23</f>
        <v>1.6323691809250753E-7</v>
      </c>
      <c r="K23" s="42">
        <f t="shared" si="15"/>
        <v>3341.5195205081736</v>
      </c>
      <c r="L23" s="23">
        <f>-(Données!I$45*1E-24*H23+Données!F$45)*K23+(I23*Données!H$44*1E-24*H23)+(Données!H$51*1E-24*H23)*Y23</f>
        <v>-2.3217412110827761E-6</v>
      </c>
      <c r="M23" s="40">
        <f t="shared" si="16"/>
        <v>1244.8126149070938</v>
      </c>
      <c r="N23" s="21">
        <f>-(Données!I$46*1E-24*H23+Données!F$46)*M23+Données!H$45*1E-24*H23*K23</f>
        <v>1.4200739214982683E-6</v>
      </c>
      <c r="O23" s="42">
        <f t="shared" si="17"/>
        <v>206.34404600149605</v>
      </c>
      <c r="P23" s="23">
        <f>-(Données!I$47*1E-24*H23+Données!F$47)*O23+(Données!H$46*1E-24*H23)*M23</f>
        <v>-4.0264215150162443E-7</v>
      </c>
      <c r="Q23" s="40">
        <f t="shared" si="18"/>
        <v>90.370661693089573</v>
      </c>
      <c r="R23" s="43">
        <f>-(Données!I$48*1E-24*H23+Données!F$48)*Q23+Données!H$47*1E-24*H23*O23+(Données!H$49*1E-24*H23*S23)*0.85*0.16</f>
        <v>1.165052438034562E-7</v>
      </c>
      <c r="S23" s="42">
        <f t="shared" si="19"/>
        <v>52.692982561110618</v>
      </c>
      <c r="T23" s="22">
        <f>-(Données!I$49*1E-24*H23+Données!F$49)*S23+Données!F$47*O23</f>
        <v>-1.4459206877492957E-8</v>
      </c>
      <c r="U23" s="28">
        <f t="shared" si="20"/>
        <v>4967.7605074878056</v>
      </c>
      <c r="V23" s="19"/>
      <c r="W23" s="40">
        <f t="shared" si="21"/>
        <v>92.347090435590331</v>
      </c>
      <c r="X23" s="21">
        <f>-(Données!I$50*1E-24*H23+Données!F$50)*W23+Données!F$45*K23</f>
        <v>-6.7679164185760009E-7</v>
      </c>
      <c r="Y23" s="42">
        <f t="shared" si="22"/>
        <v>25183.780093019301</v>
      </c>
      <c r="Z23" s="23">
        <f>-(Données!I$51*1E-24*H23+Données!F$51)*Y23+Données!F$48*Q23</f>
        <v>-2.470486823960163E-5</v>
      </c>
      <c r="AA23" s="15">
        <f t="shared" si="23"/>
        <v>25276.12718345489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3125923379334265</v>
      </c>
      <c r="I24" s="40">
        <f t="shared" si="14"/>
        <v>32.449668437589388</v>
      </c>
      <c r="J24" s="21">
        <f>-(Données!I$44*1E-24*H24+Données!F$44)*I24+(Données!H$49*1E-24*H24*S24)*0.71+Données!H$50*1E-24*H24*W24</f>
        <v>1.5775233445137829E-7</v>
      </c>
      <c r="K24" s="42">
        <f t="shared" si="15"/>
        <v>3335.4179846054481</v>
      </c>
      <c r="L24" s="23">
        <f>-(Données!I$45*1E-24*H24+Données!F$45)*K24+(I24*Données!H$44*1E-24*H24)+(Données!H$51*1E-24*H24)*Y24</f>
        <v>-2.3323841987803888E-6</v>
      </c>
      <c r="M24" s="40">
        <f t="shared" si="16"/>
        <v>1248.5445691727912</v>
      </c>
      <c r="N24" s="21">
        <f>-(Données!I$46*1E-24*H24+Données!F$46)*M24+Données!H$45*1E-24*H24*K24</f>
        <v>1.4011502665536682E-6</v>
      </c>
      <c r="O24" s="42">
        <f t="shared" si="17"/>
        <v>205.28590242734978</v>
      </c>
      <c r="P24" s="23">
        <f>-(Données!I$47*1E-24*H24+Données!F$47)*O24+(Données!H$46*1E-24*H24)*M24</f>
        <v>-3.8614188693388697E-7</v>
      </c>
      <c r="Q24" s="40">
        <f t="shared" si="18"/>
        <v>90.676837473805051</v>
      </c>
      <c r="R24" s="43">
        <f>-(Données!I$48*1E-24*H24+Données!F$48)*Q24+Données!H$47*1E-24*H24*O24+(Données!H$49*1E-24*H24*S24)*0.85*0.16</f>
        <v>1.1427524657516973E-7</v>
      </c>
      <c r="S24" s="42">
        <f t="shared" si="19"/>
        <v>52.654983765436569</v>
      </c>
      <c r="T24" s="22">
        <f>-(Données!I$49*1E-24*H24+Données!F$49)*S24+Données!F$47*O24</f>
        <v>-1.5844027264081062E-8</v>
      </c>
      <c r="U24" s="28">
        <f t="shared" si="20"/>
        <v>4965.0299458824193</v>
      </c>
      <c r="V24" s="19"/>
      <c r="W24" s="40">
        <f t="shared" si="21"/>
        <v>90.568482000788563</v>
      </c>
      <c r="X24" s="21">
        <f>-(Données!I$50*1E-24*H24+Données!F$50)*W24+Données!F$45*K24</f>
        <v>-6.6370350086090034E-7</v>
      </c>
      <c r="Y24" s="42">
        <f t="shared" si="22"/>
        <v>25118.855699285628</v>
      </c>
      <c r="Z24" s="23">
        <f>-(Données!I$51*1E-24*H24+Données!F$51)*Y24+Données!F$48*Q24</f>
        <v>-2.4641178460599698E-5</v>
      </c>
      <c r="AA24" s="15">
        <f t="shared" si="23"/>
        <v>25209.424181286417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3125923379334265</v>
      </c>
      <c r="I25" s="40">
        <f t="shared" si="14"/>
        <v>32.864241572527611</v>
      </c>
      <c r="J25" s="21">
        <f>-(Données!I$44*1E-24*H25+Données!F$44)*I25+(Données!H$49*1E-24*H25*S25)*0.71+Données!H$50*1E-24*H25*W25</f>
        <v>1.5239253789575653E-7</v>
      </c>
      <c r="K25" s="42">
        <f t="shared" si="15"/>
        <v>3329.2884789310533</v>
      </c>
      <c r="L25" s="23">
        <f>-(Données!I$45*1E-24*H25+Données!F$45)*K25+(I25*Données!H$44*1E-24*H25)+(Données!H$51*1E-24*H25)*Y25</f>
        <v>-2.3427174779360402E-6</v>
      </c>
      <c r="M25" s="40">
        <f t="shared" si="16"/>
        <v>1252.2267920732943</v>
      </c>
      <c r="N25" s="21">
        <f>-(Données!I$46*1E-24*H25+Données!F$46)*M25+Données!H$45*1E-24*H25*K25</f>
        <v>1.3823216346194164E-6</v>
      </c>
      <c r="O25" s="42">
        <f t="shared" si="17"/>
        <v>204.27112154848751</v>
      </c>
      <c r="P25" s="23">
        <f>-(Données!I$47*1E-24*H25+Données!F$47)*O25+(Données!H$46*1E-24*H25)*M25</f>
        <v>-3.7017052259894766E-7</v>
      </c>
      <c r="Q25" s="40">
        <f t="shared" si="18"/>
        <v>90.977152821804594</v>
      </c>
      <c r="R25" s="43">
        <f>-(Données!I$48*1E-24*H25+Données!F$48)*Q25+Données!H$47*1E-24*H25*O25+(Données!H$49*1E-24*H25*S25)*0.85*0.16</f>
        <v>1.1211726535048953E-7</v>
      </c>
      <c r="S25" s="42">
        <f t="shared" si="19"/>
        <v>52.61334566178656</v>
      </c>
      <c r="T25" s="22">
        <f>-(Données!I$49*1E-24*H25+Données!F$49)*S25+Données!F$47*O25</f>
        <v>-1.7139448841472351E-8</v>
      </c>
      <c r="U25" s="28">
        <f t="shared" si="20"/>
        <v>4962.2411326089541</v>
      </c>
      <c r="V25" s="19"/>
      <c r="W25" s="40">
        <f t="shared" si="21"/>
        <v>88.824269200526118</v>
      </c>
      <c r="X25" s="21">
        <f>-(Données!I$50*1E-24*H25+Données!F$50)*W25+Données!F$45*K25</f>
        <v>-6.5086859805805532E-7</v>
      </c>
      <c r="Y25" s="42">
        <f t="shared" si="22"/>
        <v>25054.098682291173</v>
      </c>
      <c r="Z25" s="23">
        <f>-(Données!I$51*1E-24*H25+Données!F$51)*Y25+Données!F$48*Q25</f>
        <v>-2.4577652875766018E-5</v>
      </c>
      <c r="AA25" s="15">
        <f t="shared" si="23"/>
        <v>25142.922951491699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3125923379334265</v>
      </c>
      <c r="I26" s="40">
        <f t="shared" si="14"/>
        <v>33.264729162117661</v>
      </c>
      <c r="J26" s="21">
        <f>-(Données!I$44*1E-24*H26+Données!F$44)*I26+(Données!H$49*1E-24*H26*S26)*0.71+Données!H$50*1E-24*H26*W26</f>
        <v>1.4715544951055476E-7</v>
      </c>
      <c r="K26" s="42">
        <f t="shared" si="15"/>
        <v>3323.1318173990376</v>
      </c>
      <c r="L26" s="23">
        <f>-(Données!I$45*1E-24*H26+Données!F$45)*K26+(I26*Données!H$44*1E-24*H26)+(Données!H$51*1E-24*H26)*Y26</f>
        <v>-2.3527465372141512E-6</v>
      </c>
      <c r="M26" s="40">
        <f t="shared" si="16"/>
        <v>1255.8595333290741</v>
      </c>
      <c r="N26" s="21">
        <f>-(Données!I$46*1E-24*H26+Données!F$46)*M26+Données!H$45*1E-24*H26*K26</f>
        <v>1.3635885170482259E-6</v>
      </c>
      <c r="O26" s="42">
        <f t="shared" si="17"/>
        <v>203.29831341509748</v>
      </c>
      <c r="P26" s="23">
        <f>-(Données!I$47*1E-24*H26+Données!F$47)*O26+(Données!H$46*1E-24*H26)*M26</f>
        <v>-3.5471302362660478E-7</v>
      </c>
      <c r="Q26" s="40">
        <f t="shared" si="18"/>
        <v>91.271796995145678</v>
      </c>
      <c r="R26" s="43">
        <f>-(Données!I$48*1E-24*H26+Données!F$48)*Q26+Données!H$47*1E-24*H26*O26+(Données!H$49*1E-24*H26*S26)*0.85*0.16</f>
        <v>1.1002907344810032E-7</v>
      </c>
      <c r="S26" s="42">
        <f t="shared" si="19"/>
        <v>52.56830319023117</v>
      </c>
      <c r="T26" s="22">
        <f>-(Données!I$49*1E-24*H26+Données!F$49)*S26+Données!F$47*O26</f>
        <v>-1.8349080375487429E-8</v>
      </c>
      <c r="U26" s="28">
        <f t="shared" si="20"/>
        <v>4959.3944934907031</v>
      </c>
      <c r="V26" s="19"/>
      <c r="W26" s="40">
        <f t="shared" si="21"/>
        <v>87.11378652482955</v>
      </c>
      <c r="X26" s="21">
        <f>-(Données!I$50*1E-24*H26+Données!F$50)*W26+Données!F$45*K26</f>
        <v>-6.3828203337677617E-7</v>
      </c>
      <c r="Y26" s="42">
        <f t="shared" si="22"/>
        <v>24989.50861053366</v>
      </c>
      <c r="Z26" s="23">
        <f>-(Données!I$51*1E-24*H26+Données!F$51)*Y26+Données!F$48*Q26</f>
        <v>-2.4514291061792865E-5</v>
      </c>
      <c r="AA26" s="15">
        <f t="shared" si="23"/>
        <v>25076.622397058491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3125923379334265</v>
      </c>
      <c r="I27" s="40">
        <f t="shared" si="14"/>
        <v>33.651453683431399</v>
      </c>
      <c r="J27" s="21">
        <f>-(Données!I$44*1E-24*H27+Données!F$44)*I27+(Données!H$49*1E-24*H27*S27)*0.71+Données!H$50*1E-24*H27*W27</f>
        <v>1.4203900701304925E-7</v>
      </c>
      <c r="K27" s="42">
        <f t="shared" si="15"/>
        <v>3316.9487994992387</v>
      </c>
      <c r="L27" s="23">
        <f>-(Données!I$45*1E-24*H27+Données!F$45)*K27+(I27*Données!H$44*1E-24*H27)+(Données!H$51*1E-24*H27)*Y27</f>
        <v>-2.3624767728622912E-6</v>
      </c>
      <c r="M27" s="40">
        <f t="shared" si="16"/>
        <v>1259.4430439518769</v>
      </c>
      <c r="N27" s="21">
        <f>-(Données!I$46*1E-24*H27+Données!F$46)*M27+Données!H$45*1E-24*H27*K27</f>
        <v>1.3449513809379684E-6</v>
      </c>
      <c r="O27" s="42">
        <f t="shared" si="17"/>
        <v>202.36612758900677</v>
      </c>
      <c r="P27" s="23">
        <f>-(Données!I$47*1E-24*H27+Données!F$47)*O27+(Données!H$46*1E-24*H27)*M27</f>
        <v>-3.3975477056471131E-7</v>
      </c>
      <c r="Q27" s="40">
        <f t="shared" si="18"/>
        <v>91.560953400167293</v>
      </c>
      <c r="R27" s="43">
        <f>-(Données!I$48*1E-24*H27+Données!F$48)*Q27+Données!H$47*1E-24*H27*O27+(Données!H$49*1E-24*H27*S27)*0.85*0.16</f>
        <v>1.0800850657062212E-7</v>
      </c>
      <c r="S27" s="42">
        <f t="shared" si="19"/>
        <v>52.520081807004388</v>
      </c>
      <c r="T27" s="22">
        <f>-(Données!I$49*1E-24*H27+Données!F$49)*S27+Données!F$47*O27</f>
        <v>-1.9476410421603516E-8</v>
      </c>
      <c r="U27" s="28">
        <f t="shared" si="20"/>
        <v>4956.4904599307256</v>
      </c>
      <c r="V27" s="19"/>
      <c r="W27" s="40">
        <f t="shared" si="21"/>
        <v>85.436381341115379</v>
      </c>
      <c r="X27" s="21">
        <f>-(Données!I$50*1E-24*H27+Données!F$50)*W27+Données!F$45*K27</f>
        <v>-6.2593900155828644E-7</v>
      </c>
      <c r="Y27" s="42">
        <f t="shared" si="22"/>
        <v>24925.085053623268</v>
      </c>
      <c r="Z27" s="23">
        <f>-(Données!I$51*1E-24*H27+Données!F$51)*Y27+Données!F$48*Q27</f>
        <v>-2.4451092596464171E-5</v>
      </c>
      <c r="AA27" s="15">
        <f t="shared" si="23"/>
        <v>25010.521434964383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3125923379334265</v>
      </c>
      <c r="I28" s="40">
        <f t="shared" si="14"/>
        <v>34.024732193861695</v>
      </c>
      <c r="J28" s="21">
        <f>-(Données!I$44*1E-24*H28+Données!F$44)*I28+(Données!H$49*1E-24*H28*S28)*0.71+Données!H$50*1E-24*H28*W28</f>
        <v>1.3704116528397336E-7</v>
      </c>
      <c r="K28" s="42">
        <f t="shared" si="15"/>
        <v>3310.7402105401566</v>
      </c>
      <c r="L28" s="23">
        <f>-(Données!I$45*1E-24*H28+Données!F$45)*K28+(I28*Données!H$44*1E-24*H28)+(Données!H$51*1E-24*H28)*Y28</f>
        <v>-2.371913490329554E-6</v>
      </c>
      <c r="M28" s="40">
        <f t="shared" si="16"/>
        <v>1262.9775761809819</v>
      </c>
      <c r="N28" s="21">
        <f>-(Données!I$46*1E-24*H28+Données!F$46)*M28+Données!H$45*1E-24*H28*K28</f>
        <v>1.3264106696542899E-6</v>
      </c>
      <c r="O28" s="42">
        <f t="shared" si="17"/>
        <v>201.4732520519627</v>
      </c>
      <c r="P28" s="23">
        <f>-(Données!I$47*1E-24*H28+Données!F$47)*O28+(Données!H$46*1E-24*H28)*M28</f>
        <v>-3.2528154794109824E-7</v>
      </c>
      <c r="Q28" s="40">
        <f t="shared" si="18"/>
        <v>91.844799755434892</v>
      </c>
      <c r="R28" s="43">
        <f>-(Données!I$48*1E-24*H28+Données!F$48)*Q28+Données!H$47*1E-24*H28*O28+(Données!H$49*1E-24*H28*S28)*0.85*0.16</f>
        <v>1.0605346111435676E-7</v>
      </c>
      <c r="S28" s="42">
        <f t="shared" si="19"/>
        <v>52.468897800416414</v>
      </c>
      <c r="T28" s="22">
        <f>-(Données!I$49*1E-24*H28+Données!F$49)*S28+Données!F$47*O28</f>
        <v>-2.0524810984869936E-8</v>
      </c>
      <c r="U28" s="28">
        <f t="shared" si="20"/>
        <v>4953.5294685228137</v>
      </c>
      <c r="V28" s="19"/>
      <c r="W28" s="40">
        <f t="shared" si="21"/>
        <v>83.791413645020199</v>
      </c>
      <c r="X28" s="21">
        <f>-(Données!I$50*1E-24*H28+Données!F$50)*W28+Données!F$45*K28</f>
        <v>-6.1383479032276915E-7</v>
      </c>
      <c r="Y28" s="42">
        <f t="shared" si="22"/>
        <v>24860.827582279762</v>
      </c>
      <c r="Z28" s="23">
        <f>-(Données!I$51*1E-24*H28+Données!F$51)*Y28+Données!F$48*Q28</f>
        <v>-2.4388057058652671E-5</v>
      </c>
      <c r="AA28" s="15">
        <f t="shared" si="23"/>
        <v>24944.618995924782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3125923379334265</v>
      </c>
      <c r="I29" s="40">
        <f t="shared" si="14"/>
        <v>34.384876376227979</v>
      </c>
      <c r="J29" s="21">
        <f>-(Données!I$44*1E-24*H29+Données!F$44)*I29+(Données!H$49*1E-24*H29*S29)*0.71+Données!H$50*1E-24*H29*W29</f>
        <v>1.3215989686230702E-7</v>
      </c>
      <c r="K29" s="42">
        <f t="shared" si="15"/>
        <v>3304.5068218875704</v>
      </c>
      <c r="L29" s="23">
        <f>-(Données!I$45*1E-24*H29+Données!F$45)*K29+(I29*Données!H$44*1E-24*H29)+(Données!H$51*1E-24*H29)*Y29</f>
        <v>-2.3810619058532766E-6</v>
      </c>
      <c r="M29" s="40">
        <f t="shared" si="16"/>
        <v>1266.4633834208335</v>
      </c>
      <c r="N29" s="21">
        <f>-(Données!I$46*1E-24*H29+Données!F$46)*M29+Données!H$45*1E-24*H29*K29</f>
        <v>1.3079668033433795E-6</v>
      </c>
      <c r="O29" s="42">
        <f t="shared" si="17"/>
        <v>200.6184121439735</v>
      </c>
      <c r="P29" s="23">
        <f>-(Données!I$47*1E-24*H29+Données!F$47)*O29+(Données!H$46*1E-24*H29)*M29</f>
        <v>-3.112795331409724E-7</v>
      </c>
      <c r="Q29" s="40">
        <f t="shared" si="18"/>
        <v>92.123508251243422</v>
      </c>
      <c r="R29" s="43">
        <f>-(Données!I$48*1E-24*H29+Données!F$48)*Q29+Données!H$47*1E-24*H29*O29+(Données!H$49*1E-24*H29*S29)*0.85*0.16</f>
        <v>1.0416189252474401E-7</v>
      </c>
      <c r="S29" s="42">
        <f t="shared" si="19"/>
        <v>52.414958597148178</v>
      </c>
      <c r="T29" s="22">
        <f>-(Données!I$49*1E-24*H29+Données!F$49)*S29+Données!F$47*O29</f>
        <v>-2.1497541073272586E-8</v>
      </c>
      <c r="U29" s="28">
        <f t="shared" si="20"/>
        <v>4950.5119606769968</v>
      </c>
      <c r="V29" s="19"/>
      <c r="W29" s="40">
        <f t="shared" si="21"/>
        <v>82.178255816051959</v>
      </c>
      <c r="X29" s="21">
        <f>-(Données!I$50*1E-24*H29+Données!F$50)*W29+Données!F$45*K29</f>
        <v>-6.0196477857031103E-7</v>
      </c>
      <c r="Y29" s="42">
        <f t="shared" si="22"/>
        <v>24796.735768329621</v>
      </c>
      <c r="Z29" s="23">
        <f>-(Données!I$51*1E-24*H29+Données!F$51)*Y29+Données!F$48*Q29</f>
        <v>-2.4325184028317106E-5</v>
      </c>
      <c r="AA29" s="15">
        <f t="shared" si="23"/>
        <v>24878.914024145673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3125923379334265</v>
      </c>
      <c r="I30" s="40">
        <f t="shared" si="14"/>
        <v>34.732192585182119</v>
      </c>
      <c r="J30" s="21">
        <f>-(Données!I$44*1E-24*H30+Données!F$44)*I30+(Données!H$49*1E-24*H30*S30)*0.71+Données!H$50*1E-24*H30*W30</f>
        <v>1.2739319240521052E-7</v>
      </c>
      <c r="K30" s="42">
        <f t="shared" si="15"/>
        <v>3298.2493911989882</v>
      </c>
      <c r="L30" s="23">
        <f>-(Données!I$45*1E-24*H30+Données!F$45)*K30+(I30*Données!H$44*1E-24*H30)+(Données!H$51*1E-24*H30)*Y30</f>
        <v>-2.3899271480148497E-6</v>
      </c>
      <c r="M30" s="40">
        <f t="shared" si="16"/>
        <v>1269.9007201800198</v>
      </c>
      <c r="N30" s="21">
        <f>-(Données!I$46*1E-24*H30+Données!F$46)*M30+Données!H$45*1E-24*H30*K30</f>
        <v>1.2896201794350695E-6</v>
      </c>
      <c r="O30" s="42">
        <f t="shared" si="17"/>
        <v>199.80036953087904</v>
      </c>
      <c r="P30" s="23">
        <f>-(Données!I$47*1E-24*H30+Données!F$47)*O30+(Données!H$46*1E-24*H30)*M30</f>
        <v>-2.9773528559108025E-7</v>
      </c>
      <c r="Q30" s="40">
        <f t="shared" si="18"/>
        <v>92.397245704798451</v>
      </c>
      <c r="R30" s="43">
        <f>-(Données!I$48*1E-24*H30+Données!F$48)*Q30+Données!H$47*1E-24*H30*O30+(Données!H$49*1E-24*H30*S30)*0.85*0.16</f>
        <v>1.0233181369628263E-7</v>
      </c>
      <c r="S30" s="42">
        <f t="shared" si="19"/>
        <v>52.358463059207615</v>
      </c>
      <c r="T30" s="22">
        <f>-(Données!I$49*1E-24*H30+Données!F$49)*S30+Données!F$47*O30</f>
        <v>-2.239775014757763E-8</v>
      </c>
      <c r="U30" s="28">
        <f t="shared" si="20"/>
        <v>4947.4383822590753</v>
      </c>
      <c r="V30" s="19"/>
      <c r="W30" s="40">
        <f t="shared" si="21"/>
        <v>80.596292377969178</v>
      </c>
      <c r="X30" s="21">
        <f>-(Données!I$50*1E-24*H30+Données!F$50)*W30+Données!F$45*K30</f>
        <v>-5.9032443461665587E-7</v>
      </c>
      <c r="Y30" s="42">
        <f t="shared" si="22"/>
        <v>24732.809184703205</v>
      </c>
      <c r="Z30" s="23">
        <f>-(Données!I$51*1E-24*H30+Données!F$51)*Y30+Données!F$48*Q30</f>
        <v>-2.4262473086499404E-5</v>
      </c>
      <c r="AA30" s="15">
        <f t="shared" si="23"/>
        <v>24813.405477081174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3125923379334265</v>
      </c>
      <c r="I31" s="40">
        <f t="shared" ref="I31:I94" si="26">I30+J30*D$5</f>
        <v>35.066981894823016</v>
      </c>
      <c r="J31" s="21">
        <f>-(Données!I$44*1E-24*H31+Données!F$44)*I31+(Données!H$49*1E-24*H31*S31)*0.71+Données!H$50*1E-24*H31*W31</f>
        <v>1.2273906111450092E-7</v>
      </c>
      <c r="K31" s="42">
        <f t="shared" ref="K31:K94" si="27">K30+L30*D$5</f>
        <v>3291.9686626540051</v>
      </c>
      <c r="L31" s="23">
        <f>-(Données!I$45*1E-24*H31+Données!F$45)*K31+(I31*Données!H$44*1E-24*H31)+(Données!H$51*1E-24*H31)*Y31</f>
        <v>-2.3985142592651799E-6</v>
      </c>
      <c r="M31" s="40">
        <f t="shared" ref="M31:M94" si="28">M30+N30*D$5</f>
        <v>1273.289842011575</v>
      </c>
      <c r="N31" s="21">
        <f>-(Données!I$46*1E-24*H31+Données!F$46)*M31+Données!H$45*1E-24*H31*K31</f>
        <v>1.2713711731364618E-6</v>
      </c>
      <c r="O31" s="42">
        <f t="shared" ref="O31:O94" si="29">O30+P30*D$5</f>
        <v>199.01792120034568</v>
      </c>
      <c r="P31" s="23">
        <f>-(Données!I$47*1E-24*H31+Données!F$47)*O31+(Données!H$46*1E-24*H31)*M31</f>
        <v>-2.8463573624215044E-7</v>
      </c>
      <c r="Q31" s="40">
        <f t="shared" ref="Q31:Q94" si="30">Q30+R30*D$5</f>
        <v>92.666173711192286</v>
      </c>
      <c r="R31" s="43">
        <f>-(Données!I$48*1E-24*H31+Données!F$48)*Q31+Données!H$47*1E-24*H31*O31+(Données!H$49*1E-24*H31*S31)*0.85*0.16</f>
        <v>1.005612934157058E-7</v>
      </c>
      <c r="S31" s="42">
        <f t="shared" ref="S31:S94" si="31">S30+T30*D$5</f>
        <v>52.299601771819781</v>
      </c>
      <c r="T31" s="22">
        <f>-(Données!I$49*1E-24*H31+Données!F$49)*S31+Données!F$47*O31</f>
        <v>-2.3228481470601737E-8</v>
      </c>
      <c r="U31" s="28">
        <f t="shared" ref="U31:U94" si="32">I31+K31+M31+O31+Q31+S31</f>
        <v>4944.3091832437613</v>
      </c>
      <c r="V31" s="19"/>
      <c r="W31" s="40">
        <f t="shared" ref="W31:W94" si="33">W30+X30*D$5</f>
        <v>79.044919763796599</v>
      </c>
      <c r="X31" s="21">
        <f>-(Données!I$50*1E-24*H31+Données!F$50)*W31+Données!F$45*K31</f>
        <v>-5.7890931446309429E-7</v>
      </c>
      <c r="Y31" s="42">
        <f t="shared" ref="Y31:Y94" si="34">Y30+Z30*D$5</f>
        <v>24669.047405431884</v>
      </c>
      <c r="Z31" s="23">
        <f>-(Données!I$51*1E-24*H31+Données!F$51)*Y31+Données!F$48*Q31</f>
        <v>-2.4199923815321895E-5</v>
      </c>
      <c r="AA31" s="15">
        <f t="shared" ref="AA31:AA94" si="35">W31+Y31</f>
        <v>24748.092325195681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3125923379334265</v>
      </c>
      <c r="I32" s="40">
        <f t="shared" si="26"/>
        <v>35.389540147431923</v>
      </c>
      <c r="J32" s="21">
        <f>-(Données!I$44*1E-24*H32+Données!F$44)*I32+(Données!H$49*1E-24*H32*S32)*0.71+Données!H$50*1E-24*H32*W32</f>
        <v>1.181955311310239E-7</v>
      </c>
      <c r="K32" s="42">
        <f t="shared" si="27"/>
        <v>3285.6653671806562</v>
      </c>
      <c r="L32" s="23">
        <f>-(Données!I$45*1E-24*H32+Données!F$45)*K32+(I32*Données!H$44*1E-24*H32)+(Données!H$51*1E-24*H32)*Y32</f>
        <v>-2.406828197420712E-6</v>
      </c>
      <c r="M32" s="40">
        <f t="shared" si="28"/>
        <v>1276.6310054545777</v>
      </c>
      <c r="N32" s="21">
        <f>-(Données!I$46*1E-24*H32+Données!F$46)*M32+Données!H$45*1E-24*H32*K32</f>
        <v>1.2532201379162663E-6</v>
      </c>
      <c r="O32" s="42">
        <f t="shared" si="29"/>
        <v>198.2698984855013</v>
      </c>
      <c r="P32" s="23">
        <f>-(Données!I$47*1E-24*H32+Données!F$47)*O32+(Données!H$46*1E-24*H32)*M32</f>
        <v>-2.719681773413822E-7</v>
      </c>
      <c r="Q32" s="40">
        <f t="shared" si="30"/>
        <v>92.930448790288764</v>
      </c>
      <c r="R32" s="43">
        <f>-(Données!I$48*1E-24*H32+Données!F$48)*Q32+Données!H$47*1E-24*H32*O32+(Données!H$49*1E-24*H32*S32)*0.85*0.16</f>
        <v>9.8848454847234732E-8</v>
      </c>
      <c r="S32" s="42">
        <f t="shared" si="31"/>
        <v>52.238557322515042</v>
      </c>
      <c r="T32" s="22">
        <f>-(Données!I$49*1E-24*H32+Données!F$49)*S32+Données!F$47*O32</f>
        <v>-2.3992675358771453E-8</v>
      </c>
      <c r="U32" s="28">
        <f t="shared" si="32"/>
        <v>4941.1248173809709</v>
      </c>
      <c r="V32" s="19"/>
      <c r="W32" s="40">
        <f t="shared" si="33"/>
        <v>77.523546085387594</v>
      </c>
      <c r="X32" s="21">
        <f>-(Données!I$50*1E-24*H32+Données!F$50)*W32+Données!F$45*K32</f>
        <v>-5.6771506009982895E-7</v>
      </c>
      <c r="Y32" s="42">
        <f t="shared" si="34"/>
        <v>24605.450005645216</v>
      </c>
      <c r="Z32" s="23">
        <f>-(Données!I$51*1E-24*H32+Données!F$51)*Y32+Données!F$48*Q32</f>
        <v>-2.4137535797984491E-5</v>
      </c>
      <c r="AA32" s="15">
        <f t="shared" si="35"/>
        <v>24682.973551730604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3125923379334265</v>
      </c>
      <c r="I33" s="40">
        <f t="shared" si="26"/>
        <v>35.700158003244255</v>
      </c>
      <c r="J33" s="21">
        <f>-(Données!I$44*1E-24*H33+Données!F$44)*I33+(Données!H$49*1E-24*H33*S33)*0.71+Données!H$50*1E-24*H33*W33</f>
        <v>1.1376064989822471E-7</v>
      </c>
      <c r="K33" s="42">
        <f t="shared" si="27"/>
        <v>3279.3402226778344</v>
      </c>
      <c r="L33" s="23">
        <f>-(Données!I$45*1E-24*H33+Données!F$45)*K33+(I33*Données!H$44*1E-24*H33)+(Données!H$51*1E-24*H33)*Y33</f>
        <v>-2.4148738371304535E-6</v>
      </c>
      <c r="M33" s="40">
        <f t="shared" si="28"/>
        <v>1279.9244679770215</v>
      </c>
      <c r="N33" s="21">
        <f>-(Données!I$46*1E-24*H33+Données!F$46)*M33+Données!H$45*1E-24*H33*K33</f>
        <v>1.2351674059800212E-6</v>
      </c>
      <c r="O33" s="42">
        <f t="shared" si="29"/>
        <v>197.55516611544815</v>
      </c>
      <c r="P33" s="23">
        <f>-(Données!I$47*1E-24*H33+Données!F$47)*O33+(Données!H$46*1E-24*H33)*M33</f>
        <v>-2.5972025248695862E-7</v>
      </c>
      <c r="Q33" s="40">
        <f t="shared" si="30"/>
        <v>93.190222529627292</v>
      </c>
      <c r="R33" s="43">
        <f>-(Données!I$48*1E-24*H33+Données!F$48)*Q33+Données!H$47*1E-24*H33*O33+(Données!H$49*1E-24*H33*S33)*0.85*0.16</f>
        <v>9.7191474058763664E-8</v>
      </c>
      <c r="S33" s="42">
        <f t="shared" si="31"/>
        <v>52.175504571672192</v>
      </c>
      <c r="T33" s="22">
        <f>-(Données!I$49*1E-24*H33+Données!F$49)*S33+Données!F$47*O33</f>
        <v>-2.469317233875395E-8</v>
      </c>
      <c r="U33" s="28">
        <f t="shared" si="32"/>
        <v>4937.8857418748466</v>
      </c>
      <c r="V33" s="19"/>
      <c r="W33" s="40">
        <f t="shared" si="33"/>
        <v>76.031590907445249</v>
      </c>
      <c r="X33" s="21">
        <f>-(Données!I$50*1E-24*H33+Données!F$50)*W33+Données!F$45*K33</f>
        <v>-5.5673739784216762E-7</v>
      </c>
      <c r="Y33" s="42">
        <f t="shared" si="34"/>
        <v>24542.016561568114</v>
      </c>
      <c r="Z33" s="23">
        <f>-(Données!I$51*1E-24*H33+Données!F$51)*Y33+Données!F$48*Q33</f>
        <v>-2.4075308618761927E-5</v>
      </c>
      <c r="AA33" s="15">
        <f t="shared" si="35"/>
        <v>24618.04815247556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3125923379334265</v>
      </c>
      <c r="I34" s="40">
        <f t="shared" si="26"/>
        <v>35.999120991176788</v>
      </c>
      <c r="J34" s="21">
        <f>-(Données!I$44*1E-24*H34+Données!F$44)*I34+(Données!H$49*1E-24*H34*S34)*0.71+Données!H$50*1E-24*H34*W34</f>
        <v>1.094324844961819E-7</v>
      </c>
      <c r="K34" s="42">
        <f t="shared" si="27"/>
        <v>3272.9939342338557</v>
      </c>
      <c r="L34" s="23">
        <f>-(Données!I$45*1E-24*H34+Données!F$45)*K34+(I34*Données!H$44*1E-24*H34)+(Données!H$51*1E-24*H34)*Y34</f>
        <v>-2.4226559713148389E-6</v>
      </c>
      <c r="M34" s="40">
        <f t="shared" si="28"/>
        <v>1283.1704879199372</v>
      </c>
      <c r="N34" s="21">
        <f>-(Données!I$46*1E-24*H34+Données!F$46)*M34+Données!H$45*1E-24*H34*K34</f>
        <v>1.2172132887363676E-6</v>
      </c>
      <c r="O34" s="42">
        <f t="shared" si="29"/>
        <v>196.87262129191242</v>
      </c>
      <c r="P34" s="23">
        <f>-(Données!I$47*1E-24*H34+Données!F$47)*O34+(Données!H$46*1E-24*H34)*M34</f>
        <v>-2.4787994695678924E-7</v>
      </c>
      <c r="Q34" s="40">
        <f t="shared" si="30"/>
        <v>93.445641723453718</v>
      </c>
      <c r="R34" s="43">
        <f>-(Données!I$48*1E-24*H34+Données!F$48)*Q34+Données!H$47*1E-24*H34*O34+(Données!H$49*1E-24*H34*S34)*0.85*0.16</f>
        <v>9.5588578587863816E-8</v>
      </c>
      <c r="S34" s="42">
        <f t="shared" si="31"/>
        <v>52.11061091476595</v>
      </c>
      <c r="T34" s="22">
        <f>-(Données!I$49*1E-24*H34+Données!F$49)*S34+Données!F$47*O34</f>
        <v>-2.5332716211865897E-8</v>
      </c>
      <c r="U34" s="28">
        <f t="shared" si="32"/>
        <v>4934.5924170751023</v>
      </c>
      <c r="V34" s="19"/>
      <c r="W34" s="40">
        <f t="shared" si="33"/>
        <v>74.568485025916033</v>
      </c>
      <c r="X34" s="21">
        <f>-(Données!I$50*1E-24*H34+Données!F$50)*W34+Données!F$45*K34</f>
        <v>-5.4597213669890941E-7</v>
      </c>
      <c r="Y34" s="42">
        <f t="shared" si="34"/>
        <v>24478.746650518009</v>
      </c>
      <c r="Z34" s="23">
        <f>-(Données!I$51*1E-24*H34+Données!F$51)*Y34+Données!F$48*Q34</f>
        <v>-2.4013241863000963E-5</v>
      </c>
      <c r="AA34" s="15">
        <f t="shared" si="35"/>
        <v>24553.315135543926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3125923379334265</v>
      </c>
      <c r="I35" s="40">
        <f t="shared" si="26"/>
        <v>36.286709560432755</v>
      </c>
      <c r="J35" s="21">
        <f>-(Données!I$44*1E-24*H35+Données!F$44)*I35+(Données!H$49*1E-24*H35*S35)*0.71+Données!H$50*1E-24*H35*W35</f>
        <v>1.0520912194732009E-7</v>
      </c>
      <c r="K35" s="42">
        <f t="shared" si="27"/>
        <v>3266.6271943412403</v>
      </c>
      <c r="L35" s="23">
        <f>-(Données!I$45*1E-24*H35+Données!F$45)*K35+(I35*Données!H$44*1E-24*H35)+(Données!H$51*1E-24*H35)*Y35</f>
        <v>-2.430179312576962E-6</v>
      </c>
      <c r="M35" s="40">
        <f t="shared" si="28"/>
        <v>1286.3693244427363</v>
      </c>
      <c r="N35" s="21">
        <f>-(Données!I$46*1E-24*H35+Données!F$46)*M35+Données!H$45*1E-24*H35*K35</f>
        <v>1.199358077254562E-6</v>
      </c>
      <c r="O35" s="42">
        <f t="shared" si="29"/>
        <v>196.22119279130999</v>
      </c>
      <c r="P35" s="23">
        <f>-(Données!I$47*1E-24*H35+Données!F$47)*O35+(Données!H$46*1E-24*H35)*M35</f>
        <v>-2.3643557830391782E-7</v>
      </c>
      <c r="Q35" s="40">
        <f t="shared" si="30"/>
        <v>93.696848507982622</v>
      </c>
      <c r="R35" s="43">
        <f>-(Données!I$48*1E-24*H35+Données!F$48)*Q35+Données!H$47*1E-24*H35*O35+(Données!H$49*1E-24*H35*S35)*0.85*0.16</f>
        <v>9.4038046046523383E-8</v>
      </c>
      <c r="S35" s="42">
        <f t="shared" si="31"/>
        <v>52.044036536561165</v>
      </c>
      <c r="T35" s="22">
        <f>-(Données!I$49*1E-24*H35+Données!F$49)*S35+Données!F$47*O35</f>
        <v>-2.59139570288869E-8</v>
      </c>
      <c r="U35" s="28">
        <f t="shared" si="32"/>
        <v>4931.2453061802635</v>
      </c>
      <c r="V35" s="19"/>
      <c r="W35" s="40">
        <f t="shared" si="33"/>
        <v>73.133670250671301</v>
      </c>
      <c r="X35" s="21">
        <f>-(Données!I$50*1E-24*H35+Données!F$50)*W35+Données!F$45*K35</f>
        <v>-5.3541516677230034E-7</v>
      </c>
      <c r="Y35" s="42">
        <f t="shared" si="34"/>
        <v>24415.639850902044</v>
      </c>
      <c r="Z35" s="23">
        <f>-(Données!I$51*1E-24*H35+Données!F$51)*Y35+Données!F$48*Q35</f>
        <v>-2.395133511711761E-5</v>
      </c>
      <c r="AA35" s="15">
        <f t="shared" si="35"/>
        <v>24488.773521152714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3125923379334265</v>
      </c>
      <c r="I36" s="40">
        <f t="shared" si="26"/>
        <v>36.563199132910313</v>
      </c>
      <c r="J36" s="21">
        <f>-(Données!I$44*1E-24*H36+Données!F$44)*I36+(Données!H$49*1E-24*H36*S36)*0.71+Données!H$50*1E-24*H36*W36</f>
        <v>1.0108866949497972E-7</v>
      </c>
      <c r="K36" s="42">
        <f t="shared" si="27"/>
        <v>3260.2406831077878</v>
      </c>
      <c r="L36" s="23">
        <f>-(Données!I$45*1E-24*H36+Données!F$45)*K36+(I36*Données!H$44*1E-24*H36)+(Données!H$51*1E-24*H36)*Y36</f>
        <v>-2.4374484945868266E-6</v>
      </c>
      <c r="M36" s="40">
        <f t="shared" si="28"/>
        <v>1289.5212374697612</v>
      </c>
      <c r="N36" s="21">
        <f>-(Données!I$46*1E-24*H36+Données!F$46)*M36+Données!H$45*1E-24*H36*K36</f>
        <v>1.1816020427133811E-6</v>
      </c>
      <c r="O36" s="42">
        <f t="shared" si="29"/>
        <v>195.59984009152728</v>
      </c>
      <c r="P36" s="23">
        <f>-(Données!I$47*1E-24*H36+Données!F$47)*O36+(Données!H$46*1E-24*H36)*M36</f>
        <v>-2.253757872112076E-7</v>
      </c>
      <c r="Q36" s="40">
        <f t="shared" si="30"/>
        <v>93.943980492992893</v>
      </c>
      <c r="R36" s="43">
        <f>-(Données!I$48*1E-24*H36+Données!F$48)*Q36+Données!H$47*1E-24*H36*O36+(Données!H$49*1E-24*H36*S36)*0.85*0.16</f>
        <v>9.2538202763568937E-8</v>
      </c>
      <c r="S36" s="42">
        <f t="shared" si="31"/>
        <v>51.975934657489248</v>
      </c>
      <c r="T36" s="22">
        <f>-(Données!I$49*1E-24*H36+Données!F$49)*S36+Données!F$47*O36</f>
        <v>-2.6439453977832614E-8</v>
      </c>
      <c r="U36" s="28">
        <f t="shared" si="32"/>
        <v>4927.8448749524678</v>
      </c>
      <c r="V36" s="19"/>
      <c r="W36" s="40">
        <f t="shared" si="33"/>
        <v>71.726599192393692</v>
      </c>
      <c r="X36" s="21">
        <f>-(Données!I$50*1E-24*H36+Données!F$50)*W36+Données!F$45*K36</f>
        <v>-5.2506245768894794E-7</v>
      </c>
      <c r="Y36" s="42">
        <f t="shared" si="34"/>
        <v>24352.695742214259</v>
      </c>
      <c r="Z36" s="23">
        <f>-(Données!I$51*1E-24*H36+Données!F$51)*Y36+Données!F$48*Q36</f>
        <v>-2.388958796859439E-5</v>
      </c>
      <c r="AA36" s="15">
        <f t="shared" si="35"/>
        <v>24424.422341406651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3125923379334265</v>
      </c>
      <c r="I37" s="40">
        <f t="shared" si="26"/>
        <v>36.828860156343119</v>
      </c>
      <c r="J37" s="21">
        <f>-(Données!I$44*1E-24*H37+Données!F$44)*I37+(Données!H$49*1E-24*H37*S37)*0.71+Données!H$50*1E-24*H37*W37</f>
        <v>9.7069254855979761E-8</v>
      </c>
      <c r="K37" s="42">
        <f t="shared" si="27"/>
        <v>3253.8350684640136</v>
      </c>
      <c r="L37" s="23">
        <f>-(Données!I$45*1E-24*H37+Données!F$45)*K37+(I37*Données!H$44*1E-24*H37)+(Données!H$51*1E-24*H37)*Y37</f>
        <v>-2.444468073439216E-6</v>
      </c>
      <c r="M37" s="40">
        <f t="shared" si="28"/>
        <v>1292.6264876380119</v>
      </c>
      <c r="N37" s="21">
        <f>-(Données!I$46*1E-24*H37+Données!F$46)*M37+Données!H$45*1E-24*H37*K37</f>
        <v>1.1639454368415836E-6</v>
      </c>
      <c r="O37" s="42">
        <f t="shared" si="29"/>
        <v>195.00755252273623</v>
      </c>
      <c r="P37" s="23">
        <f>-(Données!I$47*1E-24*H37+Données!F$47)*O37+(Données!H$46*1E-24*H37)*M37</f>
        <v>-2.1468952859816361E-7</v>
      </c>
      <c r="Q37" s="40">
        <f t="shared" si="30"/>
        <v>94.187170889855551</v>
      </c>
      <c r="R37" s="43">
        <f>-(Données!I$48*1E-24*H37+Données!F$48)*Q37+Données!H$47*1E-24*H37*O37+(Données!H$49*1E-24*H37*S37)*0.85*0.16</f>
        <v>9.1087422463745082E-8</v>
      </c>
      <c r="S37" s="42">
        <f t="shared" si="31"/>
        <v>51.906451772435503</v>
      </c>
      <c r="T37" s="22">
        <f>-(Données!I$49*1E-24*H37+Données!F$49)*S37+Données!F$47*O37</f>
        <v>-2.6911678187170849E-8</v>
      </c>
      <c r="U37" s="28">
        <f t="shared" si="32"/>
        <v>4924.3915914433965</v>
      </c>
      <c r="V37" s="19"/>
      <c r="W37" s="40">
        <f t="shared" si="33"/>
        <v>70.346735053587139</v>
      </c>
      <c r="X37" s="21">
        <f>-(Données!I$50*1E-24*H37+Données!F$50)*W37+Données!F$45*K37</f>
        <v>-5.1491005706109658E-7</v>
      </c>
      <c r="Y37" s="42">
        <f t="shared" si="34"/>
        <v>24289.913905032794</v>
      </c>
      <c r="Z37" s="23">
        <f>-(Données!I$51*1E-24*H37+Données!F$51)*Y37+Données!F$48*Q37</f>
        <v>-2.3828000005977555E-5</v>
      </c>
      <c r="AA37" s="15">
        <f t="shared" si="35"/>
        <v>24360.260640086381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3125923379334265</v>
      </c>
      <c r="I38" s="40">
        <f t="shared" si="26"/>
        <v>37.083958158104636</v>
      </c>
      <c r="J38" s="21">
        <f>-(Données!I$44*1E-24*H38+Données!F$44)*I38+(Données!H$49*1E-24*H38*S38)*0.71+Données!H$50*1E-24*H38*W38</f>
        <v>9.3149026448270374E-8</v>
      </c>
      <c r="K38" s="42">
        <f t="shared" si="27"/>
        <v>3247.4110063670155</v>
      </c>
      <c r="L38" s="23">
        <f>-(Données!I$45*1E-24*H38+Données!F$45)*K38+(I38*Données!H$44*1E-24*H38)+(Données!H$51*1E-24*H38)*Y38</f>
        <v>-2.4512425289858037E-6</v>
      </c>
      <c r="M38" s="40">
        <f t="shared" si="28"/>
        <v>1295.6853362460315</v>
      </c>
      <c r="N38" s="21">
        <f>-(Données!I$46*1E-24*H38+Données!F$46)*M38+Données!H$45*1E-24*H38*K38</f>
        <v>1.1463884923501036E-6</v>
      </c>
      <c r="O38" s="42">
        <f t="shared" si="29"/>
        <v>194.44334844158027</v>
      </c>
      <c r="P38" s="23">
        <f>-(Données!I$47*1E-24*H38+Données!F$47)*O38+(Données!H$46*1E-24*H38)*M38</f>
        <v>-2.0436606297290483E-7</v>
      </c>
      <c r="Q38" s="40">
        <f t="shared" si="30"/>
        <v>94.426548636090274</v>
      </c>
      <c r="R38" s="43">
        <f>-(Données!I$48*1E-24*H38+Données!F$48)*Q38+Données!H$47*1E-24*H38*O38+(Données!H$49*1E-24*H38*S38)*0.85*0.16</f>
        <v>8.9684124982454481E-8</v>
      </c>
      <c r="S38" s="42">
        <f t="shared" si="31"/>
        <v>51.835727882159617</v>
      </c>
      <c r="T38" s="22">
        <f>-(Données!I$49*1E-24*H38+Données!F$49)*S38+Données!F$47*O38</f>
        <v>-2.7333015446892676E-8</v>
      </c>
      <c r="U38" s="28">
        <f t="shared" si="32"/>
        <v>4920.8859257309814</v>
      </c>
      <c r="V38" s="19"/>
      <c r="W38" s="40">
        <f t="shared" si="33"/>
        <v>68.993551423630578</v>
      </c>
      <c r="X38" s="21">
        <f>-(Données!I$50*1E-24*H38+Données!F$50)*W38+Données!F$45*K38</f>
        <v>-5.0495408897767416E-7</v>
      </c>
      <c r="Y38" s="42">
        <f t="shared" si="34"/>
        <v>24227.293921017084</v>
      </c>
      <c r="Z38" s="23">
        <f>-(Données!I$51*1E-24*H38+Données!F$51)*Y38+Données!F$48*Q38</f>
        <v>-2.3766570818874338E-5</v>
      </c>
      <c r="AA38" s="15">
        <f t="shared" si="35"/>
        <v>24296.287472440716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3125923379334265</v>
      </c>
      <c r="I39" s="40">
        <f t="shared" si="26"/>
        <v>37.328753799610688</v>
      </c>
      <c r="J39" s="21">
        <f>-(Données!I$44*1E-24*H39+Données!F$44)*I39+(Données!H$49*1E-24*H39*S39)*0.71+Données!H$50*1E-24*H39*W39</f>
        <v>8.9326153594734907E-8</v>
      </c>
      <c r="K39" s="42">
        <f t="shared" si="27"/>
        <v>3240.9691410008409</v>
      </c>
      <c r="L39" s="23">
        <f>-(Données!I$45*1E-24*H39+Données!F$45)*K39+(I39*Données!H$44*1E-24*H39)+(Données!H$51*1E-24*H39)*Y39</f>
        <v>-2.4577762661420073E-6</v>
      </c>
      <c r="M39" s="40">
        <f t="shared" si="28"/>
        <v>1298.6980452039277</v>
      </c>
      <c r="N39" s="21">
        <f>-(Données!I$46*1E-24*H39+Données!F$46)*M39+Données!H$45*1E-24*H39*K39</f>
        <v>1.1289314233561046E-6</v>
      </c>
      <c r="O39" s="42">
        <f t="shared" si="29"/>
        <v>193.90627442808747</v>
      </c>
      <c r="P39" s="23">
        <f>-(Données!I$47*1E-24*H39+Données!F$47)*O39+(Données!H$46*1E-24*H39)*M39</f>
        <v>-1.9439494802252714E-7</v>
      </c>
      <c r="Q39" s="40">
        <f t="shared" si="30"/>
        <v>94.662238516544164</v>
      </c>
      <c r="R39" s="43">
        <f>-(Données!I$48*1E-24*H39+Données!F$48)*Q39+Données!H$47*1E-24*H39*O39+(Données!H$49*1E-24*H39*S39)*0.85*0.16</f>
        <v>8.8326775015190118E-8</v>
      </c>
      <c r="S39" s="42">
        <f t="shared" si="31"/>
        <v>51.763896717565181</v>
      </c>
      <c r="T39" s="22">
        <f>-(Données!I$49*1E-24*H39+Données!F$49)*S39+Données!F$47*O39</f>
        <v>-2.7705768849784139E-8</v>
      </c>
      <c r="U39" s="28">
        <f t="shared" si="32"/>
        <v>4917.3283496665754</v>
      </c>
      <c r="V39" s="19"/>
      <c r="W39" s="40">
        <f t="shared" si="33"/>
        <v>67.666532077797257</v>
      </c>
      <c r="X39" s="21">
        <f>-(Données!I$50*1E-24*H39+Données!F$50)*W39+Données!F$45*K39</f>
        <v>-4.9519075252453601E-7</v>
      </c>
      <c r="Y39" s="42">
        <f t="shared" si="34"/>
        <v>24164.835372905083</v>
      </c>
      <c r="Z39" s="23">
        <f>-(Données!I$51*1E-24*H39+Données!F$51)*Y39+Données!F$48*Q39</f>
        <v>-2.3705299997950236E-5</v>
      </c>
      <c r="AA39" s="15">
        <f t="shared" si="35"/>
        <v>24232.501904982881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3125923379334265</v>
      </c>
      <c r="I40" s="40">
        <f t="shared" si="26"/>
        <v>37.563502931257652</v>
      </c>
      <c r="J40" s="21">
        <f>-(Données!I$44*1E-24*H40+Données!F$44)*I40+(Données!H$49*1E-24*H40*S40)*0.71+Données!H$50*1E-24*H40*W40</f>
        <v>8.5598826704164696E-8</v>
      </c>
      <c r="K40" s="42">
        <f t="shared" si="27"/>
        <v>3234.5101049734199</v>
      </c>
      <c r="L40" s="23">
        <f>-(Données!I$45*1E-24*H40+Données!F$45)*K40+(I40*Données!H$44*1E-24*H40)+(Données!H$51*1E-24*H40)*Y40</f>
        <v>-2.4640736161691896E-6</v>
      </c>
      <c r="M40" s="40">
        <f t="shared" si="28"/>
        <v>1301.6648769845076</v>
      </c>
      <c r="N40" s="21">
        <f>-(Données!I$46*1E-24*H40+Données!F$46)*M40+Données!H$45*1E-24*H40*K40</f>
        <v>1.1115744257990786E-6</v>
      </c>
      <c r="O40" s="42">
        <f t="shared" si="29"/>
        <v>193.39540450468428</v>
      </c>
      <c r="P40" s="23">
        <f>-(Données!I$47*1E-24*H40+Données!F$47)*O40+(Données!H$46*1E-24*H40)*M40</f>
        <v>-1.8476603043526877E-7</v>
      </c>
      <c r="Q40" s="40">
        <f t="shared" si="30"/>
        <v>94.894361281284077</v>
      </c>
      <c r="R40" s="43">
        <f>-(Données!I$48*1E-24*H40+Données!F$48)*Q40+Données!H$47*1E-24*H40*O40+(Données!H$49*1E-24*H40*S40)*0.85*0.16</f>
        <v>8.7013880900716257E-8</v>
      </c>
      <c r="S40" s="42">
        <f t="shared" si="31"/>
        <v>51.691085957027951</v>
      </c>
      <c r="T40" s="22">
        <f>-(Données!I$49*1E-24*H40+Données!F$49)*S40+Données!F$47*O40</f>
        <v>-2.803216135517645E-8</v>
      </c>
      <c r="U40" s="28">
        <f t="shared" si="32"/>
        <v>4913.7193366321808</v>
      </c>
      <c r="V40" s="19"/>
      <c r="W40" s="40">
        <f t="shared" si="33"/>
        <v>66.365170780162771</v>
      </c>
      <c r="X40" s="21">
        <f>-(Données!I$50*1E-24*H40+Données!F$50)*W40+Données!F$45*K40</f>
        <v>-4.8561632033334068E-7</v>
      </c>
      <c r="Y40" s="42">
        <f t="shared" si="34"/>
        <v>24102.537844510469</v>
      </c>
      <c r="Z40" s="23">
        <f>-(Données!I$51*1E-24*H40+Données!F$51)*Y40+Données!F$48*Q40</f>
        <v>-2.3644187134926241E-5</v>
      </c>
      <c r="AA40" s="15">
        <f t="shared" si="35"/>
        <v>24168.903015290631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3125923379334265</v>
      </c>
      <c r="I41" s="40">
        <f t="shared" si="26"/>
        <v>37.788456647836199</v>
      </c>
      <c r="J41" s="21">
        <f>-(Données!I$44*1E-24*H41+Données!F$44)*I41+(Données!H$49*1E-24*H41*S41)*0.71+Données!H$50*1E-24*H41*W41</f>
        <v>8.1965257430392355E-8</v>
      </c>
      <c r="K41" s="42">
        <f t="shared" si="27"/>
        <v>3228.0345195101272</v>
      </c>
      <c r="L41" s="23">
        <f>-(Données!I$45*1E-24*H41+Données!F$45)*K41+(I41*Données!H$44*1E-24*H41)+(Données!H$51*1E-24*H41)*Y41</f>
        <v>-2.4701388379327735E-6</v>
      </c>
      <c r="M41" s="40">
        <f t="shared" si="28"/>
        <v>1304.5860945755076</v>
      </c>
      <c r="N41" s="21">
        <f>-(Données!I$46*1E-24*H41+Données!F$46)*M41+Données!H$45*1E-24*H41*K41</f>
        <v>1.0943176778491187E-6</v>
      </c>
      <c r="O41" s="42">
        <f t="shared" si="29"/>
        <v>192.9098393767004</v>
      </c>
      <c r="P41" s="23">
        <f>-(Données!I$47*1E-24*H41+Données!F$47)*O41+(Données!H$46*1E-24*H41)*M41</f>
        <v>-1.754694379480692E-7</v>
      </c>
      <c r="Q41" s="40">
        <f t="shared" si="30"/>
        <v>95.123033760291165</v>
      </c>
      <c r="R41" s="43">
        <f>-(Données!I$48*1E-24*H41+Données!F$48)*Q41+Données!H$47*1E-24*H41*O41+(Données!H$49*1E-24*H41*S41)*0.85*0.16</f>
        <v>8.5743993437081578E-8</v>
      </c>
      <c r="S41" s="42">
        <f t="shared" si="31"/>
        <v>51.61741743698655</v>
      </c>
      <c r="T41" s="22">
        <f>-(Données!I$49*1E-24*H41+Données!F$49)*S41+Données!F$47*O41</f>
        <v>-2.83143382773903E-8</v>
      </c>
      <c r="U41" s="28">
        <f t="shared" si="32"/>
        <v>4910.0593613074489</v>
      </c>
      <c r="V41" s="19"/>
      <c r="W41" s="40">
        <f t="shared" si="33"/>
        <v>65.088971090326751</v>
      </c>
      <c r="X41" s="21">
        <f>-(Données!I$50*1E-24*H41+Données!F$50)*W41+Données!F$45*K41</f>
        <v>-4.7622713715850232E-7</v>
      </c>
      <c r="Y41" s="42">
        <f t="shared" si="34"/>
        <v>24040.400920719883</v>
      </c>
      <c r="Z41" s="23">
        <f>-(Données!I$51*1E-24*H41+Données!F$51)*Y41+Données!F$48*Q41</f>
        <v>-2.3583231822576134E-5</v>
      </c>
      <c r="AA41" s="15">
        <f t="shared" si="35"/>
        <v>24105.489891810212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3125923379334265</v>
      </c>
      <c r="I42" s="40">
        <f t="shared" si="26"/>
        <v>38.003861344363273</v>
      </c>
      <c r="J42" s="21">
        <f>-(Données!I$44*1E-24*H42+Données!F$44)*I42+(Données!H$49*1E-24*H42*S42)*0.71+Données!H$50*1E-24*H42*W42</f>
        <v>7.8423678810538187E-8</v>
      </c>
      <c r="K42" s="42">
        <f t="shared" si="27"/>
        <v>3221.5429946440399</v>
      </c>
      <c r="L42" s="23">
        <f>-(Données!I$45*1E-24*H42+Données!F$45)*K42+(I42*Données!H$44*1E-24*H42)+(Données!H$51*1E-24*H42)*Y42</f>
        <v>-2.4759761191367213E-6</v>
      </c>
      <c r="M42" s="40">
        <f t="shared" si="28"/>
        <v>1307.4619614328951</v>
      </c>
      <c r="N42" s="21">
        <f>-(Données!I$46*1E-24*H42+Données!F$46)*M42+Données!H$45*1E-24*H42*K42</f>
        <v>1.0771613403075166E-6</v>
      </c>
      <c r="O42" s="42">
        <f t="shared" si="29"/>
        <v>192.44870569377287</v>
      </c>
      <c r="P42" s="23">
        <f>-(Données!I$47*1E-24*H42+Données!F$47)*O42+(Données!H$46*1E-24*H42)*M42</f>
        <v>-1.6649557161330452E-7</v>
      </c>
      <c r="Q42" s="40">
        <f t="shared" si="30"/>
        <v>95.348368975043812</v>
      </c>
      <c r="R42" s="43">
        <f>-(Données!I$48*1E-24*H42+Données!F$48)*Q42+Données!H$47*1E-24*H42*O42+(Données!H$49*1E-24*H42*S42)*0.85*0.16</f>
        <v>8.4515704729572889E-8</v>
      </c>
      <c r="S42" s="42">
        <f t="shared" si="31"/>
        <v>51.543007355993566</v>
      </c>
      <c r="T42" s="22">
        <f>-(Données!I$49*1E-24*H42+Données!F$49)*S42+Données!F$47*O42</f>
        <v>-2.8554369701026166E-8</v>
      </c>
      <c r="U42" s="28">
        <f t="shared" si="32"/>
        <v>4906.3488994461095</v>
      </c>
      <c r="V42" s="19"/>
      <c r="W42" s="40">
        <f t="shared" si="33"/>
        <v>63.837446173874206</v>
      </c>
      <c r="X42" s="21">
        <f>-(Données!I$50*1E-24*H42+Données!F$50)*W42+Données!F$45*K42</f>
        <v>-4.6701961848167836E-7</v>
      </c>
      <c r="Y42" s="42">
        <f t="shared" si="34"/>
        <v>23978.424187490153</v>
      </c>
      <c r="Z42" s="23">
        <f>-(Données!I$51*1E-24*H42+Données!F$51)*Y42+Données!F$48*Q42</f>
        <v>-2.3522433654723763E-5</v>
      </c>
      <c r="AA42" s="15">
        <f t="shared" si="35"/>
        <v>24042.261633664028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3125923379334265</v>
      </c>
      <c r="I43" s="40">
        <f t="shared" si="26"/>
        <v>38.209958772277368</v>
      </c>
      <c r="J43" s="21">
        <f>-(Données!I$44*1E-24*H43+Données!F$44)*I43+(Données!H$49*1E-24*H43*S43)*0.71+Données!H$50*1E-24*H43*W43</f>
        <v>7.4972345383287675E-8</v>
      </c>
      <c r="K43" s="42">
        <f t="shared" si="27"/>
        <v>3215.0361294029485</v>
      </c>
      <c r="L43" s="23">
        <f>-(Données!I$45*1E-24*H43+Données!F$45)*K43+(I43*Données!H$44*1E-24*H43)+(Données!H$51*1E-24*H43)*Y43</f>
        <v>-2.4815895775349884E-6</v>
      </c>
      <c r="M43" s="40">
        <f t="shared" si="28"/>
        <v>1310.2927414352232</v>
      </c>
      <c r="N43" s="21">
        <f>-(Données!I$46*1E-24*H43+Données!F$46)*M43+Données!H$45*1E-24*H43*K43</f>
        <v>1.0601055569998403E-6</v>
      </c>
      <c r="O43" s="42">
        <f t="shared" si="29"/>
        <v>192.01115533157309</v>
      </c>
      <c r="P43" s="23">
        <f>-(Données!I$47*1E-24*H43+Données!F$47)*O43+(Données!H$46*1E-24*H43)*M43</f>
        <v>-1.5783509827863895E-7</v>
      </c>
      <c r="Q43" s="40">
        <f t="shared" si="30"/>
        <v>95.570476247073131</v>
      </c>
      <c r="R43" s="43">
        <f>-(Données!I$48*1E-24*H43+Données!F$48)*Q43+Données!H$47*1E-24*H43*O43+(Données!H$49*1E-24*H43*S43)*0.85*0.16</f>
        <v>8.332764706974147E-8</v>
      </c>
      <c r="S43" s="42">
        <f t="shared" si="31"/>
        <v>51.46796647241927</v>
      </c>
      <c r="T43" s="22">
        <f>-(Données!I$49*1E-24*H43+Données!F$49)*S43+Données!F$47*O43</f>
        <v>-2.875425282519184E-8</v>
      </c>
      <c r="U43" s="28">
        <f t="shared" si="32"/>
        <v>4902.5884276615143</v>
      </c>
      <c r="V43" s="19"/>
      <c r="W43" s="40">
        <f t="shared" si="33"/>
        <v>62.610118616504352</v>
      </c>
      <c r="X43" s="21">
        <f>-(Données!I$50*1E-24*H43+Données!F$50)*W43+Données!F$45*K43</f>
        <v>-4.5799024914325788E-7</v>
      </c>
      <c r="Y43" s="42">
        <f t="shared" si="34"/>
        <v>23916.607231845537</v>
      </c>
      <c r="Z43" s="23">
        <f>-(Données!I$51*1E-24*H43+Données!F$51)*Y43+Données!F$48*Q43</f>
        <v>-2.3461792226240313E-5</v>
      </c>
      <c r="AA43" s="15">
        <f t="shared" si="35"/>
        <v>23979.21735046204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3125923379334265</v>
      </c>
      <c r="I44" s="40">
        <f t="shared" si="26"/>
        <v>38.406986095944646</v>
      </c>
      <c r="J44" s="21">
        <f>-(Données!I$44*1E-24*H44+Données!F$44)*I44+(Données!H$49*1E-24*H44*S44)*0.71+Données!H$50*1E-24*H44*W44</f>
        <v>7.160953328808843E-8</v>
      </c>
      <c r="K44" s="42">
        <f t="shared" si="27"/>
        <v>3208.5145119931867</v>
      </c>
      <c r="L44" s="23">
        <f>-(Données!I$45*1E-24*H44+Données!F$45)*K44+(I44*Données!H$44*1E-24*H44)+(Données!H$51*1E-24*H44)*Y44</f>
        <v>-2.4869832621203682E-6</v>
      </c>
      <c r="M44" s="40">
        <f t="shared" si="28"/>
        <v>1313.0786988390189</v>
      </c>
      <c r="N44" s="21">
        <f>-(Données!I$46*1E-24*H44+Données!F$46)*M44+Données!H$45*1E-24*H44*K44</f>
        <v>1.0431504551616109E-6</v>
      </c>
      <c r="O44" s="42">
        <f t="shared" si="29"/>
        <v>191.59636469329683</v>
      </c>
      <c r="P44" s="23">
        <f>-(Données!I$47*1E-24*H44+Données!F$47)*O44+(Données!H$46*1E-24*H44)*M44</f>
        <v>-1.4947894327410533E-7</v>
      </c>
      <c r="Q44" s="40">
        <f t="shared" si="30"/>
        <v>95.789461303572409</v>
      </c>
      <c r="R44" s="43">
        <f>-(Données!I$48*1E-24*H44+Données!F$48)*Q44+Données!H$47*1E-24*H44*O44+(Données!H$49*1E-24*H44*S44)*0.85*0.16</f>
        <v>8.2178491844658678E-8</v>
      </c>
      <c r="S44" s="42">
        <f t="shared" si="31"/>
        <v>51.392400295994669</v>
      </c>
      <c r="T44" s="22">
        <f>-(Données!I$49*1E-24*H44+Données!F$49)*S44+Données!F$47*O44</f>
        <v>-2.8915914238700897E-8</v>
      </c>
      <c r="U44" s="28">
        <f t="shared" si="32"/>
        <v>4898.7784232210142</v>
      </c>
      <c r="V44" s="19"/>
      <c r="W44" s="40">
        <f t="shared" si="33"/>
        <v>61.406520241755871</v>
      </c>
      <c r="X44" s="21">
        <f>-(Données!I$50*1E-24*H44+Données!F$50)*W44+Données!F$45*K44</f>
        <v>-4.4913558200033031E-7</v>
      </c>
      <c r="Y44" s="42">
        <f t="shared" si="34"/>
        <v>23854.949641874977</v>
      </c>
      <c r="Z44" s="23">
        <f>-(Données!I$51*1E-24*H44+Données!F$51)*Y44+Données!F$48*Q44</f>
        <v>-2.3401307133041623E-5</v>
      </c>
      <c r="AA44" s="15">
        <f t="shared" si="35"/>
        <v>23916.356162116732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3125923379334265</v>
      </c>
      <c r="I45" s="40">
        <f t="shared" si="26"/>
        <v>38.595175949425744</v>
      </c>
      <c r="J45" s="21">
        <f>-(Données!I$44*1E-24*H45+Données!F$44)*I45+(Données!H$49*1E-24*H45*S45)*0.71+Données!H$50*1E-24*H45*W45</f>
        <v>6.8333540346121704E-8</v>
      </c>
      <c r="K45" s="42">
        <f t="shared" si="27"/>
        <v>3201.9787199803345</v>
      </c>
      <c r="L45" s="23">
        <f>-(Données!I$45*1E-24*H45+Données!F$45)*K45+(I45*Données!H$44*1E-24*H45)+(Données!H$51*1E-24*H45)*Y45</f>
        <v>-2.4921611542912759E-6</v>
      </c>
      <c r="M45" s="40">
        <f t="shared" si="28"/>
        <v>1315.8200982351837</v>
      </c>
      <c r="N45" s="21">
        <f>-(Données!I$46*1E-24*H45+Données!F$46)*M45+Données!H$45*1E-24*H45*K45</f>
        <v>1.0262961458167474E-6</v>
      </c>
      <c r="O45" s="42">
        <f t="shared" si="29"/>
        <v>191.20353403037248</v>
      </c>
      <c r="P45" s="23">
        <f>-(Données!I$47*1E-24*H45+Données!F$47)*O45+(Données!H$46*1E-24*H45)*M45</f>
        <v>-1.4141828330069921E-7</v>
      </c>
      <c r="Q45" s="40">
        <f t="shared" si="30"/>
        <v>96.005426380140179</v>
      </c>
      <c r="R45" s="43">
        <f>-(Données!I$48*1E-24*H45+Données!F$48)*Q45+Données!H$47*1E-24*H45*O45+(Données!H$49*1E-24*H45*S45)*0.85*0.16</f>
        <v>8.1066948475580456E-8</v>
      </c>
      <c r="S45" s="42">
        <f t="shared" si="31"/>
        <v>51.316409273375363</v>
      </c>
      <c r="T45" s="22">
        <f>-(Données!I$49*1E-24*H45+Données!F$49)*S45+Données!F$47*O45</f>
        <v>-2.9041212128216069E-8</v>
      </c>
      <c r="U45" s="28">
        <f t="shared" si="32"/>
        <v>4894.9193638488323</v>
      </c>
      <c r="V45" s="19"/>
      <c r="W45" s="40">
        <f t="shared" si="33"/>
        <v>60.226191932259006</v>
      </c>
      <c r="X45" s="21">
        <f>-(Données!I$50*1E-24*H45+Données!F$50)*W45+Données!F$45*K45</f>
        <v>-4.4045223661061913E-7</v>
      </c>
      <c r="Y45" s="42">
        <f t="shared" si="34"/>
        <v>23793.451006729345</v>
      </c>
      <c r="Z45" s="23">
        <f>-(Données!I$51*1E-24*H45+Données!F$51)*Y45+Données!F$48*Q45</f>
        <v>-2.3340977972085479E-5</v>
      </c>
      <c r="AA45" s="15">
        <f t="shared" si="35"/>
        <v>23853.677198661604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3125923379334265</v>
      </c>
      <c r="I46" s="40">
        <f t="shared" si="26"/>
        <v>38.774756493455349</v>
      </c>
      <c r="J46" s="21">
        <f>-(Données!I$44*1E-24*H46+Données!F$44)*I46+(Données!H$49*1E-24*H46*S46)*0.71+Données!H$50*1E-24*H46*W46</f>
        <v>6.5142686123875752E-8</v>
      </c>
      <c r="K46" s="42">
        <f t="shared" si="27"/>
        <v>3195.429320466857</v>
      </c>
      <c r="L46" s="23">
        <f>-(Données!I$45*1E-24*H46+Données!F$45)*K46+(I46*Données!H$44*1E-24*H46)+(Données!H$51*1E-24*H46)*Y46</f>
        <v>-2.4971271689969413E-6</v>
      </c>
      <c r="M46" s="40">
        <f t="shared" si="28"/>
        <v>1318.51720450639</v>
      </c>
      <c r="N46" s="21">
        <f>-(Données!I$46*1E-24*H46+Données!F$46)*M46+Données!H$45*1E-24*H46*K46</f>
        <v>1.0095427241488777E-6</v>
      </c>
      <c r="O46" s="42">
        <f t="shared" si="29"/>
        <v>190.83188678185823</v>
      </c>
      <c r="P46" s="23">
        <f>-(Données!I$47*1E-24*H46+Données!F$47)*O46+(Données!H$46*1E-24*H46)*M46</f>
        <v>-1.3364453951491067E-7</v>
      </c>
      <c r="Q46" s="40">
        <f t="shared" si="30"/>
        <v>96.218470320733999</v>
      </c>
      <c r="R46" s="43">
        <f>-(Données!I$48*1E-24*H46+Données!F$48)*Q46+Données!H$47*1E-24*H46*O46+(Données!H$49*1E-24*H46*S46)*0.85*0.16</f>
        <v>7.9991763385221803E-8</v>
      </c>
      <c r="S46" s="42">
        <f t="shared" si="31"/>
        <v>51.240088967902409</v>
      </c>
      <c r="T46" s="22">
        <f>-(Données!I$49*1E-24*H46+Données!F$49)*S46+Données!F$47*O46</f>
        <v>-2.9131938421258905E-8</v>
      </c>
      <c r="U46" s="28">
        <f t="shared" si="32"/>
        <v>4891.0117275371958</v>
      </c>
      <c r="V46" s="19"/>
      <c r="W46" s="40">
        <f t="shared" si="33"/>
        <v>59.068683454446301</v>
      </c>
      <c r="X46" s="21">
        <f>-(Données!I$50*1E-24*H46+Données!F$50)*W46+Données!F$45*K46</f>
        <v>-4.3193689794188185E-7</v>
      </c>
      <c r="Y46" s="42">
        <f t="shared" si="34"/>
        <v>23732.110916618705</v>
      </c>
      <c r="Z46" s="23">
        <f>-(Données!I$51*1E-24*H46+Données!F$51)*Y46+Données!F$48*Q46</f>
        <v>-2.3280804341368901E-5</v>
      </c>
      <c r="AA46" s="15">
        <f t="shared" si="35"/>
        <v>23791.179600073152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3125923379334265</v>
      </c>
      <c r="I47" s="40">
        <f t="shared" si="26"/>
        <v>38.945951472588895</v>
      </c>
      <c r="J47" s="21">
        <f>-(Données!I$44*1E-24*H47+Données!F$44)*I47+(Données!H$49*1E-24*H47*S47)*0.71+Données!H$50*1E-24*H47*W47</f>
        <v>6.2035311980115722E-8</v>
      </c>
      <c r="K47" s="42">
        <f t="shared" si="27"/>
        <v>3188.8668702667333</v>
      </c>
      <c r="L47" s="23">
        <f>-(Données!I$45*1E-24*H47+Données!F$45)*K47+(I47*Données!H$44*1E-24*H47)+(Données!H$51*1E-24*H47)*Y47</f>
        <v>-2.5018851558614242E-6</v>
      </c>
      <c r="M47" s="40">
        <f t="shared" si="28"/>
        <v>1321.1702827854533</v>
      </c>
      <c r="N47" s="21">
        <f>-(Données!I$46*1E-24*H47+Données!F$46)*M47+Données!H$45*1E-24*H47*K47</f>
        <v>9.9289026986568632E-7</v>
      </c>
      <c r="O47" s="42">
        <f t="shared" si="29"/>
        <v>190.48066893201303</v>
      </c>
      <c r="P47" s="23">
        <f>-(Données!I$47*1E-24*H47+Données!F$47)*O47+(Données!H$46*1E-24*H47)*M47</f>
        <v>-1.2614937080378926E-7</v>
      </c>
      <c r="Q47" s="40">
        <f t="shared" si="30"/>
        <v>96.428688674910362</v>
      </c>
      <c r="R47" s="43">
        <f>-(Données!I$48*1E-24*H47+Données!F$48)*Q47+Données!H$47*1E-24*H47*O47+(Données!H$49*1E-24*H47*S47)*0.85*0.16</f>
        <v>7.8951718992866187E-8</v>
      </c>
      <c r="S47" s="42">
        <f t="shared" si="31"/>
        <v>51.163530233731343</v>
      </c>
      <c r="T47" s="22">
        <f>-(Données!I$49*1E-24*H47+Données!F$49)*S47+Données!F$47*O47</f>
        <v>-2.9189820865949464E-8</v>
      </c>
      <c r="U47" s="28">
        <f t="shared" si="32"/>
        <v>4887.0559923654309</v>
      </c>
      <c r="V47" s="19"/>
      <c r="W47" s="40">
        <f t="shared" si="33"/>
        <v>57.933553286655034</v>
      </c>
      <c r="X47" s="21">
        <f>-(Données!I$50*1E-24*H47+Données!F$50)*W47+Données!F$45*K47</f>
        <v>-4.2358631510628021E-7</v>
      </c>
      <c r="Y47" s="42">
        <f t="shared" si="34"/>
        <v>23670.928962809587</v>
      </c>
      <c r="Z47" s="23">
        <f>-(Données!I$51*1E-24*H47+Données!F$51)*Y47+Données!F$48*Q47</f>
        <v>-2.3220785839925489E-5</v>
      </c>
      <c r="AA47" s="15">
        <f t="shared" si="35"/>
        <v>23728.86251609624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3125923379334265</v>
      </c>
      <c r="I48" s="40">
        <f t="shared" si="26"/>
        <v>39.108980272472643</v>
      </c>
      <c r="J48" s="21">
        <f>-(Données!I$44*1E-24*H48+Données!F$44)*I48+(Données!H$49*1E-24*H48*S48)*0.71+Données!H$50*1E-24*H48*W48</f>
        <v>5.9009781097019984E-8</v>
      </c>
      <c r="K48" s="42">
        <f t="shared" si="27"/>
        <v>3182.2919160771294</v>
      </c>
      <c r="L48" s="23">
        <f>-(Données!I$45*1E-24*H48+Données!F$45)*K48+(I48*Données!H$44*1E-24*H48)+(Données!H$51*1E-24*H48)*Y48</f>
        <v>-2.5064389002869937E-6</v>
      </c>
      <c r="M48" s="40">
        <f t="shared" si="28"/>
        <v>1323.7795984146603</v>
      </c>
      <c r="N48" s="21">
        <f>-(Données!I$46*1E-24*H48+Données!F$46)*M48+Données!H$45*1E-24*H48*K48</f>
        <v>9.7633884755639547E-7</v>
      </c>
      <c r="O48" s="42">
        <f t="shared" si="29"/>
        <v>190.14914838554068</v>
      </c>
      <c r="P48" s="23">
        <f>-(Données!I$47*1E-24*H48+Données!F$47)*O48+(Données!H$46*1E-24*H48)*M48</f>
        <v>-1.1892466724528025E-7</v>
      </c>
      <c r="Q48" s="40">
        <f t="shared" si="30"/>
        <v>96.636173792423619</v>
      </c>
      <c r="R48" s="43">
        <f>-(Données!I$48*1E-24*H48+Données!F$48)*Q48+Données!H$47*1E-24*H48*O48+(Données!H$49*1E-24*H48*S48)*0.85*0.16</f>
        <v>7.7945632736553372E-8</v>
      </c>
      <c r="S48" s="42">
        <f t="shared" si="31"/>
        <v>51.086819384495627</v>
      </c>
      <c r="T48" s="22">
        <f>-(Données!I$49*1E-24*H48+Données!F$49)*S48+Données!F$47*O48</f>
        <v>-2.9216525049290528E-8</v>
      </c>
      <c r="U48" s="28">
        <f t="shared" si="32"/>
        <v>4883.0526363267218</v>
      </c>
      <c r="V48" s="19"/>
      <c r="W48" s="40">
        <f t="shared" si="33"/>
        <v>56.820368450555726</v>
      </c>
      <c r="X48" s="21">
        <f>-(Données!I$50*1E-24*H48+Données!F$50)*W48+Données!F$45*K48</f>
        <v>-4.1539730011923945E-7</v>
      </c>
      <c r="Y48" s="42">
        <f t="shared" si="34"/>
        <v>23609.904737622262</v>
      </c>
      <c r="Z48" s="23">
        <f>-(Données!I$51*1E-24*H48+Données!F$51)*Y48+Données!F$48*Q48</f>
        <v>-2.3160922067822732E-5</v>
      </c>
      <c r="AA48" s="15">
        <f t="shared" si="35"/>
        <v>23666.725106072819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3125923379334265</v>
      </c>
      <c r="I49" s="40">
        <f t="shared" si="26"/>
        <v>39.264057977195613</v>
      </c>
      <c r="J49" s="21">
        <f>-(Données!I$44*1E-24*H49+Données!F$44)*I49+(Données!H$49*1E-24*H49*S49)*0.71+Données!H$50*1E-24*H49*W49</f>
        <v>5.60644784962231E-8</v>
      </c>
      <c r="K49" s="42">
        <f t="shared" si="27"/>
        <v>3175.7049946471752</v>
      </c>
      <c r="L49" s="23">
        <f>-(Données!I$45*1E-24*H49+Données!F$45)*K49+(I49*Données!H$44*1E-24*H49)+(Données!H$51*1E-24*H49)*Y49</f>
        <v>-2.510792124537226E-6</v>
      </c>
      <c r="M49" s="40">
        <f t="shared" si="28"/>
        <v>1326.3454169060385</v>
      </c>
      <c r="N49" s="21">
        <f>-(Données!I$46*1E-24*H49+Données!F$46)*M49+Données!H$45*1E-24*H49*K49</f>
        <v>9.5988850704253104E-7</v>
      </c>
      <c r="O49" s="42">
        <f t="shared" si="29"/>
        <v>189.83661436002009</v>
      </c>
      <c r="P49" s="23">
        <f>-(Données!I$47*1E-24*H49+Données!F$47)*O49+(Données!H$46*1E-24*H49)*M49</f>
        <v>-1.1196254374871118E-7</v>
      </c>
      <c r="Q49" s="40">
        <f t="shared" si="30"/>
        <v>96.841014915255286</v>
      </c>
      <c r="R49" s="43">
        <f>-(Données!I$48*1E-24*H49+Données!F$48)*Q49+Données!H$47*1E-24*H49*O49+(Données!H$49*1E-24*H49*S49)*0.85*0.16</f>
        <v>7.6972356121612124E-8</v>
      </c>
      <c r="S49" s="42">
        <f t="shared" si="31"/>
        <v>51.010038356666094</v>
      </c>
      <c r="T49" s="22">
        <f>-(Données!I$49*1E-24*H49+Données!F$49)*S49+Données!F$47*O49</f>
        <v>-2.9213656355757447E-8</v>
      </c>
      <c r="U49" s="28">
        <f t="shared" si="32"/>
        <v>4879.0021371623498</v>
      </c>
      <c r="V49" s="19"/>
      <c r="W49" s="40">
        <f t="shared" si="33"/>
        <v>55.728704345842367</v>
      </c>
      <c r="X49" s="21">
        <f>-(Données!I$50*1E-24*H49+Données!F$50)*W49+Données!F$45*K49</f>
        <v>-4.0736672668232242E-7</v>
      </c>
      <c r="Y49" s="42">
        <f t="shared" si="34"/>
        <v>23549.037834428025</v>
      </c>
      <c r="Z49" s="23">
        <f>-(Données!I$51*1E-24*H49+Données!F$51)*Y49+Données!F$48*Q49</f>
        <v>-2.3101212626159333E-5</v>
      </c>
      <c r="AA49" s="15">
        <f t="shared" si="35"/>
        <v>23604.766538773867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3125923379334265</v>
      </c>
      <c r="I50" s="40">
        <f t="shared" si="26"/>
        <v>39.41139542668369</v>
      </c>
      <c r="J50" s="21">
        <f>-(Données!I$44*1E-24*H50+Données!F$44)*I50+(Données!H$49*1E-24*H50*S50)*0.71+Données!H$50*1E-24*H50*W50</f>
        <v>5.3197811040479361E-8</v>
      </c>
      <c r="K50" s="42">
        <f t="shared" si="27"/>
        <v>3169.1066329438913</v>
      </c>
      <c r="L50" s="23">
        <f>-(Données!I$45*1E-24*H50+Données!F$45)*K50+(I50*Données!H$44*1E-24*H50)+(Données!H$51*1E-24*H50)*Y50</f>
        <v>-2.514948488800308E-6</v>
      </c>
      <c r="M50" s="40">
        <f t="shared" si="28"/>
        <v>1328.8680039025462</v>
      </c>
      <c r="N50" s="21">
        <f>-(Données!I$46*1E-24*H50+Données!F$46)*M50+Données!H$45*1E-24*H50*K50</f>
        <v>9.4353928372208313E-7</v>
      </c>
      <c r="O50" s="42">
        <f t="shared" si="29"/>
        <v>189.54237679504848</v>
      </c>
      <c r="P50" s="23">
        <f>-(Données!I$47*1E-24*H50+Données!F$47)*O50+(Données!H$46*1E-24*H50)*M50</f>
        <v>-1.0525533387046245E-7</v>
      </c>
      <c r="Q50" s="40">
        <f t="shared" si="30"/>
        <v>97.043298267142887</v>
      </c>
      <c r="R50" s="43">
        <f>-(Données!I$48*1E-24*H50+Données!F$48)*Q50+Données!H$47*1E-24*H50*O50+(Données!H$49*1E-24*H50*S50)*0.85*0.16</f>
        <v>7.6030773794823449E-8</v>
      </c>
      <c r="S50" s="42">
        <f t="shared" si="31"/>
        <v>50.933264867763164</v>
      </c>
      <c r="T50" s="22">
        <f>-(Données!I$49*1E-24*H50+Données!F$49)*S50+Données!F$47*O50</f>
        <v>-2.9182761867905014E-8</v>
      </c>
      <c r="U50" s="28">
        <f t="shared" si="32"/>
        <v>4874.9049722030759</v>
      </c>
      <c r="V50" s="19"/>
      <c r="W50" s="40">
        <f t="shared" si="33"/>
        <v>54.658144588121225</v>
      </c>
      <c r="X50" s="21">
        <f>-(Données!I$50*1E-24*H50+Données!F$50)*W50+Données!F$45*K50</f>
        <v>-3.9949152898965299E-7</v>
      </c>
      <c r="Y50" s="42">
        <f t="shared" si="34"/>
        <v>23488.32784764648</v>
      </c>
      <c r="Z50" s="23">
        <f>-(Données!I$51*1E-24*H50+Données!F$51)*Y50+Données!F$48*Q50</f>
        <v>-2.3041657117062544E-5</v>
      </c>
      <c r="AA50" s="15">
        <f t="shared" si="35"/>
        <v>23542.9859922346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3125923379334265</v>
      </c>
      <c r="I51" s="40">
        <f t="shared" si="26"/>
        <v>39.551199274098067</v>
      </c>
      <c r="J51" s="21">
        <f>-(Données!I$44*1E-24*H51+Données!F$44)*I51+(Données!H$49*1E-24*H51*S51)*0.71+Données!H$50*1E-24*H51*W51</f>
        <v>5.0408207421636689E-8</v>
      </c>
      <c r="K51" s="42">
        <f t="shared" si="27"/>
        <v>3162.497348315324</v>
      </c>
      <c r="L51" s="23">
        <f>-(Données!I$45*1E-24*H51+Données!F$45)*K51+(I51*Données!H$44*1E-24*H51)+(Données!H$51*1E-24*H51)*Y51</f>
        <v>-2.5189115922329657E-6</v>
      </c>
      <c r="M51" s="40">
        <f t="shared" si="28"/>
        <v>1331.3476251401678</v>
      </c>
      <c r="N51" s="21">
        <f>-(Données!I$46*1E-24*H51+Données!F$46)*M51+Données!H$45*1E-24*H51*K51</f>
        <v>9.272911989071897E-7</v>
      </c>
      <c r="O51" s="42">
        <f t="shared" si="29"/>
        <v>189.26576577763691</v>
      </c>
      <c r="P51" s="23">
        <f>-(Données!I$47*1E-24*H51+Données!F$47)*O51+(Données!H$46*1E-24*H51)*M51</f>
        <v>-9.8795583799975373E-8</v>
      </c>
      <c r="Q51" s="40">
        <f t="shared" si="30"/>
        <v>97.24310714067569</v>
      </c>
      <c r="R51" s="43">
        <f>-(Données!I$48*1E-24*H51+Données!F$48)*Q51+Données!H$47*1E-24*H51*O51+(Données!H$49*1E-24*H51*S51)*0.85*0.16</f>
        <v>7.5119802643518905E-8</v>
      </c>
      <c r="S51" s="42">
        <f t="shared" si="31"/>
        <v>50.856572569574311</v>
      </c>
      <c r="T51" s="22">
        <f>-(Données!I$49*1E-24*H51+Données!F$49)*S51+Données!F$47*O51</f>
        <v>-2.9125332210656992E-8</v>
      </c>
      <c r="U51" s="28">
        <f t="shared" si="32"/>
        <v>4870.761618217477</v>
      </c>
      <c r="V51" s="19"/>
      <c r="W51" s="40">
        <f t="shared" si="33"/>
        <v>53.608280849936413</v>
      </c>
      <c r="X51" s="21">
        <f>-(Données!I$50*1E-24*H51+Données!F$50)*W51+Données!F$45*K51</f>
        <v>-3.9176870055743462E-7</v>
      </c>
      <c r="Y51" s="42">
        <f t="shared" si="34"/>
        <v>23427.774372742839</v>
      </c>
      <c r="Z51" s="23">
        <f>-(Données!I$51*1E-24*H51+Données!F$51)*Y51+Données!F$48*Q51</f>
        <v>-2.2982255143685528E-5</v>
      </c>
      <c r="AA51" s="15">
        <f t="shared" si="35"/>
        <v>23481.382653592776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3125923379334265</v>
      </c>
      <c r="I52" s="40">
        <f t="shared" si="26"/>
        <v>39.683672043202129</v>
      </c>
      <c r="J52" s="21">
        <f>-(Données!I$44*1E-24*H52+Données!F$44)*I52+(Données!H$49*1E-24*H52*S52)*0.71+Données!H$50*1E-24*H52*W52</f>
        <v>4.7694118135582812E-8</v>
      </c>
      <c r="K52" s="42">
        <f t="shared" si="27"/>
        <v>3155.877648650936</v>
      </c>
      <c r="L52" s="23">
        <f>-(Données!I$45*1E-24*H52+Données!F$45)*K52+(I52*Données!H$44*1E-24*H52)+(Données!H$51*1E-24*H52)*Y52</f>
        <v>-2.5226849739853695E-6</v>
      </c>
      <c r="M52" s="40">
        <f t="shared" si="28"/>
        <v>1333.7845464108959</v>
      </c>
      <c r="N52" s="21">
        <f>-(Données!I$46*1E-24*H52+Données!F$46)*M52+Données!H$45*1E-24*H52*K52</f>
        <v>9.111442601554641E-7</v>
      </c>
      <c r="O52" s="42">
        <f t="shared" si="29"/>
        <v>189.00613098341057</v>
      </c>
      <c r="P52" s="23">
        <f>-(Données!I$47*1E-24*H52+Données!F$47)*O52+(Données!H$46*1E-24*H52)*M52</f>
        <v>-9.2576046511401968E-8</v>
      </c>
      <c r="Q52" s="40">
        <f t="shared" si="30"/>
        <v>97.440521982022858</v>
      </c>
      <c r="R52" s="43">
        <f>-(Données!I$48*1E-24*H52+Données!F$48)*Q52+Données!H$47*1E-24*H52*O52+(Données!H$49*1E-24*H52*S52)*0.85*0.16</f>
        <v>7.4238390918938651E-8</v>
      </c>
      <c r="S52" s="42">
        <f t="shared" si="31"/>
        <v>50.780031196524703</v>
      </c>
      <c r="T52" s="22">
        <f>-(Données!I$49*1E-24*H52+Données!F$49)*S52+Données!F$47*O52</f>
        <v>-2.904280334089249E-8</v>
      </c>
      <c r="U52" s="28">
        <f t="shared" si="32"/>
        <v>4866.5725512669924</v>
      </c>
      <c r="V52" s="19"/>
      <c r="W52" s="40">
        <f t="shared" si="33"/>
        <v>52.578712704871478</v>
      </c>
      <c r="X52" s="21">
        <f>-(Données!I$50*1E-24*H52+Données!F$50)*W52+Données!F$45*K52</f>
        <v>-3.8419529307611579E-7</v>
      </c>
      <c r="Y52" s="42">
        <f t="shared" si="34"/>
        <v>23367.377006225233</v>
      </c>
      <c r="Z52" s="23">
        <f>-(Données!I$51*1E-24*H52+Données!F$51)*Y52+Données!F$48*Q52</f>
        <v>-2.2923006310204692E-5</v>
      </c>
      <c r="AA52" s="15">
        <f t="shared" si="35"/>
        <v>23419.955718930105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3125923379334265</v>
      </c>
      <c r="I53" s="40">
        <f t="shared" si="26"/>
        <v>39.809012185662439</v>
      </c>
      <c r="J53" s="21">
        <f>-(Données!I$44*1E-24*H53+Données!F$44)*I53+(Données!H$49*1E-24*H53*S53)*0.71+Données!H$50*1E-24*H53*W53</f>
        <v>4.5054015444805551E-8</v>
      </c>
      <c r="K53" s="42">
        <f t="shared" si="27"/>
        <v>3149.2480325393026</v>
      </c>
      <c r="L53" s="23">
        <f>-(Données!I$45*1E-24*H53+Données!F$45)*K53+(I53*Données!H$44*1E-24*H53)+(Données!H$51*1E-24*H53)*Y53</f>
        <v>-2.5262721142074851E-6</v>
      </c>
      <c r="M53" s="40">
        <f t="shared" si="28"/>
        <v>1336.1790335265846</v>
      </c>
      <c r="N53" s="21">
        <f>-(Données!I$46*1E-24*H53+Données!F$46)*M53+Données!H$45*1E-24*H53*K53</f>
        <v>8.9509846159507319E-7</v>
      </c>
      <c r="O53" s="42">
        <f t="shared" si="29"/>
        <v>188.7628411331786</v>
      </c>
      <c r="P53" s="23">
        <f>-(Données!I$47*1E-24*H53+Données!F$47)*O53+(Données!H$46*1E-24*H53)*M53</f>
        <v>-8.6589676076320606E-8</v>
      </c>
      <c r="Q53" s="40">
        <f t="shared" si="30"/>
        <v>97.635620473357832</v>
      </c>
      <c r="R53" s="43">
        <f>-(Données!I$48*1E-24*H53+Données!F$48)*Q53+Données!H$47*1E-24*H53*O53+(Données!H$49*1E-24*H53*S53)*0.85*0.16</f>
        <v>7.3385517383191896E-8</v>
      </c>
      <c r="S53" s="42">
        <f t="shared" si="31"/>
        <v>50.703706709344836</v>
      </c>
      <c r="T53" s="22">
        <f>-(Données!I$49*1E-24*H53+Données!F$49)*S53+Données!F$47*O53</f>
        <v>-2.8936558283902893E-8</v>
      </c>
      <c r="U53" s="28">
        <f t="shared" si="32"/>
        <v>4862.3382465674313</v>
      </c>
      <c r="V53" s="19"/>
      <c r="W53" s="40">
        <f t="shared" si="33"/>
        <v>51.569047474667443</v>
      </c>
      <c r="X53" s="21">
        <f>-(Données!I$50*1E-24*H53+Données!F$50)*W53+Données!F$45*K53</f>
        <v>-3.767684152847653E-7</v>
      </c>
      <c r="Y53" s="42">
        <f t="shared" si="34"/>
        <v>23307.135345642015</v>
      </c>
      <c r="Z53" s="23">
        <f>-(Données!I$51*1E-24*H53+Données!F$51)*Y53+Données!F$48*Q53</f>
        <v>-2.2863910221817031E-5</v>
      </c>
      <c r="AA53" s="15">
        <f t="shared" si="35"/>
        <v>23358.704393116681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3125923379334265</v>
      </c>
      <c r="I54" s="40">
        <f t="shared" si="26"/>
        <v>39.927414138251386</v>
      </c>
      <c r="J54" s="21">
        <f>-(Données!I$44*1E-24*H54+Données!F$44)*I54+(Données!H$49*1E-24*H54*S54)*0.71+Données!H$50*1E-24*H54*W54</f>
        <v>4.248639332918208E-8</v>
      </c>
      <c r="K54" s="42">
        <f t="shared" si="27"/>
        <v>3142.6089894231654</v>
      </c>
      <c r="L54" s="23">
        <f>-(Données!I$45*1E-24*H54+Données!F$45)*K54+(I54*Données!H$44*1E-24*H54)+(Données!H$51*1E-24*H54)*Y54</f>
        <v>-2.5296764350372312E-6</v>
      </c>
      <c r="M54" s="40">
        <f t="shared" si="28"/>
        <v>1338.5313522836564</v>
      </c>
      <c r="N54" s="21">
        <f>-(Données!I$46*1E-24*H54+Données!F$46)*M54+Données!H$45*1E-24*H54*K54</f>
        <v>8.7915378424370413E-7</v>
      </c>
      <c r="O54" s="42">
        <f t="shared" si="29"/>
        <v>188.53528346445003</v>
      </c>
      <c r="P54" s="23">
        <f>-(Données!I$47*1E-24*H54+Données!F$47)*O54+(Données!H$46*1E-24*H54)*M54</f>
        <v>-8.082962213307038E-8</v>
      </c>
      <c r="Q54" s="40">
        <f t="shared" si="30"/>
        <v>97.82847761304086</v>
      </c>
      <c r="R54" s="43">
        <f>-(Données!I$48*1E-24*H54+Données!F$48)*Q54+Données!H$47*1E-24*H54*O54+(Données!H$49*1E-24*H54*S54)*0.85*0.16</f>
        <v>7.256019047917973E-8</v>
      </c>
      <c r="S54" s="42">
        <f t="shared" si="31"/>
        <v>50.62766143417474</v>
      </c>
      <c r="T54" s="22">
        <f>-(Données!I$49*1E-24*H54+Données!F$49)*S54+Données!F$47*O54</f>
        <v>-2.880792881824405E-8</v>
      </c>
      <c r="U54" s="28">
        <f t="shared" si="32"/>
        <v>4858.0591783567397</v>
      </c>
      <c r="V54" s="19"/>
      <c r="W54" s="40">
        <f t="shared" si="33"/>
        <v>50.578900079299082</v>
      </c>
      <c r="X54" s="21">
        <f>-(Données!I$50*1E-24*H54+Données!F$50)*W54+Données!F$45*K54</f>
        <v>-3.6948523186722644E-7</v>
      </c>
      <c r="Y54" s="42">
        <f t="shared" si="34"/>
        <v>23247.048989579078</v>
      </c>
      <c r="Z54" s="23">
        <f>-(Données!I$51*1E-24*H54+Données!F$51)*Y54+Données!F$48*Q54</f>
        <v>-2.2804966484737538E-5</v>
      </c>
      <c r="AA54" s="15">
        <f t="shared" si="35"/>
        <v>23297.627889658375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3125923379334265</v>
      </c>
      <c r="I55" s="40">
        <f t="shared" si="26"/>
        <v>40.039068379920479</v>
      </c>
      <c r="J55" s="21">
        <f>-(Données!I$44*1E-24*H55+Données!F$44)*I55+(Données!H$49*1E-24*H55*S55)*0.71+Données!H$50*1E-24*H55*W55</f>
        <v>3.998976742559155E-8</v>
      </c>
      <c r="K55" s="42">
        <f t="shared" si="27"/>
        <v>3135.9609997518878</v>
      </c>
      <c r="L55" s="23">
        <f>-(Données!I$45*1E-24*H55+Données!F$45)*K55+(I55*Données!H$44*1E-24*H55)+(Données!H$51*1E-24*H55)*Y55</f>
        <v>-2.5329013015708243E-6</v>
      </c>
      <c r="M55" s="40">
        <f t="shared" si="28"/>
        <v>1340.8417684286487</v>
      </c>
      <c r="N55" s="21">
        <f>-(Données!I$46*1E-24*H55+Données!F$46)*M55+Données!H$45*1E-24*H55*K55</f>
        <v>8.6331019632149854E-7</v>
      </c>
      <c r="O55" s="42">
        <f t="shared" si="29"/>
        <v>188.32286321748433</v>
      </c>
      <c r="P55" s="23">
        <f>-(Données!I$47*1E-24*H55+Données!F$47)*O55+(Données!H$46*1E-24*H55)*M55</f>
        <v>-7.5289224508380518E-8</v>
      </c>
      <c r="Q55" s="40">
        <f t="shared" si="30"/>
        <v>98.019165793620147</v>
      </c>
      <c r="R55" s="43">
        <f>-(Données!I$48*1E-24*H55+Données!F$48)*Q55+Données!H$47*1E-24*H55*O55+(Données!H$49*1E-24*H55*S55)*0.85*0.16</f>
        <v>7.1761447522858863E-8</v>
      </c>
      <c r="S55" s="42">
        <f t="shared" si="31"/>
        <v>50.551954197240399</v>
      </c>
      <c r="T55" s="22">
        <f>-(Données!I$49*1E-24*H55+Données!F$49)*S55+Données!F$47*O55</f>
        <v>-2.8658197110468413E-8</v>
      </c>
      <c r="U55" s="28">
        <f t="shared" si="32"/>
        <v>4853.7358197688027</v>
      </c>
      <c r="V55" s="19"/>
      <c r="W55" s="40">
        <f t="shared" si="33"/>
        <v>49.607892889952012</v>
      </c>
      <c r="X55" s="21">
        <f>-(Données!I$50*1E-24*H55+Données!F$50)*W55+Données!F$45*K55</f>
        <v>-3.6234296236962982E-7</v>
      </c>
      <c r="Y55" s="42">
        <f t="shared" si="34"/>
        <v>23187.117537657188</v>
      </c>
      <c r="Z55" s="23">
        <f>-(Données!I$51*1E-24*H55+Données!F$51)*Y55+Données!F$48*Q55</f>
        <v>-2.274617470619652E-5</v>
      </c>
      <c r="AA55" s="15">
        <f t="shared" si="35"/>
        <v>23236.72543054714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3125923379334265</v>
      </c>
      <c r="I56" s="40">
        <f t="shared" si="26"/>
        <v>40.144161488714936</v>
      </c>
      <c r="J56" s="21">
        <f>-(Données!I$44*1E-24*H56+Données!F$44)*I56+(Données!H$49*1E-24*H56*S56)*0.71+Données!H$50*1E-24*H56*W56</f>
        <v>3.7562674956923388E-8</v>
      </c>
      <c r="K56" s="42">
        <f t="shared" si="27"/>
        <v>3129.3045351313599</v>
      </c>
      <c r="L56" s="23">
        <f>-(Données!I$45*1E-24*H56+Données!F$45)*K56+(I56*Données!H$44*1E-24*H56)+(Données!H$51*1E-24*H56)*Y56</f>
        <v>-2.5359500228156734E-6</v>
      </c>
      <c r="M56" s="40">
        <f t="shared" si="28"/>
        <v>1343.1105476245816</v>
      </c>
      <c r="N56" s="21">
        <f>-(Données!I$46*1E-24*H56+Données!F$46)*M56+Données!H$45*1E-24*H56*K56</f>
        <v>8.4756765355809478E-7</v>
      </c>
      <c r="O56" s="42">
        <f t="shared" si="29"/>
        <v>188.12500313547631</v>
      </c>
      <c r="P56" s="23">
        <f>-(Données!I$47*1E-24*H56+Données!F$47)*O56+(Données!H$46*1E-24*H56)*M56</f>
        <v>-6.9962007987092069E-8</v>
      </c>
      <c r="Q56" s="40">
        <f t="shared" si="30"/>
        <v>98.207754877710215</v>
      </c>
      <c r="R56" s="43">
        <f>-(Données!I$48*1E-24*H56+Données!F$48)*Q56+Données!H$47*1E-24*H56*O56+(Données!H$49*1E-24*H56*S56)*0.85*0.16</f>
        <v>7.0988353917241692E-8</v>
      </c>
      <c r="S56" s="42">
        <f t="shared" si="31"/>
        <v>50.47664045523409</v>
      </c>
      <c r="T56" s="22">
        <f>-(Données!I$49*1E-24*H56+Données!F$49)*S56+Données!F$47*O56</f>
        <v>-2.8488597301178451E-8</v>
      </c>
      <c r="U56" s="28">
        <f t="shared" si="32"/>
        <v>4849.368642713077</v>
      </c>
      <c r="V56" s="19"/>
      <c r="W56" s="40">
        <f t="shared" si="33"/>
        <v>48.655655584844624</v>
      </c>
      <c r="X56" s="21">
        <f>-(Données!I$50*1E-24*H56+Données!F$50)*W56+Données!F$45*K56</f>
        <v>-3.5533888013885122E-7</v>
      </c>
      <c r="Y56" s="42">
        <f t="shared" si="34"/>
        <v>23127.340590529304</v>
      </c>
      <c r="Z56" s="23">
        <f>-(Données!I$51*1E-24*H56+Données!F$51)*Y56+Données!F$48*Q56</f>
        <v>-2.268753449443702E-5</v>
      </c>
      <c r="AA56" s="15">
        <f t="shared" si="35"/>
        <v>23175.996246114148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3125923379334265</v>
      </c>
      <c r="I57" s="40">
        <f t="shared" si="26"/>
        <v>40.242876198501733</v>
      </c>
      <c r="J57" s="21">
        <f>-(Données!I$44*1E-24*H57+Données!F$44)*I57+(Données!H$49*1E-24*H57*S57)*0.71+Données!H$50*1E-24*H57*W57</f>
        <v>3.5203674651031837E-8</v>
      </c>
      <c r="K57" s="42">
        <f t="shared" si="27"/>
        <v>3122.6400584714002</v>
      </c>
      <c r="L57" s="23">
        <f>-(Données!I$45*1E-24*H57+Données!F$45)*K57+(I57*Données!H$44*1E-24*H57)+(Données!H$51*1E-24*H57)*Y57</f>
        <v>-2.5388258526261889E-6</v>
      </c>
      <c r="M57" s="40">
        <f t="shared" si="28"/>
        <v>1345.3379554181322</v>
      </c>
      <c r="N57" s="21">
        <f>-(Données!I$46*1E-24*H57+Données!F$46)*M57+Données!H$45*1E-24*H57*K57</f>
        <v>8.3192609949387436E-7</v>
      </c>
      <c r="O57" s="42">
        <f t="shared" si="29"/>
        <v>187.94114297848623</v>
      </c>
      <c r="P57" s="23">
        <f>-(Données!I$47*1E-24*H57+Données!F$47)*O57+(Données!H$46*1E-24*H57)*M57</f>
        <v>-6.4841677225884297E-8</v>
      </c>
      <c r="Q57" s="40">
        <f t="shared" si="30"/>
        <v>98.394312271804722</v>
      </c>
      <c r="R57" s="43">
        <f>-(Données!I$48*1E-24*H57+Données!F$48)*Q57+Données!H$47*1E-24*H57*O57+(Données!H$49*1E-24*H57*S57)*0.85*0.16</f>
        <v>7.0240002387542938E-8</v>
      </c>
      <c r="S57" s="42">
        <f t="shared" si="31"/>
        <v>50.401772421526594</v>
      </c>
      <c r="T57" s="22">
        <f>-(Données!I$49*1E-24*H57+Données!F$49)*S57+Données!F$47*O57</f>
        <v>-2.8300317043801973E-8</v>
      </c>
      <c r="U57" s="28">
        <f t="shared" si="32"/>
        <v>4844.9581177598511</v>
      </c>
      <c r="V57" s="19"/>
      <c r="W57" s="40">
        <f t="shared" si="33"/>
        <v>47.721825007839726</v>
      </c>
      <c r="X57" s="21">
        <f>-(Données!I$50*1E-24*H57+Données!F$50)*W57+Données!F$45*K57</f>
        <v>-3.4847031128150855E-7</v>
      </c>
      <c r="Y57" s="42">
        <f t="shared" si="34"/>
        <v>23067.717749877924</v>
      </c>
      <c r="Z57" s="23">
        <f>-(Données!I$51*1E-24*H57+Données!F$51)*Y57+Données!F$48*Q57</f>
        <v>-2.2629045458712179E-5</v>
      </c>
      <c r="AA57" s="15">
        <f t="shared" si="35"/>
        <v>23115.439574885764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3125923379334265</v>
      </c>
      <c r="I58" s="40">
        <f t="shared" si="26"/>
        <v>40.335391455484647</v>
      </c>
      <c r="J58" s="21">
        <f>-(Données!I$44*1E-24*H58+Données!F$44)*I58+(Données!H$49*1E-24*H58*S58)*0.71+Données!H$50*1E-24*H58*W58</f>
        <v>3.2911346650167754E-8</v>
      </c>
      <c r="K58" s="42">
        <f t="shared" si="27"/>
        <v>3115.9680241306987</v>
      </c>
      <c r="L58" s="23">
        <f>-(Données!I$45*1E-24*H58+Données!F$45)*K58+(I58*Données!H$44*1E-24*H58)+(Données!H$51*1E-24*H58)*Y58</f>
        <v>-2.5415319906228847E-6</v>
      </c>
      <c r="M58" s="40">
        <f t="shared" si="28"/>
        <v>1347.5242572076022</v>
      </c>
      <c r="N58" s="21">
        <f>-(Données!I$46*1E-24*H58+Données!F$46)*M58+Données!H$45*1E-24*H58*K58</f>
        <v>8.1638546577551291E-7</v>
      </c>
      <c r="O58" s="42">
        <f t="shared" si="29"/>
        <v>187.77073905073661</v>
      </c>
      <c r="P58" s="23">
        <f>-(Données!I$47*1E-24*H58+Données!F$47)*O58+(Données!H$46*1E-24*H58)*M58</f>
        <v>-5.992211180702748E-8</v>
      </c>
      <c r="Q58" s="40">
        <f t="shared" si="30"/>
        <v>98.578902998079187</v>
      </c>
      <c r="R58" s="43">
        <f>-(Données!I$48*1E-24*H58+Données!F$48)*Q58+Données!H$47*1E-24*H58*O58+(Données!H$49*1E-24*H58*S58)*0.85*0.16</f>
        <v>6.9515512236901922E-8</v>
      </c>
      <c r="S58" s="42">
        <f t="shared" si="31"/>
        <v>50.327399188335484</v>
      </c>
      <c r="T58" s="22">
        <f>-(Données!I$49*1E-24*H58+Données!F$49)*S58+Données!F$47*O58</f>
        <v>-2.8094498997451539E-8</v>
      </c>
      <c r="U58" s="28">
        <f t="shared" si="32"/>
        <v>4840.5047140309362</v>
      </c>
      <c r="V58" s="19"/>
      <c r="W58" s="40">
        <f t="shared" si="33"/>
        <v>46.806045029791925</v>
      </c>
      <c r="X58" s="21">
        <f>-(Données!I$50*1E-24*H58+Données!F$50)*W58+Données!F$45*K58</f>
        <v>-3.4173463364310161E-7</v>
      </c>
      <c r="Y58" s="42">
        <f t="shared" si="34"/>
        <v>23008.248618412428</v>
      </c>
      <c r="Z58" s="23">
        <f>-(Données!I$51*1E-24*H58+Données!F$51)*Y58+Données!F$48*Q58</f>
        <v>-2.2570707209282627E-5</v>
      </c>
      <c r="AA58" s="15">
        <f t="shared" si="35"/>
        <v>23055.054663442221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3125923379334265</v>
      </c>
      <c r="I59" s="40">
        <f t="shared" si="26"/>
        <v>40.421882474481286</v>
      </c>
      <c r="J59" s="21">
        <f>-(Données!I$44*1E-24*H59+Données!F$44)*I59+(Données!H$49*1E-24*H59*S59)*0.71+Données!H$50*1E-24*H59*W59</f>
        <v>3.0684292411397906E-8</v>
      </c>
      <c r="K59" s="42">
        <f t="shared" si="27"/>
        <v>3109.2888780593416</v>
      </c>
      <c r="L59" s="23">
        <f>-(Données!I$45*1E-24*H59+Données!F$45)*K59+(I59*Données!H$44*1E-24*H59)+(Données!H$51*1E-24*H59)*Y59</f>
        <v>-2.5440715830950674E-6</v>
      </c>
      <c r="M59" s="40">
        <f t="shared" si="28"/>
        <v>1349.6697182116602</v>
      </c>
      <c r="N59" s="21">
        <f>-(Données!I$46*1E-24*H59+Données!F$46)*M59+Données!H$45*1E-24*H59*K59</f>
        <v>8.0094567244594792E-7</v>
      </c>
      <c r="O59" s="42">
        <f t="shared" si="29"/>
        <v>187.61326374090774</v>
      </c>
      <c r="P59" s="23">
        <f>-(Données!I$47*1E-24*H59+Données!F$47)*O59+(Données!H$46*1E-24*H59)*M59</f>
        <v>-5.5197361428303031E-8</v>
      </c>
      <c r="Q59" s="40">
        <f t="shared" si="30"/>
        <v>98.761589764237769</v>
      </c>
      <c r="R59" s="43">
        <f>-(Données!I$48*1E-24*H59+Données!F$48)*Q59+Données!H$47*1E-24*H59*O59+(Données!H$49*1E-24*H59*S59)*0.85*0.16</f>
        <v>6.8814028622122558E-8</v>
      </c>
      <c r="S59" s="42">
        <f t="shared" si="31"/>
        <v>50.25356684497018</v>
      </c>
      <c r="T59" s="22">
        <f>-(Données!I$49*1E-24*H59+Données!F$49)*S59+Données!F$47*O59</f>
        <v>-2.7872242275189335E-8</v>
      </c>
      <c r="U59" s="28">
        <f t="shared" si="32"/>
        <v>4836.0088990955983</v>
      </c>
      <c r="V59" s="19"/>
      <c r="W59" s="40">
        <f t="shared" si="33"/>
        <v>45.907966412577856</v>
      </c>
      <c r="X59" s="21">
        <f>-(Données!I$50*1E-24*H59+Données!F$50)*W59+Données!F$45*K59</f>
        <v>-3.3512927580690394E-7</v>
      </c>
      <c r="Y59" s="42">
        <f t="shared" si="34"/>
        <v>22948.932799866434</v>
      </c>
      <c r="Z59" s="23">
        <f>-(Données!I$51*1E-24*H59+Données!F$51)*Y59+Données!F$48*Q59</f>
        <v>-2.2512519357413891E-5</v>
      </c>
      <c r="AA59" s="15">
        <f t="shared" si="35"/>
        <v>22994.840766279012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3125923379334265</v>
      </c>
      <c r="I60" s="40">
        <f t="shared" si="26"/>
        <v>40.502520794938441</v>
      </c>
      <c r="J60" s="21">
        <f>-(Données!I$44*1E-24*H60+Données!F$44)*I60+(Données!H$49*1E-24*H60*S60)*0.71+Données!H$50*1E-24*H60*W60</f>
        <v>2.8521134598504551E-8</v>
      </c>
      <c r="K60" s="42">
        <f t="shared" si="27"/>
        <v>3102.6030579389676</v>
      </c>
      <c r="L60" s="23">
        <f>-(Données!I$45*1E-24*H60+Données!F$45)*K60+(I60*Données!H$44*1E-24*H60)+(Données!H$51*1E-24*H60)*Y60</f>
        <v>-2.5464477238874977E-6</v>
      </c>
      <c r="M60" s="40">
        <f t="shared" si="28"/>
        <v>1351.7746034388481</v>
      </c>
      <c r="N60" s="21">
        <f>-(Données!I$46*1E-24*H60+Données!F$46)*M60+Données!H$45*1E-24*H60*K60</f>
        <v>7.8560662822886963E-7</v>
      </c>
      <c r="O60" s="42">
        <f t="shared" si="29"/>
        <v>187.46820507507417</v>
      </c>
      <c r="P60" s="23">
        <f>-(Données!I$47*1E-24*H60+Données!F$47)*O60+(Données!H$46*1E-24*H60)*M60</f>
        <v>-5.066164122532588E-8</v>
      </c>
      <c r="Q60" s="40">
        <f t="shared" si="30"/>
        <v>98.942433031456702</v>
      </c>
      <c r="R60" s="43">
        <f>-(Données!I$48*1E-24*H60+Données!F$48)*Q60+Données!H$47*1E-24*H60*O60+(Données!H$49*1E-24*H60*S60)*0.85*0.16</f>
        <v>6.8134721848890558E-8</v>
      </c>
      <c r="S60" s="42">
        <f t="shared" si="31"/>
        <v>50.180318592270986</v>
      </c>
      <c r="T60" s="22">
        <f>-(Données!I$49*1E-24*H60+Données!F$49)*S60+Données!F$47*O60</f>
        <v>-2.7634603848984205E-8</v>
      </c>
      <c r="U60" s="28">
        <f t="shared" si="32"/>
        <v>4831.4711388715559</v>
      </c>
      <c r="V60" s="19"/>
      <c r="W60" s="40">
        <f t="shared" si="33"/>
        <v>45.027246675757311</v>
      </c>
      <c r="X60" s="21">
        <f>-(Données!I$50*1E-24*H60+Données!F$50)*W60+Données!F$45*K60</f>
        <v>-3.2865171611222519E-7</v>
      </c>
      <c r="Y60" s="42">
        <f t="shared" si="34"/>
        <v>22889.76989899515</v>
      </c>
      <c r="Z60" s="23">
        <f>-(Données!I$51*1E-24*H60+Données!F$51)*Y60+Données!F$48*Q60</f>
        <v>-2.2454481515373796E-5</v>
      </c>
      <c r="AA60" s="15">
        <f t="shared" si="35"/>
        <v>22934.797145670906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3125923379334265</v>
      </c>
      <c r="I61" s="40">
        <f t="shared" si="26"/>
        <v>40.577474336663307</v>
      </c>
      <c r="J61" s="21">
        <f>-(Données!I$44*1E-24*H61+Données!F$44)*I61+(Données!H$49*1E-24*H61*S61)*0.71+Données!H$50*1E-24*H61*W61</f>
        <v>2.6420516965837193E-8</v>
      </c>
      <c r="K61" s="42">
        <f t="shared" si="27"/>
        <v>3095.9109933205914</v>
      </c>
      <c r="L61" s="23">
        <f>-(Données!I$45*1E-24*H61+Données!F$45)*K61+(I61*Données!H$44*1E-24*H61)+(Données!H$51*1E-24*H61)*Y61</f>
        <v>-2.5486634552713393E-6</v>
      </c>
      <c r="M61" s="40">
        <f t="shared" si="28"/>
        <v>1353.8391776578335</v>
      </c>
      <c r="N61" s="21">
        <f>-(Données!I$46*1E-24*H61+Données!F$46)*M61+Données!H$45*1E-24*H61*K61</f>
        <v>7.7036823080781111E-7</v>
      </c>
      <c r="O61" s="42">
        <f t="shared" si="29"/>
        <v>187.33506628193402</v>
      </c>
      <c r="P61" s="23">
        <f>-(Données!I$47*1E-24*H61+Données!F$47)*O61+(Données!H$46*1E-24*H61)*M61</f>
        <v>-4.6309327222623065E-8</v>
      </c>
      <c r="Q61" s="40">
        <f t="shared" si="30"/>
        <v>99.121491080475579</v>
      </c>
      <c r="R61" s="43">
        <f>-(Données!I$48*1E-24*H61+Données!F$48)*Q61+Données!H$47*1E-24*H61*O61+(Données!H$49*1E-24*H61*S61)*0.85*0.16</f>
        <v>6.7476786685939676E-8</v>
      </c>
      <c r="S61" s="42">
        <f t="shared" si="31"/>
        <v>50.107694853355852</v>
      </c>
      <c r="T61" s="22">
        <f>-(Données!I$49*1E-24*H61+Données!F$49)*S61+Données!F$47*O61</f>
        <v>-2.7382599912609049E-8</v>
      </c>
      <c r="U61" s="28">
        <f t="shared" si="32"/>
        <v>4826.8918975308534</v>
      </c>
      <c r="V61" s="19"/>
      <c r="W61" s="40">
        <f t="shared" si="33"/>
        <v>44.163549965814383</v>
      </c>
      <c r="X61" s="21">
        <f>-(Données!I$50*1E-24*H61+Données!F$50)*W61+Données!F$45*K61</f>
        <v>-3.2229948169166931E-7</v>
      </c>
      <c r="Y61" s="42">
        <f t="shared" si="34"/>
        <v>22830.759521572749</v>
      </c>
      <c r="Z61" s="23">
        <f>-(Données!I$51*1E-24*H61+Données!F$51)*Y61+Données!F$48*Q61</f>
        <v>-2.2396593296429889E-5</v>
      </c>
      <c r="AA61" s="15">
        <f t="shared" si="35"/>
        <v>22874.923071538564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3125923379334265</v>
      </c>
      <c r="I62" s="40">
        <f t="shared" si="26"/>
        <v>40.646907455249526</v>
      </c>
      <c r="J62" s="21">
        <f>-(Données!I$44*1E-24*H62+Données!F$44)*I62+(Données!H$49*1E-24*H62*S62)*0.71+Données!H$50*1E-24*H62*W62</f>
        <v>2.4381104234573167E-8</v>
      </c>
      <c r="K62" s="42">
        <f t="shared" si="27"/>
        <v>3089.2131057601382</v>
      </c>
      <c r="L62" s="23">
        <f>-(Données!I$45*1E-24*H62+Données!F$45)*K62+(I62*Données!H$44*1E-24*H62)+(Données!H$51*1E-24*H62)*Y62</f>
        <v>-2.550721768799673E-6</v>
      </c>
      <c r="M62" s="40">
        <f t="shared" si="28"/>
        <v>1355.8637053683965</v>
      </c>
      <c r="N62" s="21">
        <f>-(Données!I$46*1E-24*H62+Données!F$46)*M62+Données!H$45*1E-24*H62*K62</f>
        <v>7.5523036709996739E-7</v>
      </c>
      <c r="O62" s="42">
        <f t="shared" si="29"/>
        <v>187.21336536999297</v>
      </c>
      <c r="P62" s="23">
        <f>-(Données!I$47*1E-24*H62+Données!F$47)*O62+(Données!H$46*1E-24*H62)*M62</f>
        <v>-4.2134951909906754E-8</v>
      </c>
      <c r="Q62" s="40">
        <f t="shared" si="30"/>
        <v>99.298820075886226</v>
      </c>
      <c r="R62" s="43">
        <f>-(Données!I$48*1E-24*H62+Données!F$48)*Q62+Données!H$47*1E-24*H62*O62+(Données!H$49*1E-24*H62*S62)*0.85*0.16</f>
        <v>6.6839441697655926E-8</v>
      </c>
      <c r="S62" s="42">
        <f t="shared" si="31"/>
        <v>50.035733380785516</v>
      </c>
      <c r="T62" s="22">
        <f>-(Données!I$49*1E-24*H62+Données!F$49)*S62+Données!F$47*O62</f>
        <v>-2.7117207203692604E-8</v>
      </c>
      <c r="U62" s="28">
        <f t="shared" si="32"/>
        <v>4822.2716374104484</v>
      </c>
      <c r="V62" s="19"/>
      <c r="W62" s="40">
        <f t="shared" si="33"/>
        <v>43.316546927928677</v>
      </c>
      <c r="X62" s="21">
        <f>-(Données!I$50*1E-24*H62+Données!F$50)*W62+Données!F$45*K62</f>
        <v>-3.1607014752701993E-7</v>
      </c>
      <c r="Y62" s="42">
        <f t="shared" si="34"/>
        <v>22771.901274389729</v>
      </c>
      <c r="Z62" s="23">
        <f>-(Données!I$51*1E-24*H62+Données!F$51)*Y62+Données!F$48*Q62</f>
        <v>-2.2338854314846824E-5</v>
      </c>
      <c r="AA62" s="15">
        <f t="shared" si="35"/>
        <v>22815.217821317659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3125923379334265</v>
      </c>
      <c r="I63" s="40">
        <f t="shared" si="26"/>
        <v>40.710980997177984</v>
      </c>
      <c r="J63" s="21">
        <f>-(Données!I$44*1E-24*H63+Données!F$44)*I63+(Données!H$49*1E-24*H63*S63)*0.71+Données!H$50*1E-24*H63*W63</f>
        <v>2.2401581961824394E-8</v>
      </c>
      <c r="K63" s="42">
        <f t="shared" si="27"/>
        <v>3082.5098089517328</v>
      </c>
      <c r="L63" s="23">
        <f>-(Données!I$45*1E-24*H63+Données!F$45)*K63+(I63*Données!H$44*1E-24*H63)+(Données!H$51*1E-24*H63)*Y63</f>
        <v>-2.5526256061479291E-6</v>
      </c>
      <c r="M63" s="40">
        <f t="shared" si="28"/>
        <v>1357.8484507731353</v>
      </c>
      <c r="N63" s="21">
        <f>-(Données!I$46*1E-24*H63+Données!F$46)*M63+Données!H$45*1E-24*H63*K63</f>
        <v>7.4019291352482431E-7</v>
      </c>
      <c r="O63" s="42">
        <f t="shared" si="29"/>
        <v>187.10263471637373</v>
      </c>
      <c r="P63" s="23">
        <f>-(Données!I$47*1E-24*H63+Données!F$47)*O63+(Données!H$46*1E-24*H63)*M63</f>
        <v>-3.8133199940097247E-8</v>
      </c>
      <c r="Q63" s="40">
        <f t="shared" si="30"/>
        <v>99.474474128667666</v>
      </c>
      <c r="R63" s="43">
        <f>-(Données!I$48*1E-24*H63+Données!F$48)*Q63+Données!H$47*1E-24*H63*O63+(Données!H$49*1E-24*H63*S63)*0.85*0.16</f>
        <v>6.6221928594620741E-8</v>
      </c>
      <c r="S63" s="42">
        <f t="shared" si="31"/>
        <v>49.964469360254213</v>
      </c>
      <c r="T63" s="22">
        <f>-(Données!I$49*1E-24*H63+Données!F$49)*S63+Données!F$47*O63</f>
        <v>-2.6839364286104241E-8</v>
      </c>
      <c r="U63" s="28">
        <f t="shared" si="32"/>
        <v>4817.6108189273409</v>
      </c>
      <c r="V63" s="19"/>
      <c r="W63" s="40">
        <f t="shared" si="33"/>
        <v>42.485914580227671</v>
      </c>
      <c r="X63" s="21">
        <f>-(Données!I$50*1E-24*H63+Données!F$50)*W63+Données!F$45*K63</f>
        <v>-3.0996133552339429E-7</v>
      </c>
      <c r="Y63" s="42">
        <f t="shared" si="34"/>
        <v>22713.194765250311</v>
      </c>
      <c r="Z63" s="23">
        <f>-(Données!I$51*1E-24*H63+Données!F$51)*Y63+Données!F$48*Q63</f>
        <v>-2.2281264185883834E-5</v>
      </c>
      <c r="AA63" s="15">
        <f t="shared" si="35"/>
        <v>22755.680679830541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3125923379334265</v>
      </c>
      <c r="I64" s="40">
        <f t="shared" si="26"/>
        <v>40.769852354573658</v>
      </c>
      <c r="J64" s="21">
        <f>-(Données!I$44*1E-24*H64+Données!F$44)*I64+(Données!H$49*1E-24*H64*S64)*0.71+Données!H$50*1E-24*H64*W64</f>
        <v>2.048065640301234E-8</v>
      </c>
      <c r="K64" s="42">
        <f t="shared" si="27"/>
        <v>3075.8015088587758</v>
      </c>
      <c r="L64" s="23">
        <f>-(Données!I$45*1E-24*H64+Données!F$45)*K64+(I64*Données!H$44*1E-24*H64)+(Données!H$51*1E-24*H64)*Y64</f>
        <v>-2.5543778599395686E-6</v>
      </c>
      <c r="M64" s="40">
        <f t="shared" si="28"/>
        <v>1359.7936777498785</v>
      </c>
      <c r="N64" s="21">
        <f>-(Données!I$46*1E-24*H64+Données!F$46)*M64+Données!H$45*1E-24*H64*K64</f>
        <v>7.2525573626767513E-7</v>
      </c>
      <c r="O64" s="42">
        <f t="shared" si="29"/>
        <v>187.00242066693116</v>
      </c>
      <c r="P64" s="23">
        <f>-(Données!I$47*1E-24*H64+Données!F$47)*O64+(Données!H$46*1E-24*H64)*M64</f>
        <v>-3.4298903945723906E-8</v>
      </c>
      <c r="Q64" s="40">
        <f t="shared" si="30"/>
        <v>99.648505357014329</v>
      </c>
      <c r="R64" s="43">
        <f>-(Données!I$48*1E-24*H64+Données!F$48)*Q64+Données!H$47*1E-24*H64*O64+(Données!H$49*1E-24*H64*S64)*0.85*0.16</f>
        <v>6.5623511601607936E-8</v>
      </c>
      <c r="S64" s="42">
        <f t="shared" si="31"/>
        <v>49.893935510910332</v>
      </c>
      <c r="T64" s="22">
        <f>-(Données!I$49*1E-24*H64+Données!F$49)*S64+Données!F$47*O64</f>
        <v>-2.6549972793818566E-8</v>
      </c>
      <c r="U64" s="28">
        <f t="shared" si="32"/>
        <v>4812.9099004980835</v>
      </c>
      <c r="V64" s="19"/>
      <c r="W64" s="40">
        <f t="shared" si="33"/>
        <v>41.671336190472189</v>
      </c>
      <c r="X64" s="21">
        <f>-(Données!I$50*1E-24*H64+Données!F$50)*W64+Données!F$45*K64</f>
        <v>-3.0397071360131036E-7</v>
      </c>
      <c r="Y64" s="42">
        <f t="shared" si="34"/>
        <v>22654.639602969808</v>
      </c>
      <c r="Z64" s="23">
        <f>-(Données!I$51*1E-24*H64+Données!F$51)*Y64+Données!F$48*Q64</f>
        <v>-2.2223822525792127E-5</v>
      </c>
      <c r="AA64" s="15">
        <f t="shared" si="35"/>
        <v>22696.310939160281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3125923379334265</v>
      </c>
      <c r="I65" s="40">
        <f t="shared" si="26"/>
        <v>40.823675519600776</v>
      </c>
      <c r="J65" s="21">
        <f>-(Données!I$44*1E-24*H65+Données!F$44)*I65+(Données!H$49*1E-24*H65*S65)*0.71+Données!H$50*1E-24*H65*W65</f>
        <v>1.8617054367915694E-8</v>
      </c>
      <c r="K65" s="42">
        <f t="shared" si="27"/>
        <v>3069.0886038428548</v>
      </c>
      <c r="L65" s="23">
        <f>-(Données!I$45*1E-24*H65+Données!F$45)*K65+(I65*Données!H$44*1E-24*H65)+(Données!H$51*1E-24*H65)*Y65</f>
        <v>-2.5559813745572564E-6</v>
      </c>
      <c r="M65" s="40">
        <f t="shared" si="28"/>
        <v>1361.69964982479</v>
      </c>
      <c r="N65" s="21">
        <f>-(Données!I$46*1E-24*H65+Données!F$46)*M65+Données!H$45*1E-24*H65*K65</f>
        <v>7.1041869153815491E-7</v>
      </c>
      <c r="O65" s="42">
        <f t="shared" si="29"/>
        <v>186.91228314736179</v>
      </c>
      <c r="P65" s="23">
        <f>-(Données!I$47*1E-24*H65+Données!F$47)*O65+(Données!H$46*1E-24*H65)*M65</f>
        <v>-3.0627040470450582E-8</v>
      </c>
      <c r="Q65" s="40">
        <f t="shared" si="30"/>
        <v>99.820963945503351</v>
      </c>
      <c r="R65" s="43">
        <f>-(Données!I$48*1E-24*H65+Données!F$48)*Q65+Données!H$47*1E-24*H65*O65+(Données!H$49*1E-24*H65*S65)*0.85*0.16</f>
        <v>6.5043476842563116E-8</v>
      </c>
      <c r="S65" s="42">
        <f t="shared" si="31"/>
        <v>49.824162182408173</v>
      </c>
      <c r="T65" s="22">
        <f>-(Données!I$49*1E-24*H65+Données!F$49)*S65+Données!F$47*O65</f>
        <v>-2.6249898637372613E-8</v>
      </c>
      <c r="U65" s="28">
        <f t="shared" si="32"/>
        <v>4808.1693384625187</v>
      </c>
      <c r="V65" s="19"/>
      <c r="W65" s="40">
        <f t="shared" si="33"/>
        <v>40.872501155127942</v>
      </c>
      <c r="X65" s="21">
        <f>-(Données!I$50*1E-24*H65+Données!F$50)*W65+Données!F$45*K65</f>
        <v>-2.9809599480632224E-7</v>
      </c>
      <c r="Y65" s="42">
        <f t="shared" si="34"/>
        <v>22596.235397372027</v>
      </c>
      <c r="Z65" s="23">
        <f>-(Données!I$51*1E-24*H65+Données!F$51)*Y65+Données!F$48*Q65</f>
        <v>-2.2166528951812338E-5</v>
      </c>
      <c r="AA65" s="15">
        <f t="shared" si="35"/>
        <v>22637.107898527156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3125923379334265</v>
      </c>
      <c r="I66" s="40">
        <f t="shared" si="26"/>
        <v>40.872601138479659</v>
      </c>
      <c r="J66" s="21">
        <f>-(Données!I$44*1E-24*H66+Données!F$44)*I66+(Données!H$49*1E-24*H66*S66)*0.71+Données!H$50*1E-24*H66*W66</f>
        <v>1.6809523070781203E-8</v>
      </c>
      <c r="K66" s="42">
        <f t="shared" si="27"/>
        <v>3062.3714847905185</v>
      </c>
      <c r="L66" s="23">
        <f>-(Données!I$45*1E-24*H66+Données!F$45)*K66+(I66*Données!H$44*1E-24*H66)+(Données!H$51*1E-24*H66)*Y66</f>
        <v>-2.5574389469397897E-6</v>
      </c>
      <c r="M66" s="40">
        <f t="shared" si="28"/>
        <v>1363.5666301461522</v>
      </c>
      <c r="N66" s="21">
        <f>-(Données!I$46*1E-24*H66+Données!F$46)*M66+Données!H$45*1E-24*H66*K66</f>
        <v>6.9568162582384469E-7</v>
      </c>
      <c r="O66" s="42">
        <f t="shared" si="29"/>
        <v>186.83179528500546</v>
      </c>
      <c r="P66" s="23">
        <f>-(Données!I$47*1E-24*H66+Données!F$47)*O66+(Données!H$46*1E-24*H66)*M66</f>
        <v>-2.7112726012539818E-8</v>
      </c>
      <c r="Q66" s="40">
        <f t="shared" si="30"/>
        <v>99.991898202645601</v>
      </c>
      <c r="R66" s="43">
        <f>-(Données!I$48*1E-24*H66+Données!F$48)*Q66+Données!H$47*1E-24*H66*O66+(Données!H$49*1E-24*H66*S66)*0.85*0.16</f>
        <v>6.4481131742107038E-8</v>
      </c>
      <c r="S66" s="42">
        <f t="shared" si="31"/>
        <v>49.755177448789155</v>
      </c>
      <c r="T66" s="22">
        <f>-(Données!I$49*1E-24*H66+Données!F$49)*S66+Données!F$47*O66</f>
        <v>-2.5939973173997178E-8</v>
      </c>
      <c r="U66" s="28">
        <f t="shared" si="32"/>
        <v>4803.3895870115912</v>
      </c>
      <c r="V66" s="19"/>
      <c r="W66" s="40">
        <f t="shared" si="33"/>
        <v>40.089104880776929</v>
      </c>
      <c r="X66" s="21">
        <f>-(Données!I$50*1E-24*H66+Données!F$50)*W66+Données!F$45*K66</f>
        <v>-2.9233493643588282E-7</v>
      </c>
      <c r="Y66" s="42">
        <f t="shared" si="34"/>
        <v>22537.981759286664</v>
      </c>
      <c r="Z66" s="23">
        <f>-(Données!I$51*1E-24*H66+Données!F$51)*Y66+Données!F$48*Q66</f>
        <v>-2.2109383082171983E-5</v>
      </c>
      <c r="AA66" s="15">
        <f t="shared" si="35"/>
        <v>22578.070864167439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3125923379334265</v>
      </c>
      <c r="I67" s="40">
        <f t="shared" si="26"/>
        <v>40.916776565109672</v>
      </c>
      <c r="J67" s="21">
        <f>-(Données!I$44*1E-24*H67+Données!F$44)*I67+(Données!H$49*1E-24*H67*S67)*0.71+Données!H$50*1E-24*H67*W67</f>
        <v>1.5056829974871648E-8</v>
      </c>
      <c r="K67" s="42">
        <f t="shared" si="27"/>
        <v>3055.6505352379609</v>
      </c>
      <c r="L67" s="23">
        <f>-(Données!I$45*1E-24*H67+Données!F$45)*K67+(I67*Données!H$44*1E-24*H67)+(Données!H$51*1E-24*H67)*Y67</f>
        <v>-2.558753327365198E-6</v>
      </c>
      <c r="M67" s="40">
        <f t="shared" si="28"/>
        <v>1365.3948814588173</v>
      </c>
      <c r="N67" s="21">
        <f>-(Données!I$46*1E-24*H67+Données!F$46)*M67+Données!H$45*1E-24*H67*K67</f>
        <v>6.8104437613905989E-7</v>
      </c>
      <c r="O67" s="42">
        <f t="shared" si="29"/>
        <v>186.76054304104451</v>
      </c>
      <c r="P67" s="23">
        <f>-(Données!I$47*1E-24*H67+Données!F$47)*O67+(Données!H$46*1E-24*H67)*M67</f>
        <v>-2.375121317717096E-8</v>
      </c>
      <c r="Q67" s="40">
        <f t="shared" si="30"/>
        <v>100.16135461686386</v>
      </c>
      <c r="R67" s="43">
        <f>-(Données!I$48*1E-24*H67+Données!F$48)*Q67+Données!H$47*1E-24*H67*O67+(Données!H$49*1E-24*H67*S67)*0.85*0.16</f>
        <v>6.3935804443115917E-8</v>
      </c>
      <c r="S67" s="42">
        <f t="shared" si="31"/>
        <v>49.687007199287891</v>
      </c>
      <c r="T67" s="22">
        <f>-(Données!I$49*1E-24*H67+Données!F$49)*S67+Données!F$47*O67</f>
        <v>-2.5620994342474578E-8</v>
      </c>
      <c r="U67" s="28">
        <f t="shared" si="32"/>
        <v>4798.5710981190841</v>
      </c>
      <c r="V67" s="19"/>
      <c r="W67" s="40">
        <f t="shared" si="33"/>
        <v>39.320848667823427</v>
      </c>
      <c r="X67" s="21">
        <f>-(Données!I$50*1E-24*H67+Données!F$50)*W67+Données!F$45*K67</f>
        <v>-2.8668533918310043E-7</v>
      </c>
      <c r="Y67" s="42">
        <f t="shared" si="34"/>
        <v>22479.878300546716</v>
      </c>
      <c r="Z67" s="23">
        <f>-(Données!I$51*1E-24*H67+Données!F$51)*Y67+Données!F$48*Q67</f>
        <v>-2.2052384536082896E-5</v>
      </c>
      <c r="AA67" s="15">
        <f t="shared" si="35"/>
        <v>22519.199149214539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3125923379334265</v>
      </c>
      <c r="I68" s="40">
        <f t="shared" si="26"/>
        <v>40.956345914283631</v>
      </c>
      <c r="J68" s="21">
        <f>-(Données!I$44*1E-24*H68+Données!F$44)*I68+(Données!H$49*1E-24*H68*S68)*0.71+Données!H$50*1E-24*H68*W68</f>
        <v>1.335776263181113E-8</v>
      </c>
      <c r="K68" s="42">
        <f t="shared" si="27"/>
        <v>3048.9261314936452</v>
      </c>
      <c r="L68" s="23">
        <f>-(Données!I$45*1E-24*H68+Données!F$45)*K68+(I68*Données!H$44*1E-24*H68)+(Données!H$51*1E-24*H68)*Y68</f>
        <v>-2.5599272202201361E-6</v>
      </c>
      <c r="M68" s="40">
        <f t="shared" si="28"/>
        <v>1367.1846660793108</v>
      </c>
      <c r="N68" s="21">
        <f>-(Données!I$46*1E-24*H68+Données!F$46)*M68+Données!H$45*1E-24*H68*K68</f>
        <v>6.6650677026889917E-7</v>
      </c>
      <c r="O68" s="42">
        <f t="shared" si="29"/>
        <v>186.69812485281491</v>
      </c>
      <c r="P68" s="23">
        <f>-(Données!I$47*1E-24*H68+Données!F$47)*O68+(Données!H$46*1E-24*H68)*M68</f>
        <v>-2.0537886934614094E-8</v>
      </c>
      <c r="Q68" s="40">
        <f t="shared" si="30"/>
        <v>100.32937791094037</v>
      </c>
      <c r="R68" s="43">
        <f>-(Données!I$48*1E-24*H68+Données!F$48)*Q68+Données!H$47*1E-24*H68*O68+(Données!H$49*1E-24*H68*S68)*0.85*0.16</f>
        <v>6.3406843239945607E-8</v>
      </c>
      <c r="S68" s="42">
        <f t="shared" si="31"/>
        <v>49.61967522615587</v>
      </c>
      <c r="T68" s="22">
        <f>-(Données!I$49*1E-24*H68+Données!F$49)*S68+Données!F$47*O68</f>
        <v>-2.5293727763742772E-8</v>
      </c>
      <c r="U68" s="28">
        <f t="shared" si="32"/>
        <v>4793.7143214771504</v>
      </c>
      <c r="V68" s="19"/>
      <c r="W68" s="40">
        <f t="shared" si="33"/>
        <v>38.567439596450235</v>
      </c>
      <c r="X68" s="21">
        <f>-(Données!I$50*1E-24*H68+Données!F$50)*W68+Données!F$45*K68</f>
        <v>-2.8114504629706332E-7</v>
      </c>
      <c r="Y68" s="42">
        <f t="shared" si="34"/>
        <v>22421.924633985891</v>
      </c>
      <c r="Z68" s="23">
        <f>-(Données!I$51*1E-24*H68+Données!F$51)*Y68+Données!F$48*Q68</f>
        <v>-2.1995532933738696E-5</v>
      </c>
      <c r="AA68" s="15">
        <f t="shared" si="35"/>
        <v>22460.49207358234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3125923379334265</v>
      </c>
      <c r="I69" s="40">
        <f t="shared" si="26"/>
        <v>40.991450114480031</v>
      </c>
      <c r="J69" s="21">
        <f>-(Données!I$44*1E-24*H69+Données!F$44)*I69+(Données!H$49*1E-24*H69*S69)*0.71+Données!H$50*1E-24*H69*W69</f>
        <v>1.1711128516073477E-8</v>
      </c>
      <c r="K69" s="42">
        <f t="shared" si="27"/>
        <v>3042.1986427589068</v>
      </c>
      <c r="L69" s="23">
        <f>-(Données!I$45*1E-24*H69+Données!F$45)*K69+(I69*Données!H$44*1E-24*H69)+(Données!H$51*1E-24*H69)*Y69</f>
        <v>-2.5609632847559396E-6</v>
      </c>
      <c r="M69" s="40">
        <f t="shared" si="28"/>
        <v>1368.9362458715775</v>
      </c>
      <c r="N69" s="21">
        <f>-(Données!I$46*1E-24*H69+Données!F$46)*M69+Données!H$45*1E-24*H69*K69</f>
        <v>6.5206862700863919E-7</v>
      </c>
      <c r="O69" s="42">
        <f t="shared" si="29"/>
        <v>186.64415128595076</v>
      </c>
      <c r="P69" s="23">
        <f>-(Données!I$47*1E-24*H69+Données!F$47)*O69+(Données!H$46*1E-24*H69)*M69</f>
        <v>-1.7468260981327796E-8</v>
      </c>
      <c r="Q69" s="40">
        <f t="shared" si="30"/>
        <v>100.49601109497495</v>
      </c>
      <c r="R69" s="43">
        <f>-(Données!I$48*1E-24*H69+Données!F$48)*Q69+Données!H$47*1E-24*H69*O69+(Données!H$49*1E-24*H69*S69)*0.85*0.16</f>
        <v>6.2893616026875923E-8</v>
      </c>
      <c r="S69" s="42">
        <f t="shared" si="31"/>
        <v>49.553203309592753</v>
      </c>
      <c r="T69" s="22">
        <f>-(Données!I$49*1E-24*H69+Données!F$49)*S69+Données!F$47*O69</f>
        <v>-2.495890780823893E-8</v>
      </c>
      <c r="U69" s="28">
        <f t="shared" si="32"/>
        <v>4788.8197044354829</v>
      </c>
      <c r="V69" s="19"/>
      <c r="W69" s="40">
        <f t="shared" si="33"/>
        <v>37.828590414781551</v>
      </c>
      <c r="X69" s="21">
        <f>-(Données!I$50*1E-24*H69+Données!F$50)*W69+Données!F$45*K69</f>
        <v>-2.7571194275941081E-7</v>
      </c>
      <c r="Y69" s="42">
        <f t="shared" si="34"/>
        <v>22364.120373436024</v>
      </c>
      <c r="Z69" s="23">
        <f>-(Données!I$51*1E-24*H69+Données!F$51)*Y69+Données!F$48*Q69</f>
        <v>-2.1938827896312262E-5</v>
      </c>
      <c r="AA69" s="15">
        <f t="shared" si="35"/>
        <v>22401.948963850806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3125923379334265</v>
      </c>
      <c r="I70" s="40">
        <f t="shared" si="26"/>
        <v>41.022226960220273</v>
      </c>
      <c r="J70" s="21">
        <f>-(Données!I$44*1E-24*H70+Données!F$44)*I70+(Données!H$49*1E-24*H70*S70)*0.71+Données!H$50*1E-24*H70*W70</f>
        <v>1.0115754854946039E-8</v>
      </c>
      <c r="K70" s="42">
        <f t="shared" si="27"/>
        <v>3035.4684312465683</v>
      </c>
      <c r="L70" s="23">
        <f>-(Données!I$45*1E-24*H70+Données!F$45)*K70+(I70*Données!H$44*1E-24*H70)+(Données!H$51*1E-24*H70)*Y70</f>
        <v>-2.561864135831567E-6</v>
      </c>
      <c r="M70" s="40">
        <f t="shared" si="28"/>
        <v>1370.6498822233561</v>
      </c>
      <c r="N70" s="21">
        <f>-(Données!I$46*1E-24*H70+Données!F$46)*M70+Données!H$45*1E-24*H70*K70</f>
        <v>6.3772975639856775E-7</v>
      </c>
      <c r="O70" s="42">
        <f t="shared" si="29"/>
        <v>186.59824469609183</v>
      </c>
      <c r="P70" s="23">
        <f>-(Données!I$47*1E-24*H70+Données!F$47)*O70+(Données!H$46*1E-24*H70)*M70</f>
        <v>-1.4537974201156699E-8</v>
      </c>
      <c r="Q70" s="40">
        <f t="shared" si="30"/>
        <v>100.66129551789358</v>
      </c>
      <c r="R70" s="43">
        <f>-(Données!I$48*1E-24*H70+Données!F$48)*Q70+Données!H$47*1E-24*H70*O70+(Données!H$49*1E-24*H70*S70)*0.85*0.16</f>
        <v>6.2395509761365932E-8</v>
      </c>
      <c r="S70" s="42">
        <f t="shared" si="31"/>
        <v>49.487611299872704</v>
      </c>
      <c r="T70" s="22">
        <f>-(Données!I$49*1E-24*H70+Données!F$49)*S70+Données!F$47*O70</f>
        <v>-2.4617238630947806E-8</v>
      </c>
      <c r="U70" s="28">
        <f t="shared" si="32"/>
        <v>4783.8876919440027</v>
      </c>
      <c r="V70" s="19"/>
      <c r="W70" s="40">
        <f t="shared" si="33"/>
        <v>37.104019429209821</v>
      </c>
      <c r="X70" s="21">
        <f>-(Données!I$50*1E-24*H70+Données!F$50)*W70+Données!F$45*K70</f>
        <v>-2.7038395447683684E-7</v>
      </c>
      <c r="Y70" s="42">
        <f t="shared" si="34"/>
        <v>22306.465133724516</v>
      </c>
      <c r="Z70" s="23">
        <f>-(Données!I$51*1E-24*H70+Données!F$51)*Y70+Données!F$48*Q70</f>
        <v>-2.1882269045953181E-5</v>
      </c>
      <c r="AA70" s="15">
        <f t="shared" si="35"/>
        <v>22343.569153153727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3125923379334265</v>
      </c>
      <c r="I71" s="40">
        <f t="shared" si="26"/>
        <v>41.048811163979074</v>
      </c>
      <c r="J71" s="21">
        <f>-(Données!I$44*1E-24*H71+Données!F$44)*I71+(Données!H$49*1E-24*H71*S71)*0.71+Données!H$50*1E-24*H71*W71</f>
        <v>8.5704884542874932E-9</v>
      </c>
      <c r="K71" s="42">
        <f t="shared" si="27"/>
        <v>3028.7358522976028</v>
      </c>
      <c r="L71" s="23">
        <f>-(Données!I$45*1E-24*H71+Données!F$45)*K71+(I71*Données!H$44*1E-24*H71)+(Données!H$51*1E-24*H71)*Y71</f>
        <v>-2.5626323446436818E-6</v>
      </c>
      <c r="M71" s="40">
        <f t="shared" si="28"/>
        <v>1372.3258360231716</v>
      </c>
      <c r="N71" s="21">
        <f>-(Données!I$46*1E-24*H71+Données!F$46)*M71+Données!H$45*1E-24*H71*K71</f>
        <v>6.2348995995431829E-7</v>
      </c>
      <c r="O71" s="42">
        <f t="shared" si="29"/>
        <v>186.5600388998912</v>
      </c>
      <c r="P71" s="23">
        <f>-(Données!I$47*1E-24*H71+Données!F$47)*O71+(Données!H$46*1E-24*H71)*M71</f>
        <v>-1.1742787223852302E-8</v>
      </c>
      <c r="Q71" s="40">
        <f t="shared" si="30"/>
        <v>100.82527091754645</v>
      </c>
      <c r="R71" s="43">
        <f>-(Données!I$48*1E-24*H71+Données!F$48)*Q71+Données!H$47*1E-24*H71*O71+(Données!H$49*1E-24*H71*S71)*0.85*0.16</f>
        <v>6.1911929941719147E-8</v>
      </c>
      <c r="S71" s="42">
        <f t="shared" si="31"/>
        <v>49.422917196750575</v>
      </c>
      <c r="T71" s="22">
        <f>-(Données!I$49*1E-24*H71+Données!F$49)*S71+Données!F$47*O71</f>
        <v>-2.4269395175088772E-8</v>
      </c>
      <c r="U71" s="28">
        <f t="shared" si="32"/>
        <v>4778.9187264989423</v>
      </c>
      <c r="V71" s="19"/>
      <c r="W71" s="40">
        <f t="shared" si="33"/>
        <v>36.393450396844692</v>
      </c>
      <c r="X71" s="21">
        <f>-(Données!I$50*1E-24*H71+Données!F$50)*W71+Données!F$45*K71</f>
        <v>-2.6515904748921744E-7</v>
      </c>
      <c r="Y71" s="42">
        <f t="shared" si="34"/>
        <v>22248.958530671753</v>
      </c>
      <c r="Z71" s="23">
        <f>-(Données!I$51*1E-24*H71+Données!F$51)*Y71+Données!F$48*Q71</f>
        <v>-2.1825856005785256E-5</v>
      </c>
      <c r="AA71" s="15">
        <f t="shared" si="35"/>
        <v>22285.351981068598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3125923379334265</v>
      </c>
      <c r="I72" s="40">
        <f t="shared" si="26"/>
        <v>41.07133440763694</v>
      </c>
      <c r="J72" s="21">
        <f>-(Données!I$44*1E-24*H72+Données!F$44)*I72+(Données!H$49*1E-24*H72*S72)*0.71+Données!H$50*1E-24*H72*W72</f>
        <v>7.0741955203868212E-9</v>
      </c>
      <c r="K72" s="42">
        <f t="shared" si="27"/>
        <v>3022.001254495879</v>
      </c>
      <c r="L72" s="23">
        <f>-(Données!I$45*1E-24*H72+Données!F$45)*K72+(I72*Données!H$44*1E-24*H72)+(Données!H$51*1E-24*H72)*Y72</f>
        <v>-2.5632704394441736E-6</v>
      </c>
      <c r="M72" s="40">
        <f t="shared" si="28"/>
        <v>1373.9643676379317</v>
      </c>
      <c r="N72" s="21">
        <f>-(Données!I$46*1E-24*H72+Données!F$46)*M72+Données!H$45*1E-24*H72*K72</f>
        <v>6.0934903089281552E-7</v>
      </c>
      <c r="O72" s="42">
        <f t="shared" si="29"/>
        <v>186.5291788550669</v>
      </c>
      <c r="P72" s="23">
        <f>-(Données!I$47*1E-24*H72+Données!F$47)*O72+(Données!H$46*1E-24*H72)*M72</f>
        <v>-9.0785790782497039E-9</v>
      </c>
      <c r="Q72" s="40">
        <f t="shared" si="30"/>
        <v>100.98797546943328</v>
      </c>
      <c r="R72" s="43">
        <f>-(Données!I$48*1E-24*H72+Données!F$48)*Q72+Données!H$47*1E-24*H72*O72+(Données!H$49*1E-24*H72*S72)*0.85*0.16</f>
        <v>6.1442300098771193E-8</v>
      </c>
      <c r="S72" s="42">
        <f t="shared" si="31"/>
        <v>49.359137226230445</v>
      </c>
      <c r="T72" s="22">
        <f>-(Données!I$49*1E-24*H72+Données!F$49)*S72+Données!F$47*O72</f>
        <v>-2.3916024145355296E-8</v>
      </c>
      <c r="U72" s="28">
        <f t="shared" si="32"/>
        <v>4773.913248092178</v>
      </c>
      <c r="V72" s="19"/>
      <c r="W72" s="40">
        <f t="shared" si="33"/>
        <v>35.696612420043031</v>
      </c>
      <c r="X72" s="21">
        <f>-(Données!I$50*1E-24*H72+Données!F$50)*W72+Données!F$45*K72</f>
        <v>-2.6003522719306093E-7</v>
      </c>
      <c r="Y72" s="42">
        <f t="shared" si="34"/>
        <v>22191.60018108855</v>
      </c>
      <c r="Z72" s="23">
        <f>-(Données!I$51*1E-24*H72+Données!F$51)*Y72+Données!F$48*Q72</f>
        <v>-2.1769588399903976E-5</v>
      </c>
      <c r="AA72" s="15">
        <f t="shared" si="35"/>
        <v>22227.296793508594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3125923379334265</v>
      </c>
      <c r="I73" s="40">
        <f t="shared" si="26"/>
        <v>41.089925393464519</v>
      </c>
      <c r="J73" s="21">
        <f>-(Données!I$44*1E-24*H73+Données!F$44)*I73+(Données!H$49*1E-24*H73*S73)*0.71+Données!H$50*1E-24*H73*W73</f>
        <v>5.6257614782156314E-9</v>
      </c>
      <c r="K73" s="42">
        <f t="shared" si="27"/>
        <v>3015.26497978102</v>
      </c>
      <c r="L73" s="23">
        <f>-(Données!I$45*1E-24*H73+Données!F$45)*K73+(I73*Données!H$44*1E-24*H73)+(Données!H$51*1E-24*H73)*Y73</f>
        <v>-2.5637809062452829E-6</v>
      </c>
      <c r="M73" s="40">
        <f t="shared" si="28"/>
        <v>1375.5657368911179</v>
      </c>
      <c r="N73" s="21">
        <f>-(Données!I$46*1E-24*H73+Données!F$46)*M73+Données!H$45*1E-24*H73*K73</f>
        <v>5.9530675435387997E-7</v>
      </c>
      <c r="O73" s="42">
        <f t="shared" si="29"/>
        <v>186.50532034924927</v>
      </c>
      <c r="P73" s="23">
        <f>-(Données!I$47*1E-24*H73+Données!F$47)*O73+(Données!H$46*1E-24*H73)*M73</f>
        <v>-6.5413439374732017E-9</v>
      </c>
      <c r="Q73" s="40">
        <f t="shared" si="30"/>
        <v>101.14944583409284</v>
      </c>
      <c r="R73" s="43">
        <f>-(Données!I$48*1E-24*H73+Données!F$48)*Q73+Données!H$47*1E-24*H73*O73+(Données!H$49*1E-24*H73*S73)*0.85*0.16</f>
        <v>6.0986061301220464E-8</v>
      </c>
      <c r="S73" s="42">
        <f t="shared" si="31"/>
        <v>49.296285914776448</v>
      </c>
      <c r="T73" s="22">
        <f>-(Données!I$49*1E-24*H73+Données!F$49)*S73+Données!F$47*O73</f>
        <v>-2.3557744951588421E-8</v>
      </c>
      <c r="U73" s="28">
        <f t="shared" si="32"/>
        <v>4768.8716941637213</v>
      </c>
      <c r="V73" s="19"/>
      <c r="W73" s="40">
        <f t="shared" si="33"/>
        <v>35.013239842979665</v>
      </c>
      <c r="X73" s="21">
        <f>-(Données!I$50*1E-24*H73+Données!F$50)*W73+Données!F$45*K73</f>
        <v>-2.5501053757998262E-7</v>
      </c>
      <c r="Y73" s="42">
        <f t="shared" si="34"/>
        <v>22134.389702773602</v>
      </c>
      <c r="Z73" s="23">
        <f>-(Données!I$51*1E-24*H73+Données!F$51)*Y73+Données!F$48*Q73</f>
        <v>-2.1713465853373994E-5</v>
      </c>
      <c r="AA73" s="15">
        <f t="shared" si="35"/>
        <v>22169.402942616583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3125923379334265</v>
      </c>
      <c r="I74" s="40">
        <f t="shared" si="26"/>
        <v>41.104709894629266</v>
      </c>
      <c r="J74" s="21">
        <f>-(Données!I$44*1E-24*H74+Données!F$44)*I74+(Données!H$49*1E-24*H74*S74)*0.71+Données!H$50*1E-24*H74*W74</f>
        <v>4.2240907863586679E-9</v>
      </c>
      <c r="K74" s="42">
        <f t="shared" si="27"/>
        <v>3008.5273635594071</v>
      </c>
      <c r="L74" s="23">
        <f>-(Données!I$45*1E-24*H74+Données!F$45)*K74+(I74*Données!H$44*1E-24*H74)+(Données!H$51*1E-24*H74)*Y74</f>
        <v>-2.5641661895126599E-6</v>
      </c>
      <c r="M74" s="40">
        <f t="shared" si="28"/>
        <v>1377.13020304156</v>
      </c>
      <c r="N74" s="21">
        <f>-(Données!I$46*1E-24*H74+Données!F$46)*M74+Données!H$45*1E-24*H74*K74</f>
        <v>5.8136290761759022E-7</v>
      </c>
      <c r="O74" s="42">
        <f t="shared" si="29"/>
        <v>186.48812969738159</v>
      </c>
      <c r="P74" s="23">
        <f>-(Données!I$47*1E-24*H74+Données!F$47)*O74+(Données!H$46*1E-24*H74)*M74</f>
        <v>-4.1271879536444691E-9</v>
      </c>
      <c r="Q74" s="40">
        <f t="shared" si="30"/>
        <v>101.30971720319245</v>
      </c>
      <c r="R74" s="43">
        <f>-(Données!I$48*1E-24*H74+Données!F$48)*Q74+Données!H$47*1E-24*H74*O74+(Données!H$49*1E-24*H74*S74)*0.85*0.16</f>
        <v>6.0542671674235274E-8</v>
      </c>
      <c r="S74" s="42">
        <f t="shared" si="31"/>
        <v>49.23437616104367</v>
      </c>
      <c r="T74" s="22">
        <f>-(Données!I$49*1E-24*H74+Données!F$49)*S74+Données!F$47*O74</f>
        <v>-2.3195150623745777E-8</v>
      </c>
      <c r="U74" s="28">
        <f t="shared" si="32"/>
        <v>4763.7944995572134</v>
      </c>
      <c r="V74" s="19"/>
      <c r="W74" s="40">
        <f t="shared" si="33"/>
        <v>34.34307215021947</v>
      </c>
      <c r="X74" s="21">
        <f>-(Données!I$50*1E-24*H74+Données!F$50)*W74+Données!F$45*K74</f>
        <v>-2.5008306048991476E-7</v>
      </c>
      <c r="Y74" s="42">
        <f t="shared" si="34"/>
        <v>22077.326714510935</v>
      </c>
      <c r="Z74" s="23">
        <f>-(Données!I$51*1E-24*H74+Données!F$51)*Y74+Données!F$48*Q74</f>
        <v>-2.1657487992226661E-5</v>
      </c>
      <c r="AA74" s="15">
        <f t="shared" si="35"/>
        <v>22111.669786661154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3125923379334265</v>
      </c>
      <c r="I75" s="40">
        <f t="shared" si="26"/>
        <v>41.115810805215816</v>
      </c>
      <c r="J75" s="21">
        <f>-(Données!I$44*1E-24*H75+Données!F$44)*I75+(Données!H$49*1E-24*H75*S75)*0.71+Données!H$50*1E-24*H75*W75</f>
        <v>2.8681067488897844E-9</v>
      </c>
      <c r="K75" s="42">
        <f t="shared" si="27"/>
        <v>3001.7887348133677</v>
      </c>
      <c r="L75" s="23">
        <f>-(Données!I$45*1E-24*H75+Données!F$45)*K75+(I75*Données!H$44*1E-24*H75)+(Données!H$51*1E-24*H75)*Y75</f>
        <v>-2.5644286928464949E-6</v>
      </c>
      <c r="M75" s="40">
        <f t="shared" si="28"/>
        <v>1378.658024762779</v>
      </c>
      <c r="N75" s="21">
        <f>-(Données!I$46*1E-24*H75+Données!F$46)*M75+Données!H$45*1E-24*H75*K75</f>
        <v>5.6751726031747473E-7</v>
      </c>
      <c r="O75" s="42">
        <f t="shared" si="29"/>
        <v>186.47728344743942</v>
      </c>
      <c r="P75" s="23">
        <f>-(Données!I$47*1E-24*H75+Données!F$47)*O75+(Données!H$46*1E-24*H75)*M75</f>
        <v>-1.8323261796212551E-9</v>
      </c>
      <c r="Q75" s="40">
        <f t="shared" si="30"/>
        <v>101.46882334435234</v>
      </c>
      <c r="R75" s="43">
        <f>-(Données!I$48*1E-24*H75+Données!F$48)*Q75+Données!H$47*1E-24*H75*O75+(Données!H$49*1E-24*H75*S75)*0.85*0.16</f>
        <v>6.0111605930978649E-8</v>
      </c>
      <c r="S75" s="42">
        <f t="shared" si="31"/>
        <v>49.173419305204469</v>
      </c>
      <c r="T75" s="22">
        <f>-(Données!I$49*1E-24*H75+Données!F$49)*S75+Données!F$47*O75</f>
        <v>-2.2828808698998869E-8</v>
      </c>
      <c r="U75" s="28">
        <f t="shared" si="32"/>
        <v>4758.6820964783583</v>
      </c>
      <c r="V75" s="19"/>
      <c r="W75" s="40">
        <f t="shared" si="33"/>
        <v>33.685853867251971</v>
      </c>
      <c r="X75" s="21">
        <f>-(Données!I$50*1E-24*H75+Données!F$50)*W75+Données!F$45*K75</f>
        <v>-2.452509148787657E-7</v>
      </c>
      <c r="Y75" s="42">
        <f t="shared" si="34"/>
        <v>22020.410836067364</v>
      </c>
      <c r="Z75" s="23">
        <f>-(Données!I$51*1E-24*H75+Données!F$51)*Y75+Données!F$48*Q75</f>
        <v>-2.1601654443457507E-5</v>
      </c>
      <c r="AA75" s="15">
        <f t="shared" si="35"/>
        <v>22054.096689934617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3125923379334265</v>
      </c>
      <c r="I76" s="40">
        <f t="shared" si="26"/>
        <v>41.123348189751901</v>
      </c>
      <c r="J76" s="21">
        <f>-(Données!I$44*1E-24*H76+Données!F$44)*I76+(Données!H$49*1E-24*H76*S76)*0.71+Données!H$50*1E-24*H76*W76</f>
        <v>1.5567513244555158E-9</v>
      </c>
      <c r="K76" s="42">
        <f t="shared" si="27"/>
        <v>2995.049416208567</v>
      </c>
      <c r="L76" s="23">
        <f>-(Données!I$45*1E-24*H76+Données!F$45)*K76+(I76*Données!H$44*1E-24*H76)+(Données!H$51*1E-24*H76)*Y76</f>
        <v>-2.5645707796510803E-6</v>
      </c>
      <c r="M76" s="40">
        <f t="shared" si="28"/>
        <v>1380.1494601228933</v>
      </c>
      <c r="N76" s="21">
        <f>-(Données!I$46*1E-24*H76+Données!F$46)*M76+Données!H$45*1E-24*H76*K76</f>
        <v>5.5376957464960064E-7</v>
      </c>
      <c r="O76" s="42">
        <f t="shared" si="29"/>
        <v>186.47246809423936</v>
      </c>
      <c r="P76" s="23">
        <f>-(Données!I$47*1E-24*H76+Données!F$47)*O76+(Données!H$46*1E-24*H76)*M76</f>
        <v>3.4692042463346925E-10</v>
      </c>
      <c r="Q76" s="40">
        <f t="shared" si="30"/>
        <v>101.62679664473896</v>
      </c>
      <c r="R76" s="43">
        <f>-(Données!I$48*1E-24*H76+Données!F$48)*Q76+Données!H$47*1E-24*H76*O76+(Données!H$49*1E-24*H76*S76)*0.85*0.16</f>
        <v>5.9692354916703329E-8</v>
      </c>
      <c r="S76" s="42">
        <f t="shared" si="31"/>
        <v>49.113425195943499</v>
      </c>
      <c r="T76" s="22">
        <f>-(Données!I$49*1E-24*H76+Données!F$49)*S76+Données!F$47*O76</f>
        <v>-2.2459262081771105E-8</v>
      </c>
      <c r="U76" s="28">
        <f t="shared" si="32"/>
        <v>4753.5349144561342</v>
      </c>
      <c r="V76" s="19"/>
      <c r="W76" s="40">
        <f t="shared" si="33"/>
        <v>33.041334462950573</v>
      </c>
      <c r="X76" s="21">
        <f>-(Données!I$50*1E-24*H76+Données!F$50)*W76+Données!F$45*K76</f>
        <v>-2.405122561002498E-7</v>
      </c>
      <c r="Y76" s="42">
        <f t="shared" si="34"/>
        <v>21963.641688189957</v>
      </c>
      <c r="Z76" s="23">
        <f>-(Données!I$51*1E-24*H76+Données!F$51)*Y76+Données!F$48*Q76</f>
        <v>-2.1545964835023746E-5</v>
      </c>
      <c r="AA76" s="15">
        <f t="shared" si="35"/>
        <v>21996.683022652909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3125923379334265</v>
      </c>
      <c r="I77" s="40">
        <f t="shared" si="26"/>
        <v>41.127439332232569</v>
      </c>
      <c r="J77" s="21">
        <f>-(Données!I$44*1E-24*H77+Données!F$44)*I77+(Données!H$49*1E-24*H77*S77)*0.71+Données!H$50*1E-24*H77*W77</f>
        <v>2.8898493281372579E-10</v>
      </c>
      <c r="K77" s="42">
        <f t="shared" si="27"/>
        <v>2988.3097241996438</v>
      </c>
      <c r="L77" s="23">
        <f>-(Données!I$45*1E-24*H77+Données!F$45)*K77+(I77*Données!H$44*1E-24*H77)+(Données!H$51*1E-24*H77)*Y77</f>
        <v>-2.56459477379283E-6</v>
      </c>
      <c r="M77" s="40">
        <f t="shared" si="28"/>
        <v>1381.6047665650724</v>
      </c>
      <c r="N77" s="21">
        <f>-(Données!I$46*1E-24*H77+Données!F$46)*M77+Données!H$45*1E-24*H77*K77</f>
        <v>5.4011960557764004E-7</v>
      </c>
      <c r="O77" s="42">
        <f t="shared" si="29"/>
        <v>186.4733798011153</v>
      </c>
      <c r="P77" s="23">
        <f>-(Données!I$47*1E-24*H77+Données!F$47)*O77+(Données!H$46*1E-24*H77)*M77</f>
        <v>2.414127903385065E-9</v>
      </c>
      <c r="Q77" s="40">
        <f t="shared" si="30"/>
        <v>101.78366815346006</v>
      </c>
      <c r="R77" s="43">
        <f>-(Données!I$48*1E-24*H77+Données!F$48)*Q77+Données!H$47*1E-24*H77*O77+(Données!H$49*1E-24*H77*S77)*0.85*0.16</f>
        <v>5.9284425165077559E-8</v>
      </c>
      <c r="S77" s="42">
        <f t="shared" si="31"/>
        <v>49.054402255192606</v>
      </c>
      <c r="T77" s="22">
        <f>-(Données!I$49*1E-24*H77+Données!F$49)*S77+Données!F$47*O77</f>
        <v>-2.2087029877504829E-8</v>
      </c>
      <c r="U77" s="28">
        <f t="shared" si="32"/>
        <v>4748.3533803067176</v>
      </c>
      <c r="V77" s="19"/>
      <c r="W77" s="40">
        <f t="shared" si="33"/>
        <v>32.409268253919116</v>
      </c>
      <c r="X77" s="21">
        <f>-(Données!I$50*1E-24*H77+Données!F$50)*W77+Données!F$45*K77</f>
        <v>-2.3586527520161207E-7</v>
      </c>
      <c r="Y77" s="42">
        <f t="shared" si="34"/>
        <v>21907.018892603515</v>
      </c>
      <c r="Z77" s="23">
        <f>-(Données!I$51*1E-24*H77+Données!F$51)*Y77+Données!F$48*Q77</f>
        <v>-2.1490418795841826E-5</v>
      </c>
      <c r="AA77" s="15">
        <f t="shared" si="35"/>
        <v>21939.428160857435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3125923379334265</v>
      </c>
      <c r="I78" s="40">
        <f t="shared" si="26"/>
        <v>41.128198784636005</v>
      </c>
      <c r="J78" s="21">
        <f>-(Données!I$44*1E-24*H78+Données!F$44)*I78+(Données!H$49*1E-24*H78*S78)*0.71+Données!H$50*1E-24*H78*W78</f>
        <v>-9.3621374093432256E-10</v>
      </c>
      <c r="K78" s="42">
        <f t="shared" si="27"/>
        <v>2981.5699691341165</v>
      </c>
      <c r="L78" s="23">
        <f>-(Données!I$45*1E-24*H78+Données!F$45)*K78+(I78*Données!H$44*1E-24*H78)+(Données!H$51*1E-24*H78)*Y78</f>
        <v>-2.5645029602472264E-6</v>
      </c>
      <c r="M78" s="40">
        <f t="shared" si="28"/>
        <v>1383.0242008885305</v>
      </c>
      <c r="N78" s="21">
        <f>-(Données!I$46*1E-24*H78+Données!F$46)*M78+Données!H$45*1E-24*H78*K78</f>
        <v>5.2656710103398651E-7</v>
      </c>
      <c r="O78" s="42">
        <f t="shared" si="29"/>
        <v>186.4797241292454</v>
      </c>
      <c r="P78" s="23">
        <f>-(Données!I$47*1E-24*H78+Données!F$47)*O78+(Données!H$46*1E-24*H78)*M78</f>
        <v>4.3727721364301433E-9</v>
      </c>
      <c r="Q78" s="40">
        <f t="shared" si="30"/>
        <v>101.93946762279388</v>
      </c>
      <c r="R78" s="43">
        <f>-(Données!I$48*1E-24*H78+Données!F$48)*Q78+Données!H$47*1E-24*H78*O78+(Données!H$49*1E-24*H78*S78)*0.85*0.16</f>
        <v>5.8887338466413046E-8</v>
      </c>
      <c r="S78" s="42">
        <f t="shared" si="31"/>
        <v>48.996357540674524</v>
      </c>
      <c r="T78" s="22">
        <f>-(Données!I$49*1E-24*H78+Données!F$49)*S78+Données!F$47*O78</f>
        <v>-2.1712608200921547E-8</v>
      </c>
      <c r="U78" s="28">
        <f t="shared" si="32"/>
        <v>4743.1379180999966</v>
      </c>
      <c r="V78" s="19"/>
      <c r="W78" s="40">
        <f t="shared" si="33"/>
        <v>31.789414310689278</v>
      </c>
      <c r="X78" s="21">
        <f>-(Données!I$50*1E-24*H78+Données!F$50)*W78+Données!F$45*K78</f>
        <v>-2.3130819823298096E-7</v>
      </c>
      <c r="Y78" s="42">
        <f t="shared" si="34"/>
        <v>21850.542072008044</v>
      </c>
      <c r="Z78" s="23">
        <f>-(Données!I$51*1E-24*H78+Données!F$51)*Y78+Données!F$48*Q78</f>
        <v>-2.1435015955784915E-5</v>
      </c>
      <c r="AA78" s="15">
        <f t="shared" si="35"/>
        <v>21882.331486318733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3125923379334265</v>
      </c>
      <c r="I79" s="40">
        <f t="shared" si="26"/>
        <v>41.125738414924832</v>
      </c>
      <c r="J79" s="21">
        <f>-(Données!I$44*1E-24*H79+Données!F$44)*I79+(Données!H$49*1E-24*H79*S79)*0.71+Données!H$50*1E-24*H79*W79</f>
        <v>-2.1198479441897201E-9</v>
      </c>
      <c r="K79" s="42">
        <f t="shared" si="27"/>
        <v>2974.8304553545868</v>
      </c>
      <c r="L79" s="23">
        <f>-(Données!I$45*1E-24*H79+Données!F$45)*K79+(I79*Données!H$44*1E-24*H79)+(Données!H$51*1E-24*H79)*Y79</f>
        <v>-2.5642975857346912E-6</v>
      </c>
      <c r="M79" s="40">
        <f t="shared" si="28"/>
        <v>1384.4080192300478</v>
      </c>
      <c r="N79" s="21">
        <f>-(Données!I$46*1E-24*H79+Données!F$46)*M79+Données!H$45*1E-24*H79*K79</f>
        <v>5.1311180211698334E-7</v>
      </c>
      <c r="O79" s="42">
        <f t="shared" si="29"/>
        <v>186.49121577441994</v>
      </c>
      <c r="P79" s="23">
        <f>-(Données!I$47*1E-24*H79+Données!F$47)*O79+(Données!H$46*1E-24*H79)*M79</f>
        <v>6.2262315925800245E-9</v>
      </c>
      <c r="Q79" s="40">
        <f t="shared" si="30"/>
        <v>102.09422354828362</v>
      </c>
      <c r="R79" s="43">
        <f>-(Données!I$48*1E-24*H79+Données!F$48)*Q79+Données!H$47*1E-24*H79*O79+(Données!H$49*1E-24*H79*S79)*0.85*0.16</f>
        <v>5.8500631447474364E-8</v>
      </c>
      <c r="S79" s="42">
        <f t="shared" si="31"/>
        <v>48.939296806322503</v>
      </c>
      <c r="T79" s="22">
        <f>-(Données!I$49*1E-24*H79+Données!F$49)*S79+Données!F$47*O79</f>
        <v>-2.1336470959520892E-8</v>
      </c>
      <c r="U79" s="28">
        <f t="shared" si="32"/>
        <v>4737.8889491285854</v>
      </c>
      <c r="V79" s="19"/>
      <c r="W79" s="40">
        <f t="shared" si="33"/>
        <v>31.181536365733002</v>
      </c>
      <c r="X79" s="21">
        <f>-(Données!I$50*1E-24*H79+Données!F$50)*W79+Données!F$45*K79</f>
        <v>-2.2683928557008376E-7</v>
      </c>
      <c r="Y79" s="42">
        <f t="shared" si="34"/>
        <v>21794.210850076241</v>
      </c>
      <c r="Z79" s="23">
        <f>-(Données!I$51*1E-24*H79+Données!F$51)*Y79+Données!F$48*Q79</f>
        <v>-2.1379755945680463E-5</v>
      </c>
      <c r="AA79" s="15">
        <f t="shared" si="35"/>
        <v>21825.392386441974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3125923379334265</v>
      </c>
      <c r="I80" s="40">
        <f t="shared" si="26"/>
        <v>41.120167454527504</v>
      </c>
      <c r="J80" s="21">
        <f>-(Données!I$44*1E-24*H80+Données!F$44)*I80+(Données!H$49*1E-24*H80*S80)*0.71+Données!H$50*1E-24*H80*W80</f>
        <v>-3.2629030565609358E-9</v>
      </c>
      <c r="K80" s="42">
        <f t="shared" si="27"/>
        <v>2968.091481299276</v>
      </c>
      <c r="L80" s="23">
        <f>-(Données!I$45*1E-24*H80+Données!F$45)*K80+(I80*Données!H$44*1E-24*H80)+(Données!H$51*1E-24*H80)*Y80</f>
        <v>-2.5639808593456789E-6</v>
      </c>
      <c r="M80" s="40">
        <f t="shared" si="28"/>
        <v>1385.7564770460112</v>
      </c>
      <c r="N80" s="21">
        <f>-(Données!I$46*1E-24*H80+Données!F$46)*M80+Données!H$45*1E-24*H80*K80</f>
        <v>4.9975344328434394E-7</v>
      </c>
      <c r="O80" s="42">
        <f t="shared" si="29"/>
        <v>186.50757831104525</v>
      </c>
      <c r="P80" s="23">
        <f>-(Données!I$47*1E-24*H80+Données!F$47)*O80+(Données!H$46*1E-24*H80)*M80</f>
        <v>7.9777900074634981E-9</v>
      </c>
      <c r="Q80" s="40">
        <f t="shared" si="30"/>
        <v>102.24796320772758</v>
      </c>
      <c r="R80" s="43">
        <f>-(Données!I$48*1E-24*H80+Données!F$48)*Q80+Données!H$47*1E-24*H80*O80+(Données!H$49*1E-24*H80*S80)*0.85*0.16</f>
        <v>5.8123855162557873E-8</v>
      </c>
      <c r="S80" s="42">
        <f t="shared" si="31"/>
        <v>48.883224560640883</v>
      </c>
      <c r="T80" s="22">
        <f>-(Données!I$49*1E-24*H80+Données!F$49)*S80+Données!F$47*O80</f>
        <v>-2.0959070613039631E-8</v>
      </c>
      <c r="U80" s="28">
        <f t="shared" si="32"/>
        <v>4732.606891879228</v>
      </c>
      <c r="V80" s="19"/>
      <c r="W80" s="40">
        <f t="shared" si="33"/>
        <v>30.585402723254823</v>
      </c>
      <c r="X80" s="21">
        <f>-(Données!I$50*1E-24*H80+Données!F$50)*W80+Données!F$45*K80</f>
        <v>-2.2245683125006677E-7</v>
      </c>
      <c r="Y80" s="42">
        <f t="shared" si="34"/>
        <v>21738.024851450991</v>
      </c>
      <c r="Z80" s="23">
        <f>-(Données!I$51*1E-24*H80+Données!F$51)*Y80+Données!F$48*Q80</f>
        <v>-2.1324638397307719E-5</v>
      </c>
      <c r="AA80" s="15">
        <f t="shared" si="35"/>
        <v>21768.610254174248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3125923379334265</v>
      </c>
      <c r="I81" s="40">
        <f t="shared" si="26"/>
        <v>41.111592545294862</v>
      </c>
      <c r="J81" s="21">
        <f>-(Données!I$44*1E-24*H81+Données!F$44)*I81+(Données!H$49*1E-24*H81*S81)*0.71+Données!H$50*1E-24*H81*W81</f>
        <v>-4.366346791218623E-9</v>
      </c>
      <c r="K81" s="42">
        <f t="shared" si="27"/>
        <v>2961.3533396009157</v>
      </c>
      <c r="L81" s="23">
        <f>-(Données!I$45*1E-24*H81+Données!F$45)*K81+(I81*Données!H$44*1E-24*H81)+(Données!H$51*1E-24*H81)*Y81</f>
        <v>-2.5635549531552398E-6</v>
      </c>
      <c r="M81" s="40">
        <f t="shared" si="28"/>
        <v>1387.0698290949624</v>
      </c>
      <c r="N81" s="21">
        <f>-(Données!I$46*1E-24*H81+Données!F$46)*M81+Données!H$45*1E-24*H81*K81</f>
        <v>4.8649175254282664E-7</v>
      </c>
      <c r="O81" s="42">
        <f t="shared" si="29"/>
        <v>186.52854394318487</v>
      </c>
      <c r="P81" s="23">
        <f>-(Données!I$47*1E-24*H81+Données!F$47)*O81+(Données!H$46*1E-24*H81)*M81</f>
        <v>9.6306389877406302E-9</v>
      </c>
      <c r="Q81" s="40">
        <f t="shared" si="30"/>
        <v>102.40071269909478</v>
      </c>
      <c r="R81" s="43">
        <f>-(Données!I$48*1E-24*H81+Données!F$48)*Q81+Données!H$47*1E-24*H81*O81+(Données!H$49*1E-24*H81*S81)*0.85*0.16</f>
        <v>5.77565746955366E-8</v>
      </c>
      <c r="S81" s="42">
        <f t="shared" si="31"/>
        <v>48.828144123069812</v>
      </c>
      <c r="T81" s="22">
        <f>-(Données!I$49*1E-24*H81+Données!F$49)*S81+Données!F$47*O81</f>
        <v>-2.0580838909573372E-8</v>
      </c>
      <c r="U81" s="28">
        <f t="shared" si="32"/>
        <v>4727.2921620065226</v>
      </c>
      <c r="V81" s="19"/>
      <c r="W81" s="40">
        <f t="shared" si="33"/>
        <v>30.000786170729647</v>
      </c>
      <c r="X81" s="21">
        <f>-(Données!I$50*1E-24*H81+Données!F$50)*W81+Données!F$45*K81</f>
        <v>-2.1815916232016717E-7</v>
      </c>
      <c r="Y81" s="42">
        <f t="shared" si="34"/>
        <v>21681.983701742865</v>
      </c>
      <c r="Z81" s="23">
        <f>-(Données!I$51*1E-24*H81+Données!F$51)*Y81+Données!F$48*Q81</f>
        <v>-2.1269662943395288E-5</v>
      </c>
      <c r="AA81" s="15">
        <f t="shared" si="35"/>
        <v>21711.984487913596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3125923379334265</v>
      </c>
      <c r="I82" s="40">
        <f t="shared" si="26"/>
        <v>41.100117785927537</v>
      </c>
      <c r="J82" s="21">
        <f>-(Données!I$44*1E-24*H82+Données!F$44)*I82+(Données!H$49*1E-24*H82*S82)*0.71+Données!H$50*1E-24*H82*W82</f>
        <v>-5.4311293977003674E-9</v>
      </c>
      <c r="K82" s="42">
        <f t="shared" si="27"/>
        <v>2954.6163171840235</v>
      </c>
      <c r="L82" s="23">
        <f>-(Données!I$45*1E-24*H82+Données!F$45)*K82+(I82*Données!H$44*1E-24*H82)+(Données!H$51*1E-24*H82)*Y82</f>
        <v>-2.5630220028271444E-6</v>
      </c>
      <c r="M82" s="40">
        <f t="shared" si="28"/>
        <v>1388.3483294206449</v>
      </c>
      <c r="N82" s="21">
        <f>-(Données!I$46*1E-24*H82+Données!F$46)*M82+Données!H$45*1E-24*H82*K82</f>
        <v>4.7332645163422959E-7</v>
      </c>
      <c r="O82" s="42">
        <f t="shared" si="29"/>
        <v>186.55385326244465</v>
      </c>
      <c r="P82" s="23">
        <f>-(Données!I$47*1E-24*H82+Données!F$47)*O82+(Données!H$46*1E-24*H82)*M82</f>
        <v>1.1187880543752028E-8</v>
      </c>
      <c r="Q82" s="40">
        <f t="shared" si="30"/>
        <v>102.55249697739465</v>
      </c>
      <c r="R82" s="43">
        <f>-(Données!I$48*1E-24*H82+Données!F$48)*Q82+Données!H$47*1E-24*H82*O82+(Données!H$49*1E-24*H82*S82)*0.85*0.16</f>
        <v>5.7398368772577018E-8</v>
      </c>
      <c r="S82" s="42">
        <f t="shared" si="31"/>
        <v>48.774057678415453</v>
      </c>
      <c r="T82" s="22">
        <f>-(Données!I$49*1E-24*H82+Données!F$49)*S82+Données!F$47*O82</f>
        <v>-2.0202187599043592E-8</v>
      </c>
      <c r="U82" s="28">
        <f t="shared" si="32"/>
        <v>4721.9451723088514</v>
      </c>
      <c r="V82" s="19"/>
      <c r="W82" s="40">
        <f t="shared" si="33"/>
        <v>29.427463892152247</v>
      </c>
      <c r="X82" s="21">
        <f>-(Données!I$50*1E-24*H82+Données!F$50)*W82+Données!F$45*K82</f>
        <v>-2.1394463819898687E-7</v>
      </c>
      <c r="Y82" s="42">
        <f t="shared" si="34"/>
        <v>21626.087027527621</v>
      </c>
      <c r="Z82" s="23">
        <f>-(Données!I$51*1E-24*H82+Données!F$51)*Y82+Données!F$48*Q82</f>
        <v>-2.121482921761868E-5</v>
      </c>
      <c r="AA82" s="15">
        <f t="shared" si="35"/>
        <v>21655.514491419774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3125923379334265</v>
      </c>
      <c r="I83" s="40">
        <f t="shared" si="26"/>
        <v>41.085844777870378</v>
      </c>
      <c r="J83" s="21">
        <f>-(Données!I$44*1E-24*H83+Données!F$44)*I83+(Données!H$49*1E-24*H83*S83)*0.71+Données!H$50*1E-24*H83*W83</f>
        <v>-6.4581838659727688E-9</v>
      </c>
      <c r="K83" s="42">
        <f t="shared" si="27"/>
        <v>2947.8806953605936</v>
      </c>
      <c r="L83" s="23">
        <f>-(Données!I$45*1E-24*H83+Données!F$45)*K83+(I83*Données!H$44*1E-24*H83)+(Données!H$51*1E-24*H83)*Y83</f>
        <v>-2.5623841082078667E-6</v>
      </c>
      <c r="M83" s="40">
        <f t="shared" si="28"/>
        <v>1389.5922313355395</v>
      </c>
      <c r="N83" s="21">
        <f>-(Données!I$46*1E-24*H83+Données!F$46)*M83+Données!H$45*1E-24*H83*K83</f>
        <v>4.6025725621777304E-7</v>
      </c>
      <c r="O83" s="42">
        <f t="shared" si="29"/>
        <v>186.58325501251363</v>
      </c>
      <c r="P83" s="23">
        <f>-(Données!I$47*1E-24*H83+Données!F$47)*O83+(Données!H$46*1E-24*H83)*M83</f>
        <v>1.2652529552579691E-8</v>
      </c>
      <c r="Q83" s="40">
        <f t="shared" si="30"/>
        <v>102.70333989052898</v>
      </c>
      <c r="R83" s="43">
        <f>-(Données!I$48*1E-24*H83+Données!F$48)*Q83+Données!H$47*1E-24*H83*O83+(Données!H$49*1E-24*H83*S83)*0.85*0.16</f>
        <v>5.704882938523955E-8</v>
      </c>
      <c r="S83" s="42">
        <f t="shared" si="31"/>
        <v>48.720966329405165</v>
      </c>
      <c r="T83" s="22">
        <f>-(Données!I$49*1E-24*H83+Données!F$49)*S83+Données!F$47*O83</f>
        <v>-1.9823509124670807E-8</v>
      </c>
      <c r="U83" s="28">
        <f t="shared" si="32"/>
        <v>4716.5663327064503</v>
      </c>
      <c r="V83" s="19"/>
      <c r="W83" s="40">
        <f t="shared" si="33"/>
        <v>28.865217382965309</v>
      </c>
      <c r="X83" s="21">
        <f>-(Données!I$50*1E-24*H83+Données!F$50)*W83+Données!F$45*K83</f>
        <v>-2.098116500501254E-7</v>
      </c>
      <c r="Y83" s="42">
        <f t="shared" si="34"/>
        <v>21570.33445634372</v>
      </c>
      <c r="Z83" s="23">
        <f>-(Données!I$51*1E-24*H83+Données!F$51)*Y83+Données!F$48*Q83</f>
        <v>-2.1160136854597855E-5</v>
      </c>
      <c r="AA83" s="15">
        <f t="shared" si="35"/>
        <v>21599.199673726685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3125923379334265</v>
      </c>
      <c r="I84" s="40">
        <f t="shared" si="26"/>
        <v>41.068872670670601</v>
      </c>
      <c r="J84" s="21">
        <f>-(Données!I$44*1E-24*H84+Données!F$44)*I84+(Données!H$49*1E-24*H84*S84)*0.71+Données!H$50*1E-24*H84*W84</f>
        <v>-7.448426131568435E-9</v>
      </c>
      <c r="K84" s="42">
        <f t="shared" si="27"/>
        <v>2941.1467499242235</v>
      </c>
      <c r="L84" s="23">
        <f>-(Données!I$45*1E-24*H84+Données!F$45)*K84+(I84*Données!H$44*1E-24*H84)+(Données!H$51*1E-24*H84)*Y84</f>
        <v>-2.5616433339105728E-6</v>
      </c>
      <c r="M84" s="40">
        <f t="shared" si="28"/>
        <v>1390.8017874048799</v>
      </c>
      <c r="N84" s="21">
        <f>-(Données!I$46*1E-24*H84+Données!F$46)*M84+Données!H$45*1E-24*H84*K84</f>
        <v>4.4728387604893934E-7</v>
      </c>
      <c r="O84" s="42">
        <f t="shared" si="29"/>
        <v>186.61650586017782</v>
      </c>
      <c r="P84" s="23">
        <f>-(Données!I$47*1E-24*H84+Données!F$47)*O84+(Données!H$46*1E-24*H84)*M84</f>
        <v>1.402751615343077E-8</v>
      </c>
      <c r="Q84" s="40">
        <f t="shared" si="30"/>
        <v>102.85326421415338</v>
      </c>
      <c r="R84" s="43">
        <f>-(Données!I$48*1E-24*H84+Données!F$48)*Q84+Données!H$47*1E-24*H84*O84+(Données!H$49*1E-24*H84*S84)*0.85*0.16</f>
        <v>5.670756142368448E-8</v>
      </c>
      <c r="S84" s="42">
        <f t="shared" si="31"/>
        <v>48.66887014742553</v>
      </c>
      <c r="T84" s="22">
        <f>-(Données!I$49*1E-24*H84+Données!F$49)*S84+Données!F$47*O84</f>
        <v>-1.9445177293100247E-8</v>
      </c>
      <c r="U84" s="28">
        <f t="shared" si="32"/>
        <v>4711.1560502215316</v>
      </c>
      <c r="V84" s="19"/>
      <c r="W84" s="40">
        <f t="shared" si="33"/>
        <v>28.31383236663358</v>
      </c>
      <c r="X84" s="21">
        <f>-(Données!I$50*1E-24*H84+Données!F$50)*W84+Données!F$45*K84</f>
        <v>-2.0575862016793236E-7</v>
      </c>
      <c r="Y84" s="42">
        <f t="shared" si="34"/>
        <v>21514.725616689837</v>
      </c>
      <c r="Z84" s="23">
        <f>-(Données!I$51*1E-24*H84+Données!F$51)*Y84+Données!F$48*Q84</f>
        <v>-2.1105585489894802E-5</v>
      </c>
      <c r="AA84" s="15">
        <f t="shared" si="35"/>
        <v>21543.039449056472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3125923379334265</v>
      </c>
      <c r="I85" s="40">
        <f t="shared" si="26"/>
        <v>41.049298206796841</v>
      </c>
      <c r="J85" s="21">
        <f>-(Données!I$44*1E-24*H85+Données!F$44)*I85+(Données!H$49*1E-24*H85*S85)*0.71+Données!H$50*1E-24*H85*W85</f>
        <v>-8.4027552816220343E-9</v>
      </c>
      <c r="K85" s="42">
        <f t="shared" si="27"/>
        <v>2934.4147512427066</v>
      </c>
      <c r="L85" s="23">
        <f>-(Données!I$45*1E-24*H85+Données!F$45)*K85+(I85*Données!H$44*1E-24*H85)+(Données!H$51*1E-24*H85)*Y85</f>
        <v>-2.5608017098892739E-6</v>
      </c>
      <c r="M85" s="40">
        <f t="shared" si="28"/>
        <v>1391.9772494311364</v>
      </c>
      <c r="N85" s="21">
        <f>-(Données!I$46*1E-24*H85+Données!F$46)*M85+Données!H$45*1E-24*H85*K85</f>
        <v>4.3440601515481595E-7</v>
      </c>
      <c r="O85" s="42">
        <f t="shared" si="29"/>
        <v>186.65337017262905</v>
      </c>
      <c r="P85" s="23">
        <f>-(Données!I$47*1E-24*H85+Données!F$47)*O85+(Données!H$46*1E-24*H85)*M85</f>
        <v>1.5315688077217889E-8</v>
      </c>
      <c r="Q85" s="40">
        <f t="shared" si="30"/>
        <v>103.00229168557483</v>
      </c>
      <c r="R85" s="43">
        <f>-(Données!I$48*1E-24*H85+Données!F$48)*Q85+Données!H$47*1E-24*H85*O85+(Données!H$49*1E-24*H85*S85)*0.85*0.16</f>
        <v>5.6374182319710453E-8</v>
      </c>
      <c r="S85" s="42">
        <f t="shared" si="31"/>
        <v>48.617768221499261</v>
      </c>
      <c r="T85" s="22">
        <f>-(Données!I$49*1E-24*H85+Données!F$49)*S85+Données!F$47*O85</f>
        <v>-1.9067547923803216E-8</v>
      </c>
      <c r="U85" s="28">
        <f t="shared" si="32"/>
        <v>4705.7147289603436</v>
      </c>
      <c r="V85" s="19"/>
      <c r="W85" s="40">
        <f t="shared" si="33"/>
        <v>27.773098712832255</v>
      </c>
      <c r="X85" s="21">
        <f>-(Données!I$50*1E-24*H85+Données!F$50)*W85+Données!F$45*K85</f>
        <v>-2.0178400137514465E-7</v>
      </c>
      <c r="Y85" s="42">
        <f t="shared" si="34"/>
        <v>21459.260138022393</v>
      </c>
      <c r="Z85" s="23">
        <f>-(Données!I$51*1E-24*H85+Données!F$51)*Y85+Données!F$48*Q85</f>
        <v>-2.1051174760011095E-5</v>
      </c>
      <c r="AA85" s="15">
        <f t="shared" si="35"/>
        <v>21487.033236735224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3125923379334265</v>
      </c>
      <c r="I86" s="40">
        <f t="shared" si="26"/>
        <v>41.027215765916736</v>
      </c>
      <c r="J86" s="21">
        <f>-(Données!I$44*1E-24*H86+Données!F$44)*I86+(Données!H$49*1E-24*H86*S86)*0.71+Données!H$50*1E-24*H86*W86</f>
        <v>-9.3220537616387807E-9</v>
      </c>
      <c r="K86" s="42">
        <f t="shared" si="27"/>
        <v>2927.6849643491178</v>
      </c>
      <c r="L86" s="23">
        <f>-(Données!I$45*1E-24*H86+Données!F$45)*K86+(I86*Données!H$44*1E-24*H86)+(Données!H$51*1E-24*H86)*Y86</f>
        <v>-2.5598612320033735E-6</v>
      </c>
      <c r="M86" s="40">
        <f t="shared" si="28"/>
        <v>1393.1188684389633</v>
      </c>
      <c r="N86" s="21">
        <f>-(Données!I$46*1E-24*H86+Données!F$46)*M86+Données!H$45*1E-24*H86*K86</f>
        <v>4.2162337200602832E-7</v>
      </c>
      <c r="O86" s="42">
        <f t="shared" si="29"/>
        <v>186.69361980089599</v>
      </c>
      <c r="P86" s="23">
        <f>-(Données!I$47*1E-24*H86+Données!F$47)*O86+(Données!H$46*1E-24*H86)*M86</f>
        <v>1.6519812912141033E-8</v>
      </c>
      <c r="Q86" s="40">
        <f t="shared" si="30"/>
        <v>103.15044303671102</v>
      </c>
      <c r="R86" s="43">
        <f>-(Données!I$48*1E-24*H86+Données!F$48)*Q86+Données!H$47*1E-24*H86*O86+(Données!H$49*1E-24*H86*S86)*0.85*0.16</f>
        <v>5.6048321699363122E-8</v>
      </c>
      <c r="S86" s="42">
        <f t="shared" si="31"/>
        <v>48.567658705555509</v>
      </c>
      <c r="T86" s="22">
        <f>-(Données!I$49*1E-24*H86+Données!F$49)*S86+Données!F$47*O86</f>
        <v>-1.8690959478362124E-8</v>
      </c>
      <c r="U86" s="28">
        <f t="shared" si="32"/>
        <v>4700.2427700971612</v>
      </c>
      <c r="V86" s="19"/>
      <c r="W86" s="40">
        <f t="shared" si="33"/>
        <v>27.242810357218374</v>
      </c>
      <c r="X86" s="21">
        <f>-(Données!I$50*1E-24*H86+Données!F$50)*W86+Données!F$45*K86</f>
        <v>-1.9788627643217932E-7</v>
      </c>
      <c r="Y86" s="42">
        <f t="shared" si="34"/>
        <v>21403.937650753083</v>
      </c>
      <c r="Z86" s="23">
        <f>-(Données!I$51*1E-24*H86+Données!F$51)*Y86+Données!F$48*Q86</f>
        <v>-2.099690430238548E-5</v>
      </c>
      <c r="AA86" s="15">
        <f t="shared" si="35"/>
        <v>21431.180461110303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3125923379334265</v>
      </c>
      <c r="I87" s="40">
        <f t="shared" si="26"/>
        <v>41.002717408631149</v>
      </c>
      <c r="J87" s="21">
        <f>-(Données!I$44*1E-24*H87+Données!F$44)*I87+(Données!H$49*1E-24*H87*S87)*0.71+Données!H$50*1E-24*H87*W87</f>
        <v>-1.0207187582834732E-8</v>
      </c>
      <c r="K87" s="42">
        <f t="shared" si="27"/>
        <v>2920.957649031413</v>
      </c>
      <c r="L87" s="23">
        <f>-(Données!I$45*1E-24*H87+Données!F$45)*K87+(I87*Données!H$44*1E-24*H87)+(Données!H$51*1E-24*H87)*Y87</f>
        <v>-2.5588238625727725E-6</v>
      </c>
      <c r="M87" s="40">
        <f t="shared" si="28"/>
        <v>1394.2268946605952</v>
      </c>
      <c r="N87" s="21">
        <f>-(Données!I$46*1E-24*H87+Données!F$46)*M87+Données!H$45*1E-24*H87*K87</f>
        <v>4.0893563968530155E-7</v>
      </c>
      <c r="O87" s="42">
        <f t="shared" si="29"/>
        <v>186.73703386922909</v>
      </c>
      <c r="P87" s="23">
        <f>-(Données!I$47*1E-24*H87+Données!F$47)*O87+(Données!H$46*1E-24*H87)*M87</f>
        <v>1.7642580307039206E-8</v>
      </c>
      <c r="Q87" s="40">
        <f t="shared" si="30"/>
        <v>103.29773802613695</v>
      </c>
      <c r="R87" s="43">
        <f>-(Données!I$48*1E-24*H87+Données!F$48)*Q87+Données!H$47*1E-24*H87*O87+(Données!H$49*1E-24*H87*S87)*0.85*0.16</f>
        <v>5.5729621044854813E-8</v>
      </c>
      <c r="S87" s="42">
        <f t="shared" si="31"/>
        <v>48.51853886404637</v>
      </c>
      <c r="T87" s="22">
        <f>-(Données!I$49*1E-24*H87+Données!F$49)*S87+Données!F$47*O87</f>
        <v>-1.8315733670230702E-8</v>
      </c>
      <c r="U87" s="28">
        <f t="shared" si="32"/>
        <v>4694.7405718600521</v>
      </c>
      <c r="V87" s="19"/>
      <c r="W87" s="40">
        <f t="shared" si="33"/>
        <v>26.722765222754607</v>
      </c>
      <c r="X87" s="21">
        <f>-(Données!I$50*1E-24*H87+Données!F$50)*W87+Données!F$45*K87</f>
        <v>-1.9406395745785552E-7</v>
      </c>
      <c r="Y87" s="42">
        <f t="shared" si="34"/>
        <v>21348.757786246413</v>
      </c>
      <c r="Z87" s="23">
        <f>-(Données!I$51*1E-24*H87+Données!F$51)*Y87+Données!F$48*Q87</f>
        <v>-2.0942773755391448E-5</v>
      </c>
      <c r="AA87" s="15">
        <f t="shared" si="35"/>
        <v>21375.480551469169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3125923379334265</v>
      </c>
      <c r="I88" s="40">
        <f t="shared" si="26"/>
        <v>40.975892919663458</v>
      </c>
      <c r="J88" s="21">
        <f>-(Données!I$44*1E-24*H88+Données!F$44)*I88+(Données!H$49*1E-24*H88*S88)*0.71+Données!H$50*1E-24*H88*W88</f>
        <v>-1.1059006529896534E-8</v>
      </c>
      <c r="K88" s="42">
        <f t="shared" si="27"/>
        <v>2914.2330599205716</v>
      </c>
      <c r="L88" s="23">
        <f>-(Données!I$45*1E-24*H88+Données!F$45)*K88+(I88*Données!H$44*1E-24*H88)+(Données!H$51*1E-24*H88)*Y88</f>
        <v>-2.5576915309237035E-6</v>
      </c>
      <c r="M88" s="40">
        <f t="shared" si="28"/>
        <v>1395.3015775216882</v>
      </c>
      <c r="N88" s="21">
        <f>-(Données!I$46*1E-24*H88+Données!F$46)*M88+Données!H$45*1E-24*H88*K88</f>
        <v>3.9634250605272161E-7</v>
      </c>
      <c r="O88" s="42">
        <f t="shared" si="29"/>
        <v>186.78339857027601</v>
      </c>
      <c r="P88" s="23">
        <f>-(Données!I$47*1E-24*H88+Données!F$47)*O88+(Données!H$46*1E-24*H88)*M88</f>
        <v>1.8686604114224967E-8</v>
      </c>
      <c r="Q88" s="40">
        <f t="shared" si="30"/>
        <v>103.44419547024283</v>
      </c>
      <c r="R88" s="43">
        <f>-(Données!I$48*1E-24*H88+Données!F$48)*Q88+Données!H$47*1E-24*H88*O88+(Données!H$49*1E-24*H88*S88)*0.85*0.16</f>
        <v>5.541773336554639E-8</v>
      </c>
      <c r="S88" s="42">
        <f t="shared" si="31"/>
        <v>48.470405115961</v>
      </c>
      <c r="T88" s="22">
        <f>-(Données!I$49*1E-24*H88+Données!F$49)*S88+Données!F$47*O88</f>
        <v>-1.7942176055540869E-8</v>
      </c>
      <c r="U88" s="28">
        <f t="shared" si="32"/>
        <v>4689.2085295184024</v>
      </c>
      <c r="V88" s="19"/>
      <c r="W88" s="40">
        <f t="shared" si="33"/>
        <v>26.212765142555362</v>
      </c>
      <c r="X88" s="21">
        <f>-(Données!I$50*1E-24*H88+Données!F$50)*W88+Données!F$45*K88</f>
        <v>-1.9031558536132533E-7</v>
      </c>
      <c r="Y88" s="42">
        <f t="shared" si="34"/>
        <v>21293.720176817245</v>
      </c>
      <c r="Z88" s="23">
        <f>-(Données!I$51*1E-24*H88+Données!F$51)*Y88+Données!F$48*Q88</f>
        <v>-2.0888782758334831E-5</v>
      </c>
      <c r="AA88" s="15">
        <f t="shared" si="35"/>
        <v>21319.9329419598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3125923379334265</v>
      </c>
      <c r="I89" s="40">
        <f t="shared" si="26"/>
        <v>40.946829850502887</v>
      </c>
      <c r="J89" s="21">
        <f>-(Données!I$44*1E-24*H89+Données!F$44)*I89+(Données!H$49*1E-24*H89*S89)*0.71+Données!H$50*1E-24*H89*W89</f>
        <v>-1.187834436901568E-8</v>
      </c>
      <c r="K89" s="42">
        <f t="shared" si="27"/>
        <v>2907.511446577304</v>
      </c>
      <c r="L89" s="23">
        <f>-(Données!I$45*1E-24*H89+Données!F$45)*K89+(I89*Données!H$44*1E-24*H89)+(Données!H$51*1E-24*H89)*Y89</f>
        <v>-2.5564661339254689E-6</v>
      </c>
      <c r="M89" s="40">
        <f t="shared" si="28"/>
        <v>1396.3431656275948</v>
      </c>
      <c r="N89" s="21">
        <f>-(Données!I$46*1E-24*H89+Données!F$46)*M89+Données!H$45*1E-24*H89*K89</f>
        <v>3.8384365390775578E-7</v>
      </c>
      <c r="O89" s="42">
        <f t="shared" si="29"/>
        <v>186.8325069658882</v>
      </c>
      <c r="P89" s="23">
        <f>-(Données!I$47*1E-24*H89+Données!F$47)*O89+(Données!H$46*1E-24*H89)*M89</f>
        <v>1.9654424473470084E-8</v>
      </c>
      <c r="Q89" s="40">
        <f t="shared" si="30"/>
        <v>103.58983327352749</v>
      </c>
      <c r="R89" s="43">
        <f>-(Données!I$48*1E-24*H89+Données!F$48)*Q89+Données!H$47*1E-24*H89*O89+(Données!H$49*1E-24*H89*S89)*0.85*0.16</f>
        <v>5.5112322877747382E-8</v>
      </c>
      <c r="S89" s="42">
        <f t="shared" si="31"/>
        <v>48.423253077287036</v>
      </c>
      <c r="T89" s="22">
        <f>-(Données!I$49*1E-24*H89+Données!F$49)*S89+Données!F$47*O89</f>
        <v>-1.7570576605514568E-8</v>
      </c>
      <c r="U89" s="28">
        <f t="shared" si="32"/>
        <v>4683.6470353721052</v>
      </c>
      <c r="V89" s="19"/>
      <c r="W89" s="40">
        <f t="shared" si="33"/>
        <v>25.7126157842258</v>
      </c>
      <c r="X89" s="21">
        <f>-(Données!I$50*1E-24*H89+Données!F$50)*W89+Données!F$45*K89</f>
        <v>-1.8663972928499591E-7</v>
      </c>
      <c r="Y89" s="42">
        <f t="shared" si="34"/>
        <v>21238.82445572834</v>
      </c>
      <c r="Z89" s="23">
        <f>-(Données!I$51*1E-24*H89+Données!F$51)*Y89+Données!F$48*Q89</f>
        <v>-2.0834930951451389E-5</v>
      </c>
      <c r="AA89" s="15">
        <f t="shared" si="35"/>
        <v>21264.537071512565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3125923379334265</v>
      </c>
      <c r="I90" s="40">
        <f t="shared" si="26"/>
        <v>40.915613561501111</v>
      </c>
      <c r="J90" s="21">
        <f>-(Données!I$44*1E-24*H90+Données!F$44)*I90+(Données!H$49*1E-24*H90*S90)*0.71+Données!H$50*1E-24*H90*W90</f>
        <v>-1.2666019056057718E-8</v>
      </c>
      <c r="K90" s="42">
        <f t="shared" si="27"/>
        <v>2900.793053577348</v>
      </c>
      <c r="L90" s="23">
        <f>-(Données!I$45*1E-24*H90+Données!F$45)*K90+(I90*Données!H$44*1E-24*H90)+(Données!H$51*1E-24*H90)*Y90</f>
        <v>-2.5551495365182067E-6</v>
      </c>
      <c r="M90" s="40">
        <f t="shared" si="28"/>
        <v>1397.3519067500642</v>
      </c>
      <c r="N90" s="21">
        <f>-(Données!I$46*1E-24*H90+Données!F$46)*M90+Données!H$45*1E-24*H90*K90</f>
        <v>3.7143876114808322E-7</v>
      </c>
      <c r="O90" s="42">
        <f t="shared" si="29"/>
        <v>186.88415879340448</v>
      </c>
      <c r="P90" s="23">
        <f>-(Données!I$47*1E-24*H90+Données!F$47)*O90+(Données!H$46*1E-24*H90)*M90</f>
        <v>2.0548509838758018E-8</v>
      </c>
      <c r="Q90" s="40">
        <f t="shared" si="30"/>
        <v>103.73466845805021</v>
      </c>
      <c r="R90" s="43">
        <f>-(Données!I$48*1E-24*H90+Données!F$48)*Q90+Données!H$47*1E-24*H90*O90+(Données!H$49*1E-24*H90*S90)*0.85*0.16</f>
        <v>5.4813064693098271E-8</v>
      </c>
      <c r="S90" s="42">
        <f t="shared" si="31"/>
        <v>48.377077601967741</v>
      </c>
      <c r="T90" s="22">
        <f>-(Données!I$49*1E-24*H90+Données!F$49)*S90+Données!F$47*O90</f>
        <v>-1.7201210261020896E-8</v>
      </c>
      <c r="U90" s="28">
        <f t="shared" si="32"/>
        <v>4678.0564787423355</v>
      </c>
      <c r="V90" s="19"/>
      <c r="W90" s="40">
        <f t="shared" si="33"/>
        <v>25.222126575664831</v>
      </c>
      <c r="X90" s="21">
        <f>-(Données!I$50*1E-24*H90+Données!F$50)*W90+Données!F$45*K90</f>
        <v>-1.8303498605823055E-7</v>
      </c>
      <c r="Y90" s="42">
        <f t="shared" si="34"/>
        <v>21184.070257187926</v>
      </c>
      <c r="Z90" s="23">
        <f>-(Données!I$51*1E-24*H90+Données!F$51)*Y90+Données!F$48*Q90</f>
        <v>-2.0781217975904423E-5</v>
      </c>
      <c r="AA90" s="15">
        <f t="shared" si="35"/>
        <v>21209.29238376359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3125923379334265</v>
      </c>
      <c r="I91" s="40">
        <f t="shared" si="26"/>
        <v>40.882327263421793</v>
      </c>
      <c r="J91" s="21">
        <f>-(Données!I$44*1E-24*H91+Données!F$44)*I91+(Données!H$49*1E-24*H91*S91)*0.71+Données!H$50*1E-24*H91*W91</f>
        <v>-1.3422832944734247E-8</v>
      </c>
      <c r="K91" s="42">
        <f t="shared" si="27"/>
        <v>2894.0781205953781</v>
      </c>
      <c r="L91" s="23">
        <f>-(Données!I$45*1E-24*H91+Données!F$45)*K91+(I91*Données!H$44*1E-24*H91)+(Données!H$51*1E-24*H91)*Y91</f>
        <v>-2.5537435722319556E-6</v>
      </c>
      <c r="M91" s="40">
        <f t="shared" si="28"/>
        <v>1398.3280478143613</v>
      </c>
      <c r="N91" s="21">
        <f>-(Données!I$46*1E-24*H91+Données!F$46)*M91+Données!H$45*1E-24*H91*K91</f>
        <v>3.5912750092529572E-7</v>
      </c>
      <c r="O91" s="42">
        <f t="shared" si="29"/>
        <v>186.93816027726075</v>
      </c>
      <c r="P91" s="23">
        <f>-(Données!I$47*1E-24*H91+Données!F$47)*O91+(Données!H$46*1E-24*H91)*M91</f>
        <v>2.1371258949390575E-8</v>
      </c>
      <c r="Q91" s="40">
        <f t="shared" si="30"/>
        <v>103.87871719206368</v>
      </c>
      <c r="R91" s="43">
        <f>-(Données!I$48*1E-24*H91+Données!F$48)*Q91+Données!H$47*1E-24*H91*O91+(Données!H$49*1E-24*H91*S91)*0.85*0.16</f>
        <v>5.4519644515303326E-8</v>
      </c>
      <c r="S91" s="42">
        <f t="shared" si="31"/>
        <v>48.331872821401781</v>
      </c>
      <c r="T91" s="22">
        <f>-(Données!I$49*1E-24*H91+Données!F$49)*S91+Données!F$47*O91</f>
        <v>-1.6834337469804265E-8</v>
      </c>
      <c r="U91" s="28">
        <f t="shared" si="32"/>
        <v>4672.437245963888</v>
      </c>
      <c r="V91" s="19"/>
      <c r="W91" s="40">
        <f t="shared" si="33"/>
        <v>24.741110632303801</v>
      </c>
      <c r="X91" s="21">
        <f>-(Données!I$50*1E-24*H91+Données!F$50)*W91+Données!F$45*K91</f>
        <v>-1.7949997966162036E-7</v>
      </c>
      <c r="Y91" s="42">
        <f t="shared" si="34"/>
        <v>21129.457216347251</v>
      </c>
      <c r="Z91" s="23">
        <f>-(Données!I$51*1E-24*H91+Données!F$51)*Y91+Données!F$48*Q91</f>
        <v>-2.0727643473782362E-5</v>
      </c>
      <c r="AA91" s="15">
        <f t="shared" si="35"/>
        <v>21154.198326979556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3125923379334265</v>
      </c>
      <c r="I92" s="40">
        <f t="shared" si="26"/>
        <v>40.847052058443033</v>
      </c>
      <c r="J92" s="21">
        <f>-(Données!I$44*1E-24*H92+Données!F$44)*I92+(Données!H$49*1E-24*H92*S92)*0.71+Données!H$50*1E-24*H92*W92</f>
        <v>-1.414957299465246E-8</v>
      </c>
      <c r="K92" s="42">
        <f t="shared" si="27"/>
        <v>2887.3668824875526</v>
      </c>
      <c r="L92" s="23">
        <f>-(Données!I$45*1E-24*H92+Données!F$45)*K92+(I92*Données!H$44*1E-24*H92)+(Données!H$51*1E-24*H92)*Y92</f>
        <v>-2.5522500436970398E-6</v>
      </c>
      <c r="M92" s="40">
        <f t="shared" si="28"/>
        <v>1399.2718348867929</v>
      </c>
      <c r="N92" s="21">
        <f>-(Données!I$46*1E-24*H92+Données!F$46)*M92+Données!H$45*1E-24*H92*K92</f>
        <v>3.4690954179752705E-7</v>
      </c>
      <c r="O92" s="42">
        <f t="shared" si="29"/>
        <v>186.99432394577974</v>
      </c>
      <c r="P92" s="23">
        <f>-(Données!I$47*1E-24*H92+Données!F$47)*O92+(Données!H$46*1E-24*H92)*M92</f>
        <v>2.2125002746967891E-8</v>
      </c>
      <c r="Q92" s="40">
        <f t="shared" si="30"/>
        <v>104.02199481784989</v>
      </c>
      <c r="R92" s="43">
        <f>-(Données!I$48*1E-24*H92+Données!F$48)*Q92+Données!H$47*1E-24*H92*O92+(Données!H$49*1E-24*H92*S92)*0.85*0.16</f>
        <v>5.4231758344991551E-8</v>
      </c>
      <c r="S92" s="42">
        <f t="shared" si="31"/>
        <v>48.287632182531134</v>
      </c>
      <c r="T92" s="22">
        <f>-(Données!I$49*1E-24*H92+Données!F$49)*S92+Données!F$47*O92</f>
        <v>-1.6470204706894245E-8</v>
      </c>
      <c r="U92" s="28">
        <f t="shared" si="32"/>
        <v>4666.7897203789498</v>
      </c>
      <c r="V92" s="19"/>
      <c r="W92" s="40">
        <f t="shared" si="33"/>
        <v>24.269384685753064</v>
      </c>
      <c r="X92" s="21">
        <f>-(Données!I$50*1E-24*H92+Données!F$50)*W92+Données!F$45*K92</f>
        <v>-1.7603336070162156E-7</v>
      </c>
      <c r="Y92" s="42">
        <f t="shared" si="34"/>
        <v>21074.984969298152</v>
      </c>
      <c r="Z92" s="23">
        <f>-(Données!I$51*1E-24*H92+Données!F$51)*Y92+Données!F$48*Q92</f>
        <v>-2.0674207088096392E-5</v>
      </c>
      <c r="AA92" s="15">
        <f t="shared" si="35"/>
        <v>21099.254353983906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3125923379334265</v>
      </c>
      <c r="I93" s="40">
        <f t="shared" si="26"/>
        <v>40.809866980613087</v>
      </c>
      <c r="J93" s="21">
        <f>-(Données!I$44*1E-24*H93+Données!F$44)*I93+(Données!H$49*1E-24*H93*S93)*0.71+Données!H$50*1E-24*H93*W93</f>
        <v>-1.4847010979121261E-8</v>
      </c>
      <c r="K93" s="42">
        <f t="shared" si="27"/>
        <v>2880.6595693727168</v>
      </c>
      <c r="L93" s="23">
        <f>-(Données!I$45*1E-24*H93+Données!F$45)*K93+(I93*Données!H$44*1E-24*H93)+(Données!H$51*1E-24*H93)*Y93</f>
        <v>-2.5506707231460613E-6</v>
      </c>
      <c r="M93" s="40">
        <f t="shared" si="28"/>
        <v>1400.1835131626369</v>
      </c>
      <c r="N93" s="21">
        <f>-(Données!I$46*1E-24*H93+Données!F$46)*M93+Données!H$45*1E-24*H93*K93</f>
        <v>3.3478454787905684E-7</v>
      </c>
      <c r="O93" s="42">
        <f t="shared" si="29"/>
        <v>187.05246845299877</v>
      </c>
      <c r="P93" s="23">
        <f>-(Données!I$47*1E-24*H93+Données!F$47)*O93+(Données!H$46*1E-24*H93)*M93</f>
        <v>2.2812006239743942E-8</v>
      </c>
      <c r="Q93" s="40">
        <f t="shared" si="30"/>
        <v>104.16451587878052</v>
      </c>
      <c r="R93" s="43">
        <f>-(Données!I$48*1E-24*H93+Données!F$48)*Q93+Données!H$47*1E-24*H93*O93+(Données!H$49*1E-24*H93*S93)*0.85*0.16</f>
        <v>5.3949112192486349E-8</v>
      </c>
      <c r="S93" s="42">
        <f t="shared" si="31"/>
        <v>48.244348484561414</v>
      </c>
      <c r="T93" s="22">
        <f>-(Données!I$49*1E-24*H93+Données!F$49)*S93+Données!F$47*O93</f>
        <v>-1.6109044978693078E-8</v>
      </c>
      <c r="U93" s="28">
        <f t="shared" si="32"/>
        <v>4661.114282332308</v>
      </c>
      <c r="V93" s="19"/>
      <c r="W93" s="40">
        <f t="shared" si="33"/>
        <v>23.806769013829204</v>
      </c>
      <c r="X93" s="21">
        <f>-(Données!I$50*1E-24*H93+Données!F$50)*W93+Données!F$45*K93</f>
        <v>-1.7263380589535802E-7</v>
      </c>
      <c r="Y93" s="42">
        <f t="shared" si="34"/>
        <v>21020.653153070634</v>
      </c>
      <c r="Z93" s="23">
        <f>-(Données!I$51*1E-24*H93+Données!F$51)*Y93+Données!F$48*Q93</f>
        <v>-2.0620908462778083E-5</v>
      </c>
      <c r="AA93" s="15">
        <f t="shared" si="35"/>
        <v>21044.459922084465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3125923379334265</v>
      </c>
      <c r="I94" s="40">
        <f t="shared" si="26"/>
        <v>40.770849035759959</v>
      </c>
      <c r="J94" s="21">
        <f>-(Données!I$44*1E-24*H94+Données!F$44)*I94+(Données!H$49*1E-24*H94*S94)*0.71+Données!H$50*1E-24*H94*W94</f>
        <v>-1.5515903692600925E-8</v>
      </c>
      <c r="K94" s="42">
        <f t="shared" si="27"/>
        <v>2873.9564067122888</v>
      </c>
      <c r="L94" s="23">
        <f>-(Données!I$45*1E-24*H94+Données!F$45)*K94+(I94*Données!H$44*1E-24*H94)+(Données!H$51*1E-24*H94)*Y94</f>
        <v>-2.549007352907534E-6</v>
      </c>
      <c r="M94" s="40">
        <f t="shared" si="28"/>
        <v>1401.063326954463</v>
      </c>
      <c r="N94" s="21">
        <f>-(Données!I$46*1E-24*H94+Données!F$46)*M94+Données!H$45*1E-24*H94*K94</f>
        <v>3.2275217898695693E-7</v>
      </c>
      <c r="O94" s="42">
        <f t="shared" si="29"/>
        <v>187.11241840539682</v>
      </c>
      <c r="P94" s="23">
        <f>-(Données!I$47*1E-24*H94+Données!F$47)*O94+(Données!H$46*1E-24*H94)*M94</f>
        <v>2.3434470315799248E-8</v>
      </c>
      <c r="Q94" s="40">
        <f t="shared" si="30"/>
        <v>104.30629414562237</v>
      </c>
      <c r="R94" s="43">
        <f>-(Données!I$48*1E-24*H94+Données!F$48)*Q94+Données!H$47*1E-24*H94*O94+(Données!H$49*1E-24*H94*S94)*0.85*0.16</f>
        <v>5.3671421798272652E-8</v>
      </c>
      <c r="S94" s="42">
        <f t="shared" si="31"/>
        <v>48.202013914357408</v>
      </c>
      <c r="T94" s="22">
        <f>-(Données!I$49*1E-24*H94+Données!F$49)*S94+Données!F$47*O94</f>
        <v>-1.5751078311222257E-8</v>
      </c>
      <c r="U94" s="28">
        <f t="shared" si="32"/>
        <v>4655.4113091678892</v>
      </c>
      <c r="V94" s="19"/>
      <c r="W94" s="40">
        <f t="shared" si="33"/>
        <v>23.353087371936201</v>
      </c>
      <c r="X94" s="21">
        <f>-(Données!I$50*1E-24*H94+Données!F$50)*W94+Données!F$45*K94</f>
        <v>-1.6930001756539253E-7</v>
      </c>
      <c r="Y94" s="42">
        <f t="shared" si="34"/>
        <v>20966.461405630453</v>
      </c>
      <c r="Z94" s="23">
        <f>-(Données!I$51*1E-24*H94+Données!F$51)*Y94+Données!F$48*Q94</f>
        <v>-2.0567747242676981E-5</v>
      </c>
      <c r="AA94" s="15">
        <f t="shared" si="35"/>
        <v>20989.814493002388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3125923379334265</v>
      </c>
      <c r="I95" s="40">
        <f t="shared" ref="I95:I136" si="38">I94+J94*D$5</f>
        <v>40.730073240855802</v>
      </c>
      <c r="J95" s="21">
        <f>-(Données!I$44*1E-24*H95+Données!F$44)*I95+(Données!H$49*1E-24*H95*S95)*0.71+Données!H$50*1E-24*H95*W95</f>
        <v>-1.6156993157687007E-8</v>
      </c>
      <c r="K95" s="42">
        <f t="shared" ref="K95:K136" si="39">K94+L94*D$5</f>
        <v>2867.2576153888476</v>
      </c>
      <c r="L95" s="23">
        <f>-(Données!I$45*1E-24*H95+Données!F$45)*K95+(I95*Données!H$44*1E-24*H95)+(Données!H$51*1E-24*H95)*Y95</f>
        <v>-2.5472616458914165E-6</v>
      </c>
      <c r="M95" s="40">
        <f t="shared" ref="M95:M136" si="40">M94+N94*D$5</f>
        <v>1401.9115196808407</v>
      </c>
      <c r="N95" s="21">
        <f>-(Données!I$46*1E-24*H95+Données!F$46)*M95+Données!H$45*1E-24*H95*K95</f>
        <v>3.1081209078481676E-7</v>
      </c>
      <c r="O95" s="42">
        <f t="shared" ref="O95:O136" si="41">O94+P94*D$5</f>
        <v>187.17400419338674</v>
      </c>
      <c r="P95" s="23">
        <f>-(Données!I$47*1E-24*H95+Données!F$47)*O95+(Données!H$46*1E-24*H95)*M95</f>
        <v>2.3994533506443617E-8</v>
      </c>
      <c r="Q95" s="40">
        <f t="shared" ref="Q95:Q136" si="42">Q94+R94*D$5</f>
        <v>104.44734264210824</v>
      </c>
      <c r="R95" s="43">
        <f>-(Données!I$48*1E-24*H95+Données!F$48)*Q95+Données!H$47*1E-24*H95*O95+(Données!H$49*1E-24*H95*S95)*0.85*0.16</f>
        <v>5.3398412360954447E-8</v>
      </c>
      <c r="S95" s="42">
        <f t="shared" ref="S95:S136" si="43">S94+T94*D$5</f>
        <v>48.160620080555518</v>
      </c>
      <c r="T95" s="22">
        <f>-(Données!I$49*1E-24*H95+Données!F$49)*S95+Données!F$47*O95</f>
        <v>-1.539651222299608E-8</v>
      </c>
      <c r="U95" s="28">
        <f t="shared" ref="U95:U136" si="44">I95+K95+M95+O95+Q95+S95</f>
        <v>4649.681175226594</v>
      </c>
      <c r="V95" s="19"/>
      <c r="W95" s="40">
        <f t="shared" ref="W95:W136" si="45">W94+X94*D$5</f>
        <v>22.908166925774349</v>
      </c>
      <c r="X95" s="21">
        <f>-(Données!I$50*1E-24*H95+Données!F$50)*W95+Données!F$45*K95</f>
        <v>-1.6603072314427376E-7</v>
      </c>
      <c r="Y95" s="42">
        <f t="shared" ref="Y95:Y136" si="46">Y94+Z94*D$5</f>
        <v>20912.409365876698</v>
      </c>
      <c r="Z95" s="23">
        <f>-(Données!I$51*1E-24*H95+Données!F$51)*Y95+Données!F$48*Q95</f>
        <v>-2.0514723073558291E-5</v>
      </c>
      <c r="AA95" s="15">
        <f t="shared" ref="AA95:AA136" si="47">W95+Y95</f>
        <v>20935.317532802474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3125923379334265</v>
      </c>
      <c r="I96" s="40">
        <f t="shared" si="38"/>
        <v>40.687612662837402</v>
      </c>
      <c r="J96" s="21">
        <f>-(Données!I$44*1E-24*H96+Données!F$44)*I96+(Données!H$49*1E-24*H96*S96)*0.71+Données!H$50*1E-24*H96*W96</f>
        <v>-1.6771006831526315E-8</v>
      </c>
      <c r="K96" s="42">
        <f t="shared" si="39"/>
        <v>2860.5634117834452</v>
      </c>
      <c r="L96" s="23">
        <f>-(Données!I$45*1E-24*H96+Données!F$45)*K96+(I96*Données!H$44*1E-24*H96)+(Données!H$51*1E-24*H96)*Y96</f>
        <v>-2.5454352860666214E-6</v>
      </c>
      <c r="M96" s="40">
        <f t="shared" si="40"/>
        <v>1402.7283338554232</v>
      </c>
      <c r="N96" s="21">
        <f>-(Données!I$46*1E-24*H96+Données!F$46)*M96+Données!H$45*1E-24*H96*K96</f>
        <v>2.9896393492360796E-7</v>
      </c>
      <c r="O96" s="42">
        <f t="shared" si="41"/>
        <v>187.23706182744166</v>
      </c>
      <c r="P96" s="23">
        <f>-(Données!I$47*1E-24*H96+Données!F$47)*O96+(Données!H$46*1E-24*H96)*M96</f>
        <v>2.4494273701218997E-8</v>
      </c>
      <c r="Q96" s="40">
        <f t="shared" si="42"/>
        <v>104.58767366979282</v>
      </c>
      <c r="R96" s="43">
        <f>-(Données!I$48*1E-24*H96+Données!F$48)*Q96+Données!H$47*1E-24*H96*O96+(Données!H$49*1E-24*H96*S96)*0.85*0.16</f>
        <v>5.3129818272502961E-8</v>
      </c>
      <c r="S96" s="42">
        <f t="shared" si="43"/>
        <v>48.120158046433481</v>
      </c>
      <c r="T96" s="22">
        <f>-(Données!I$49*1E-24*H96+Données!F$49)*S96+Données!F$47*O96</f>
        <v>-1.5045542182977587E-8</v>
      </c>
      <c r="U96" s="28">
        <f t="shared" si="44"/>
        <v>4643.924251845373</v>
      </c>
      <c r="V96" s="19"/>
      <c r="W96" s="40">
        <f t="shared" si="45"/>
        <v>22.471838185351199</v>
      </c>
      <c r="X96" s="21">
        <f>-(Données!I$50*1E-24*H96+Données!F$50)*W96+Données!F$45*K96</f>
        <v>-1.6282467468866964E-7</v>
      </c>
      <c r="Y96" s="42">
        <f t="shared" si="46"/>
        <v>20858.496673639387</v>
      </c>
      <c r="Z96" s="23">
        <f>-(Données!I$51*1E-24*H96+Données!F$51)*Y96+Données!F$48*Q96</f>
        <v>-2.0461835602100459E-5</v>
      </c>
      <c r="AA96" s="15">
        <f t="shared" si="47"/>
        <v>20880.96851182474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3125923379334265</v>
      </c>
      <c r="I97" s="40">
        <f t="shared" si="38"/>
        <v>40.643538456884151</v>
      </c>
      <c r="J97" s="21">
        <f>-(Données!I$44*1E-24*H97+Données!F$44)*I97+(Données!H$49*1E-24*H97*S97)*0.71+Données!H$50*1E-24*H97*W97</f>
        <v>-1.7358657811566205E-8</v>
      </c>
      <c r="K97" s="42">
        <f t="shared" si="39"/>
        <v>2853.8740078516621</v>
      </c>
      <c r="L97" s="23">
        <f>-(Données!I$45*1E-24*H97+Données!F$45)*K97+(I97*Données!H$44*1E-24*H97)+(Données!H$51*1E-24*H97)*Y97</f>
        <v>-2.5435299289306449E-6</v>
      </c>
      <c r="M97" s="40">
        <f t="shared" si="40"/>
        <v>1403.5140110764025</v>
      </c>
      <c r="N97" s="21">
        <f>-(Données!I$46*1E-24*H97+Données!F$46)*M97+Données!H$45*1E-24*H97*K97</f>
        <v>2.8720735917973837E-7</v>
      </c>
      <c r="O97" s="42">
        <f t="shared" si="41"/>
        <v>187.30143277872847</v>
      </c>
      <c r="P97" s="23">
        <f>-(Données!I$47*1E-24*H97+Données!F$47)*O97+(Données!H$46*1E-24*H97)*M97</f>
        <v>2.4935709815833133E-8</v>
      </c>
      <c r="Q97" s="40">
        <f t="shared" si="42"/>
        <v>104.72729883221295</v>
      </c>
      <c r="R97" s="43">
        <f>-(Données!I$48*1E-24*H97+Données!F$48)*Q97+Données!H$47*1E-24*H97*O97+(Données!H$49*1E-24*H97*S97)*0.85*0.16</f>
        <v>5.2865382860598762E-8</v>
      </c>
      <c r="S97" s="42">
        <f t="shared" si="43"/>
        <v>48.080618361576619</v>
      </c>
      <c r="T97" s="22">
        <f>-(Données!I$49*1E-24*H97+Données!F$49)*S97+Données!F$47*O97</f>
        <v>-1.4698352054056845E-8</v>
      </c>
      <c r="U97" s="28">
        <f t="shared" si="44"/>
        <v>4638.1409073574669</v>
      </c>
      <c r="V97" s="19"/>
      <c r="W97" s="40">
        <f t="shared" si="45"/>
        <v>22.043934940269377</v>
      </c>
      <c r="X97" s="21">
        <f>-(Données!I$50*1E-24*H97+Données!F$50)*W97+Données!F$45*K97</f>
        <v>-1.5968064840290192E-7</v>
      </c>
      <c r="Y97" s="42">
        <f t="shared" si="46"/>
        <v>20804.722969677066</v>
      </c>
      <c r="Z97" s="23">
        <f>-(Données!I$51*1E-24*H97+Données!F$51)*Y97+Données!F$48*Q97</f>
        <v>-2.0409084475892858E-5</v>
      </c>
      <c r="AA97" s="15">
        <f t="shared" si="47"/>
        <v>20826.766904617336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3125923379334265</v>
      </c>
      <c r="I98" s="40">
        <f t="shared" si="38"/>
        <v>40.597919904155354</v>
      </c>
      <c r="J98" s="21">
        <f>-(Données!I$44*1E-24*H98+Données!F$44)*I98+(Données!H$49*1E-24*H98*S98)*0.71+Données!H$50*1E-24*H98*W98</f>
        <v>-1.7920645040545702E-8</v>
      </c>
      <c r="K98" s="42">
        <f t="shared" si="39"/>
        <v>2847.1896111984324</v>
      </c>
      <c r="L98" s="23">
        <f>-(Données!I$45*1E-24*H98+Données!F$45)*K98+(I98*Données!H$44*1E-24*H98)+(Données!H$51*1E-24*H98)*Y98</f>
        <v>-2.5415472019715076E-6</v>
      </c>
      <c r="M98" s="40">
        <f t="shared" si="40"/>
        <v>1404.2687920163269</v>
      </c>
      <c r="N98" s="21">
        <f>-(Données!I$46*1E-24*H98+Données!F$46)*M98+Données!H$45*1E-24*H98*K98</f>
        <v>2.755420075903453E-7</v>
      </c>
      <c r="O98" s="42">
        <f t="shared" si="41"/>
        <v>187.36696382412447</v>
      </c>
      <c r="P98" s="23">
        <f>-(Données!I$47*1E-24*H98+Données!F$47)*O98+(Données!H$46*1E-24*H98)*M98</f>
        <v>2.5320803414323379E-8</v>
      </c>
      <c r="Q98" s="40">
        <f t="shared" si="42"/>
        <v>104.86622905837061</v>
      </c>
      <c r="R98" s="43">
        <f>-(Données!I$48*1E-24*H98+Données!F$48)*Q98+Données!H$47*1E-24*H98*O98+(Données!H$49*1E-24*H98*S98)*0.85*0.16</f>
        <v>5.2604858137878939E-8</v>
      </c>
      <c r="S98" s="42">
        <f t="shared" si="43"/>
        <v>48.041991092378559</v>
      </c>
      <c r="T98" s="22">
        <f>-(Données!I$49*1E-24*H98+Données!F$49)*S98+Données!F$47*O98</f>
        <v>-1.4355114522481568E-8</v>
      </c>
      <c r="U98" s="28">
        <f t="shared" si="44"/>
        <v>4632.3315070937879</v>
      </c>
      <c r="V98" s="19"/>
      <c r="W98" s="40">
        <f t="shared" si="45"/>
        <v>21.62429419626655</v>
      </c>
      <c r="X98" s="21">
        <f>-(Données!I$50*1E-24*H98+Données!F$50)*W98+Données!F$45*K98</f>
        <v>-1.5659744417169988E-7</v>
      </c>
      <c r="Y98" s="42">
        <f t="shared" si="46"/>
        <v>20751.08789567442</v>
      </c>
      <c r="Z98" s="23">
        <f>-(Données!I$51*1E-24*H98+Données!F$51)*Y98+Données!F$48*Q98</f>
        <v>-2.0356469343433431E-5</v>
      </c>
      <c r="AA98" s="15">
        <f t="shared" si="47"/>
        <v>20772.712189870686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3125923379334265</v>
      </c>
      <c r="I99" s="40">
        <f t="shared" si="38"/>
        <v>40.550824448988799</v>
      </c>
      <c r="J99" s="21">
        <f>-(Données!I$44*1E-24*H99+Données!F$44)*I99+(Données!H$49*1E-24*H99*S99)*0.71+Données!H$50*1E-24*H99*W99</f>
        <v>-1.8457653510639626E-8</v>
      </c>
      <c r="K99" s="42">
        <f t="shared" si="39"/>
        <v>2840.5104251516514</v>
      </c>
      <c r="L99" s="23">
        <f>-(Données!I$45*1E-24*H99+Données!F$45)*K99+(I99*Données!H$44*1E-24*H99)+(Données!H$51*1E-24*H99)*Y99</f>
        <v>-2.5394887051220964E-6</v>
      </c>
      <c r="M99" s="40">
        <f t="shared" si="40"/>
        <v>1404.9929164122743</v>
      </c>
      <c r="N99" s="21">
        <f>-(Données!I$46*1E-24*H99+Données!F$46)*M99+Données!H$45*1E-24*H99*K99</f>
        <v>2.6396752058587771E-7</v>
      </c>
      <c r="O99" s="42">
        <f t="shared" si="41"/>
        <v>187.43350689549732</v>
      </c>
      <c r="P99" s="23">
        <f>-(Données!I$47*1E-24*H99+Données!F$47)*O99+(Données!H$46*1E-24*H99)*M99</f>
        <v>2.5651460286703418E-8</v>
      </c>
      <c r="Q99" s="40">
        <f t="shared" si="42"/>
        <v>105.00447462555695</v>
      </c>
      <c r="R99" s="43">
        <f>-(Données!I$48*1E-24*H99+Données!F$48)*Q99+Données!H$47*1E-24*H99*O99+(Données!H$49*1E-24*H99*S99)*0.85*0.16</f>
        <v>5.2348004557904062E-8</v>
      </c>
      <c r="S99" s="42">
        <f t="shared" si="43"/>
        <v>48.004265851413479</v>
      </c>
      <c r="T99" s="22">
        <f>-(Données!I$49*1E-24*H99+Données!F$49)*S99+Données!F$47*O99</f>
        <v>-1.4015991513656481E-8</v>
      </c>
      <c r="U99" s="28">
        <f t="shared" si="44"/>
        <v>4626.4964133853819</v>
      </c>
      <c r="V99" s="19"/>
      <c r="W99" s="40">
        <f t="shared" si="45"/>
        <v>21.212756112983325</v>
      </c>
      <c r="X99" s="21">
        <f>-(Données!I$50*1E-24*H99+Données!F$50)*W99+Données!F$45*K99</f>
        <v>-1.5357388510199492E-7</v>
      </c>
      <c r="Y99" s="42">
        <f t="shared" si="46"/>
        <v>20697.591094239877</v>
      </c>
      <c r="Z99" s="23">
        <f>-(Données!I$51*1E-24*H99+Données!F$51)*Y99+Données!F$48*Q99</f>
        <v>-2.0303989854126324E-5</v>
      </c>
      <c r="AA99" s="15">
        <f t="shared" si="47"/>
        <v>20718.803850352859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3125923379334265</v>
      </c>
      <c r="I100" s="40">
        <f t="shared" si="38"/>
        <v>40.502317735562841</v>
      </c>
      <c r="J100" s="21">
        <f>-(Données!I$44*1E-24*H100+Données!F$44)*I100+(Données!H$49*1E-24*H100*S100)*0.71+Données!H$50*1E-24*H100*W100</f>
        <v>-1.8970354466672866E-8</v>
      </c>
      <c r="K100" s="42">
        <f t="shared" si="39"/>
        <v>2833.8366488345905</v>
      </c>
      <c r="L100" s="23">
        <f>-(Données!I$45*1E-24*H100+Données!F$45)*K100+(I100*Données!H$44*1E-24*H100)+(Données!H$51*1E-24*H100)*Y100</f>
        <v>-2.5373560112070659E-6</v>
      </c>
      <c r="M100" s="40">
        <f t="shared" si="40"/>
        <v>1405.6866230563739</v>
      </c>
      <c r="N100" s="21">
        <f>-(Données!I$46*1E-24*H100+Données!F$46)*M100+Données!H$45*1E-24*H100*K100</f>
        <v>2.5248353512000573E-7</v>
      </c>
      <c r="O100" s="42">
        <f t="shared" si="41"/>
        <v>187.50091893313078</v>
      </c>
      <c r="P100" s="23">
        <f>-(Données!I$47*1E-24*H100+Données!F$47)*O100+(Données!H$46*1E-24*H100)*M100</f>
        <v>2.5929531983329986E-8</v>
      </c>
      <c r="Q100" s="40">
        <f t="shared" si="42"/>
        <v>105.14204518153512</v>
      </c>
      <c r="R100" s="43">
        <f>-(Données!I$48*1E-24*H100+Données!F$48)*Q100+Données!H$47*1E-24*H100*O100+(Données!H$49*1E-24*H100*S100)*0.85*0.16</f>
        <v>5.2094590777664528E-8</v>
      </c>
      <c r="S100" s="42">
        <f t="shared" si="43"/>
        <v>47.967431825715586</v>
      </c>
      <c r="T100" s="22">
        <f>-(Données!I$49*1E-24*H100+Données!F$49)*S100+Données!F$47*O100</f>
        <v>-1.3681134594715582E-8</v>
      </c>
      <c r="U100" s="28">
        <f t="shared" si="44"/>
        <v>4620.6359855669079</v>
      </c>
      <c r="V100" s="19"/>
      <c r="W100" s="40">
        <f t="shared" si="45"/>
        <v>20.809163942935282</v>
      </c>
      <c r="X100" s="21">
        <f>-(Données!I$50*1E-24*H100+Données!F$50)*W100+Données!F$45*K100</f>
        <v>-1.5060881707358077E-7</v>
      </c>
      <c r="Y100" s="42">
        <f t="shared" si="46"/>
        <v>20644.232208903231</v>
      </c>
      <c r="Z100" s="23">
        <f>-(Données!I$51*1E-24*H100+Données!F$51)*Y100+Données!F$48*Q100</f>
        <v>-2.0251645658279564E-5</v>
      </c>
      <c r="AA100" s="15">
        <f t="shared" si="47"/>
        <v>20665.041372846168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3125923379334265</v>
      </c>
      <c r="I101" s="40">
        <f t="shared" si="38"/>
        <v>40.452463644024427</v>
      </c>
      <c r="J101" s="21">
        <f>-(Données!I$44*1E-24*H101+Données!F$44)*I101+(Données!H$49*1E-24*H101*S101)*0.71+Données!H$50*1E-24*H101*W101</f>
        <v>-1.9459405608326009E-8</v>
      </c>
      <c r="K101" s="42">
        <f t="shared" si="39"/>
        <v>2827.1684772371382</v>
      </c>
      <c r="L101" s="23">
        <f>-(Données!I$45*1E-24*H101+Données!F$45)*K101+(I101*Données!H$44*1E-24*H101)+(Données!H$51*1E-24*H101)*Y101</f>
        <v>-2.5351506663824246E-6</v>
      </c>
      <c r="M101" s="40">
        <f t="shared" si="40"/>
        <v>1406.3501497866694</v>
      </c>
      <c r="N101" s="21">
        <f>-(Données!I$46*1E-24*H101+Données!F$46)*M101+Données!H$45*1E-24*H101*K101</f>
        <v>2.4108968479692286E-7</v>
      </c>
      <c r="O101" s="42">
        <f t="shared" si="41"/>
        <v>187.56906174318297</v>
      </c>
      <c r="P101" s="23">
        <f>-(Données!I$47*1E-24*H101+Données!F$47)*O101+(Données!H$46*1E-24*H101)*M101</f>
        <v>2.6156817307166981E-8</v>
      </c>
      <c r="Q101" s="40">
        <f t="shared" si="42"/>
        <v>105.27894976609883</v>
      </c>
      <c r="R101" s="43">
        <f>-(Données!I$48*1E-24*H101+Données!F$48)*Q101+Données!H$47*1E-24*H101*O101+(Données!H$49*1E-24*H101*S101)*0.85*0.16</f>
        <v>5.1844393426451787E-8</v>
      </c>
      <c r="S101" s="42">
        <f t="shared" si="43"/>
        <v>47.931477804000671</v>
      </c>
      <c r="T101" s="22">
        <f>-(Données!I$49*1E-24*H101+Données!F$49)*S101+Données!F$47*O101</f>
        <v>-1.3350685364260213E-8</v>
      </c>
      <c r="U101" s="28">
        <f t="shared" si="44"/>
        <v>4614.7505799811142</v>
      </c>
      <c r="V101" s="19"/>
      <c r="W101" s="40">
        <f t="shared" si="45"/>
        <v>20.413363971665913</v>
      </c>
      <c r="X101" s="21">
        <f>-(Données!I$50*1E-24*H101+Données!F$50)*W101+Données!F$45*K101</f>
        <v>-1.4770110829846839E-7</v>
      </c>
      <c r="Y101" s="42">
        <f t="shared" si="46"/>
        <v>20591.010884113271</v>
      </c>
      <c r="Z101" s="23">
        <f>-(Données!I$51*1E-24*H101+Données!F$51)*Y101+Données!F$48*Q101</f>
        <v>-2.0199436407102751E-5</v>
      </c>
      <c r="AA101" s="15">
        <f t="shared" si="47"/>
        <v>20611.424248084939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3125923379334265</v>
      </c>
      <c r="I102" s="40">
        <f t="shared" si="38"/>
        <v>40.401324326085749</v>
      </c>
      <c r="J102" s="21">
        <f>-(Données!I$44*1E-24*H102+Données!F$44)*I102+(Données!H$49*1E-24*H102*S102)*0.71+Données!H$50*1E-24*H102*W102</f>
        <v>-1.9925451291258218E-8</v>
      </c>
      <c r="K102" s="42">
        <f t="shared" si="39"/>
        <v>2820.5061012858851</v>
      </c>
      <c r="L102" s="23">
        <f>-(Données!I$45*1E-24*H102+Données!F$45)*K102+(I102*Données!H$44*1E-24*H102)+(Données!H$51*1E-24*H102)*Y102</f>
        <v>-2.5328741905679048E-6</v>
      </c>
      <c r="M102" s="40">
        <f t="shared" si="40"/>
        <v>1406.9837334783156</v>
      </c>
      <c r="N102" s="21">
        <f>-(Données!I$46*1E-24*H102+Données!F$46)*M102+Données!H$45*1E-24*H102*K102</f>
        <v>2.2978559999607503E-7</v>
      </c>
      <c r="O102" s="42">
        <f t="shared" si="41"/>
        <v>187.6378018590662</v>
      </c>
      <c r="P102" s="23">
        <f>-(Données!I$47*1E-24*H102+Données!F$47)*O102+(Données!H$46*1E-24*H102)*M102</f>
        <v>2.6335063765115856E-8</v>
      </c>
      <c r="Q102" s="40">
        <f t="shared" si="42"/>
        <v>105.41519683202355</v>
      </c>
      <c r="R102" s="43">
        <f>-(Données!I$48*1E-24*H102+Données!F$48)*Q102+Données!H$47*1E-24*H102*O102+(Données!H$49*1E-24*H102*S102)*0.85*0.16</f>
        <v>5.1597196880924527E-8</v>
      </c>
      <c r="S102" s="42">
        <f t="shared" si="43"/>
        <v>47.896392202863396</v>
      </c>
      <c r="T102" s="22">
        <f>-(Données!I$49*1E-24*H102+Données!F$49)*S102+Données!F$47*O102</f>
        <v>-1.3024775829645006E-8</v>
      </c>
      <c r="U102" s="28">
        <f t="shared" si="44"/>
        <v>4608.8405499842393</v>
      </c>
      <c r="V102" s="19"/>
      <c r="W102" s="40">
        <f t="shared" si="45"/>
        <v>20.025205459057538</v>
      </c>
      <c r="X102" s="21">
        <f>-(Données!I$50*1E-24*H102+Données!F$50)*W102+Données!F$45*K102</f>
        <v>-1.4484964888876658E-7</v>
      </c>
      <c r="Y102" s="42">
        <f t="shared" si="46"/>
        <v>20537.926765235406</v>
      </c>
      <c r="Z102" s="23">
        <f>-(Données!I$51*1E-24*H102+Données!F$51)*Y102+Données!F$48*Q102</f>
        <v>-2.0147361752704685E-5</v>
      </c>
      <c r="AA102" s="15">
        <f t="shared" si="47"/>
        <v>20557.951970694463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3125923379334265</v>
      </c>
      <c r="I103" s="40">
        <f t="shared" si="38"/>
        <v>40.348960240092325</v>
      </c>
      <c r="J103" s="21">
        <f>-(Données!I$44*1E-24*H103+Données!F$44)*I103+(Données!H$49*1E-24*H103*S103)*0.71+Données!H$50*1E-24*H103*W103</f>
        <v>-2.0369122727077042E-8</v>
      </c>
      <c r="K103" s="42">
        <f t="shared" si="39"/>
        <v>2813.8497079130725</v>
      </c>
      <c r="L103" s="23">
        <f>-(Données!I$45*1E-24*H103+Données!F$45)*K103+(I103*Données!H$44*1E-24*H103)+(Données!H$51*1E-24*H103)*Y103</f>
        <v>-2.5305280778723421E-6</v>
      </c>
      <c r="M103" s="40">
        <f t="shared" si="40"/>
        <v>1407.5876100351052</v>
      </c>
      <c r="N103" s="21">
        <f>-(Données!I$46*1E-24*H103+Données!F$46)*M103+Données!H$45*1E-24*H103*K103</f>
        <v>2.1857090799435266E-7</v>
      </c>
      <c r="O103" s="42">
        <f t="shared" si="41"/>
        <v>187.70701040664093</v>
      </c>
      <c r="P103" s="23">
        <f>-(Données!I$47*1E-24*H103+Données!F$47)*O103+(Données!H$46*1E-24*H103)*M103</f>
        <v>2.6465968979535883E-8</v>
      </c>
      <c r="Q103" s="40">
        <f t="shared" si="42"/>
        <v>105.55079426542662</v>
      </c>
      <c r="R103" s="43">
        <f>-(Données!I$48*1E-24*H103+Données!F$48)*Q103+Données!H$47*1E-24*H103*O103+(Données!H$49*1E-24*H103*S103)*0.85*0.16</f>
        <v>5.1352793046202656E-8</v>
      </c>
      <c r="S103" s="42">
        <f t="shared" si="43"/>
        <v>47.862163091983092</v>
      </c>
      <c r="T103" s="22">
        <f>-(Données!I$49*1E-24*H103+Données!F$49)*S103+Données!F$47*O103</f>
        <v>-1.2703528772182169E-8</v>
      </c>
      <c r="U103" s="28">
        <f t="shared" si="44"/>
        <v>4602.9062459523211</v>
      </c>
      <c r="V103" s="19"/>
      <c r="W103" s="40">
        <f t="shared" si="45"/>
        <v>19.644540581777861</v>
      </c>
      <c r="X103" s="21">
        <f>-(Données!I$50*1E-24*H103+Données!F$50)*W103+Données!F$45*K103</f>
        <v>-1.42053350432924E-7</v>
      </c>
      <c r="Y103" s="42">
        <f t="shared" si="46"/>
        <v>20484.979498549299</v>
      </c>
      <c r="Z103" s="23">
        <f>-(Données!I$51*1E-24*H103+Données!F$51)*Y103+Données!F$48*Q103</f>
        <v>-2.0095421348091081E-5</v>
      </c>
      <c r="AA103" s="15">
        <f t="shared" si="47"/>
        <v>20504.624039131078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3125923379334265</v>
      </c>
      <c r="I104" s="40">
        <f t="shared" si="38"/>
        <v>40.295430185565564</v>
      </c>
      <c r="J104" s="21">
        <f>-(Données!I$44*1E-24*H104+Données!F$44)*I104+(Données!H$49*1E-24*H104*S104)*0.71+Données!H$50*1E-24*H104*W104</f>
        <v>-2.0791038182088978E-8</v>
      </c>
      <c r="K104" s="42">
        <f t="shared" si="39"/>
        <v>2807.1994801244241</v>
      </c>
      <c r="L104" s="23">
        <f>-(Données!I$45*1E-24*H104+Données!F$45)*K104+(I104*Données!H$44*1E-24*H104)+(Données!H$51*1E-24*H104)*Y104</f>
        <v>-2.5281137970120426E-6</v>
      </c>
      <c r="M104" s="40">
        <f t="shared" si="40"/>
        <v>1408.1620143813143</v>
      </c>
      <c r="N104" s="21">
        <f>-(Données!I$46*1E-24*H104+Données!F$46)*M104+Données!H$45*1E-24*H104*K104</f>
        <v>2.0744523308581967E-7</v>
      </c>
      <c r="O104" s="42">
        <f t="shared" si="41"/>
        <v>187.77656297311916</v>
      </c>
      <c r="P104" s="23">
        <f>-(Données!I$47*1E-24*H104+Données!F$47)*O104+(Données!H$46*1E-24*H104)*M104</f>
        <v>2.6551182061047394E-8</v>
      </c>
      <c r="Q104" s="40">
        <f t="shared" si="42"/>
        <v>105.68574940555204</v>
      </c>
      <c r="R104" s="43">
        <f>-(Données!I$48*1E-24*H104+Données!F$48)*Q104+Données!H$47*1E-24*H104*O104+(Données!H$49*1E-24*H104*S104)*0.85*0.16</f>
        <v>5.1110981142829677E-8</v>
      </c>
      <c r="S104" s="42">
        <f t="shared" si="43"/>
        <v>47.828778218369798</v>
      </c>
      <c r="T104" s="22">
        <f>-(Données!I$49*1E-24*H104+Données!F$49)*S104+Données!F$47*O104</f>
        <v>-1.2387058100624115E-8</v>
      </c>
      <c r="U104" s="28">
        <f t="shared" si="44"/>
        <v>4596.9480152883452</v>
      </c>
      <c r="V104" s="19"/>
      <c r="W104" s="40">
        <f t="shared" si="45"/>
        <v>19.271224376840138</v>
      </c>
      <c r="X104" s="21">
        <f>-(Données!I$50*1E-24*H104+Données!F$50)*W104+Données!F$45*K104</f>
        <v>-1.3931114558017037E-7</v>
      </c>
      <c r="Y104" s="42">
        <f t="shared" si="46"/>
        <v>20432.168731246515</v>
      </c>
      <c r="Z104" s="23">
        <f>-(Données!I$51*1E-24*H104+Données!F$51)*Y104+Données!F$48*Q104</f>
        <v>-2.0043614847162253E-5</v>
      </c>
      <c r="AA104" s="15">
        <f t="shared" si="47"/>
        <v>20451.439955623355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3125923379334265</v>
      </c>
      <c r="I105" s="40">
        <f t="shared" si="38"/>
        <v>40.240791337223037</v>
      </c>
      <c r="J105" s="21">
        <f>-(Données!I$44*1E-24*H105+Données!F$44)*I105+(Données!H$49*1E-24*H105*S105)*0.71+Données!H$50*1E-24*H105*W105</f>
        <v>-2.1191803174768191E-8</v>
      </c>
      <c r="K105" s="42">
        <f t="shared" si="39"/>
        <v>2800.5555970658766</v>
      </c>
      <c r="L105" s="23">
        <f>-(Données!I$45*1E-24*H105+Données!F$45)*K105+(I105*Données!H$44*1E-24*H105)+(Données!H$51*1E-24*H105)*Y105</f>
        <v>-2.5256327917223591E-6</v>
      </c>
      <c r="M105" s="40">
        <f t="shared" si="40"/>
        <v>1408.7071804538639</v>
      </c>
      <c r="N105" s="21">
        <f>-(Données!I$46*1E-24*H105+Données!F$46)*M105+Données!H$45*1E-24*H105*K105</f>
        <v>1.9640819669899278E-7</v>
      </c>
      <c r="O105" s="42">
        <f t="shared" si="41"/>
        <v>187.84633947957559</v>
      </c>
      <c r="P105" s="23">
        <f>-(Données!I$47*1E-24*H105+Données!F$47)*O105+(Données!H$46*1E-24*H105)*M105</f>
        <v>2.6592304943683557E-8</v>
      </c>
      <c r="Q105" s="40">
        <f t="shared" si="42"/>
        <v>105.8200690639954</v>
      </c>
      <c r="R105" s="43">
        <f>-(Données!I$48*1E-24*H105+Données!F$48)*Q105+Données!H$47*1E-24*H105*O105+(Données!H$49*1E-24*H105*S105)*0.85*0.16</f>
        <v>5.0871567499445008E-8</v>
      </c>
      <c r="S105" s="42">
        <f t="shared" si="43"/>
        <v>47.796225029681359</v>
      </c>
      <c r="T105" s="22">
        <f>-(Données!I$49*1E-24*H105+Données!F$49)*S105+Données!F$47*O105</f>
        <v>-1.2075469193273981E-8</v>
      </c>
      <c r="U105" s="28">
        <f t="shared" si="44"/>
        <v>4590.9662024302152</v>
      </c>
      <c r="V105" s="19"/>
      <c r="W105" s="40">
        <f t="shared" si="45"/>
        <v>18.905114686255452</v>
      </c>
      <c r="X105" s="21">
        <f>-(Données!I$50*1E-24*H105+Données!F$50)*W105+Données!F$45*K105</f>
        <v>-1.3662198763299854E-7</v>
      </c>
      <c r="Y105" s="42">
        <f t="shared" si="46"/>
        <v>20379.494111428172</v>
      </c>
      <c r="Z105" s="23">
        <f>-(Données!I$51*1E-24*H105+Données!F$51)*Y105+Données!F$48*Q105</f>
        <v>-1.9991941904710781E-5</v>
      </c>
      <c r="AA105" s="15">
        <f t="shared" si="47"/>
        <v>20398.399226114427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3125923379334265</v>
      </c>
      <c r="I106" s="40">
        <f t="shared" si="38"/>
        <v>40.185099278479747</v>
      </c>
      <c r="J106" s="21">
        <f>-(Données!I$44*1E-24*H106+Données!F$44)*I106+(Données!H$49*1E-24*H106*S106)*0.71+Données!H$50*1E-24*H106*W106</f>
        <v>-2.1572010671885406E-8</v>
      </c>
      <c r="K106" s="42">
        <f t="shared" si="39"/>
        <v>2793.9182340892303</v>
      </c>
      <c r="L106" s="23">
        <f>-(Données!I$45*1E-24*H106+Données!F$45)*K106+(I106*Données!H$44*1E-24*H106)+(Données!H$51*1E-24*H106)*Y106</f>
        <v>-2.5230864811626236E-6</v>
      </c>
      <c r="M106" s="40">
        <f t="shared" si="40"/>
        <v>1409.2233411947889</v>
      </c>
      <c r="N106" s="21">
        <f>-(Données!I$46*1E-24*H106+Données!F$46)*M106+Données!H$45*1E-24*H106*K106</f>
        <v>1.8545941751173392E-7</v>
      </c>
      <c r="O106" s="42">
        <f t="shared" si="41"/>
        <v>187.91622405696759</v>
      </c>
      <c r="P106" s="23">
        <f>-(Données!I$47*1E-24*H106+Données!F$47)*O106+(Données!H$46*1E-24*H106)*M106</f>
        <v>2.6590893683429154E-8</v>
      </c>
      <c r="Q106" s="40">
        <f t="shared" si="42"/>
        <v>105.95375954338395</v>
      </c>
      <c r="R106" s="43">
        <f>-(Données!I$48*1E-24*H106+Données!F$48)*Q106+Données!H$47*1E-24*H106*O106+(Données!H$49*1E-24*H106*S106)*0.85*0.16</f>
        <v>5.0634365351014638E-8</v>
      </c>
      <c r="S106" s="42">
        <f t="shared" si="43"/>
        <v>47.764490696641438</v>
      </c>
      <c r="T106" s="22">
        <f>-(Données!I$49*1E-24*H106+Données!F$49)*S106+Données!F$47*O106</f>
        <v>-1.1768859229063857E-8</v>
      </c>
      <c r="U106" s="28">
        <f t="shared" si="44"/>
        <v>4584.9611488594919</v>
      </c>
      <c r="V106" s="19"/>
      <c r="W106" s="40">
        <f t="shared" si="45"/>
        <v>18.546072102755932</v>
      </c>
      <c r="X106" s="21">
        <f>-(Données!I$50*1E-24*H106+Données!F$50)*W106+Données!F$45*K106</f>
        <v>-1.3398485014753152E-7</v>
      </c>
      <c r="Y106" s="42">
        <f t="shared" si="46"/>
        <v>20326.955288102592</v>
      </c>
      <c r="Z106" s="23">
        <f>-(Données!I$51*1E-24*H106+Données!F$51)*Y106+Données!F$48*Q106</f>
        <v>-1.9940402176419248E-5</v>
      </c>
      <c r="AA106" s="15">
        <f t="shared" si="47"/>
        <v>20345.501360205348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3125923379334265</v>
      </c>
      <c r="I107" s="40">
        <f t="shared" si="38"/>
        <v>40.128408034434031</v>
      </c>
      <c r="J107" s="21">
        <f>-(Données!I$44*1E-24*H107+Données!F$44)*I107+(Données!H$49*1E-24*H107*S107)*0.71+Données!H$50*1E-24*H107*W107</f>
        <v>-2.1932241283241281E-8</v>
      </c>
      <c r="K107" s="42">
        <f t="shared" si="39"/>
        <v>2787.2875628167349</v>
      </c>
      <c r="L107" s="23">
        <f>-(Données!I$45*1E-24*H107+Données!F$45)*K107+(I107*Données!H$44*1E-24*H107)+(Données!H$51*1E-24*H107)*Y107</f>
        <v>-2.5204762603144124E-6</v>
      </c>
      <c r="M107" s="40">
        <f t="shared" si="40"/>
        <v>1409.7107285440097</v>
      </c>
      <c r="N107" s="21">
        <f>-(Données!I$46*1E-24*H107+Données!F$46)*M107+Données!H$45*1E-24*H107*K107</f>
        <v>1.7459851156378448E-7</v>
      </c>
      <c r="O107" s="42">
        <f t="shared" si="41"/>
        <v>187.98610492556764</v>
      </c>
      <c r="P107" s="23">
        <f>-(Données!I$47*1E-24*H107+Données!F$47)*O107+(Données!H$46*1E-24*H107)*M107</f>
        <v>2.6548459721156444E-8</v>
      </c>
      <c r="Q107" s="40">
        <f t="shared" si="42"/>
        <v>106.08682665552642</v>
      </c>
      <c r="R107" s="43">
        <f>-(Données!I$48*1E-24*H107+Données!F$48)*Q107+Données!H$47*1E-24*H107*O107+(Données!H$49*1E-24*H107*S107)*0.85*0.16</f>
        <v>5.0399194642471317E-8</v>
      </c>
      <c r="S107" s="42">
        <f t="shared" si="43"/>
        <v>47.733562134587459</v>
      </c>
      <c r="T107" s="22">
        <f>-(Données!I$49*1E-24*H107+Données!F$49)*S107+Données!F$47*O107</f>
        <v>-1.1467317507930339E-8</v>
      </c>
      <c r="U107" s="28">
        <f t="shared" si="44"/>
        <v>4578.93319311086</v>
      </c>
      <c r="V107" s="19"/>
      <c r="W107" s="40">
        <f t="shared" si="45"/>
        <v>18.193959916568218</v>
      </c>
      <c r="X107" s="21">
        <f>-(Données!I$50*1E-24*H107+Données!F$50)*W107+Données!F$45*K107</f>
        <v>-1.3139872654162213E-7</v>
      </c>
      <c r="Y107" s="42">
        <f t="shared" si="46"/>
        <v>20274.551911182964</v>
      </c>
      <c r="Z107" s="23">
        <f>-(Données!I$51*1E-24*H107+Données!F$51)*Y107+Données!F$48*Q107</f>
        <v>-1.9888995318857911E-5</v>
      </c>
      <c r="AA107" s="15">
        <f t="shared" si="47"/>
        <v>20292.745871099531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3125923379334265</v>
      </c>
      <c r="I108" s="40">
        <f t="shared" si="38"/>
        <v>40.070770104341676</v>
      </c>
      <c r="J108" s="21">
        <f>-(Données!I$44*1E-24*H108+Données!F$44)*I108+(Données!H$49*1E-24*H108*S108)*0.71+Données!H$50*1E-24*H108*W108</f>
        <v>-2.2273063454953493E-8</v>
      </c>
      <c r="K108" s="42">
        <f t="shared" si="39"/>
        <v>2780.6637512046286</v>
      </c>
      <c r="L108" s="23">
        <f>-(Données!I$45*1E-24*H108+Données!F$45)*K108+(I108*Données!H$44*1E-24*H108)+(Données!H$51*1E-24*H108)*Y108</f>
        <v>-2.5178035003734241E-6</v>
      </c>
      <c r="M108" s="40">
        <f t="shared" si="40"/>
        <v>1410.1695734323994</v>
      </c>
      <c r="N108" s="21">
        <f>-(Données!I$46*1E-24*H108+Données!F$46)*M108+Données!H$45*1E-24*H108*K108</f>
        <v>1.6382509236699819E-7</v>
      </c>
      <c r="O108" s="42">
        <f t="shared" si="41"/>
        <v>188.05587427771485</v>
      </c>
      <c r="P108" s="23">
        <f>-(Données!I$47*1E-24*H108+Données!F$47)*O108+(Données!H$46*1E-24*H108)*M108</f>
        <v>2.6466471110922467E-8</v>
      </c>
      <c r="Q108" s="40">
        <f t="shared" si="42"/>
        <v>106.21927573904684</v>
      </c>
      <c r="R108" s="43">
        <f>-(Données!I$48*1E-24*H108+Données!F$48)*Q108+Données!H$47*1E-24*H108*O108+(Données!H$49*1E-24*H108*S108)*0.85*0.16</f>
        <v>5.0165881837619439E-8</v>
      </c>
      <c r="S108" s="42">
        <f t="shared" si="43"/>
        <v>47.703426024176615</v>
      </c>
      <c r="T108" s="22">
        <f>-(Données!I$49*1E-24*H108+Données!F$49)*S108+Données!F$47*O108</f>
        <v>-1.1170925760807674E-8</v>
      </c>
      <c r="U108" s="28">
        <f t="shared" si="44"/>
        <v>4572.8826707823073</v>
      </c>
      <c r="V108" s="19"/>
      <c r="W108" s="40">
        <f t="shared" si="45"/>
        <v>17.848644063216835</v>
      </c>
      <c r="X108" s="21">
        <f>-(Données!I$50*1E-24*H108+Données!F$50)*W108+Données!F$45*K108</f>
        <v>-1.2886262971053572E-7</v>
      </c>
      <c r="Y108" s="42">
        <f t="shared" si="46"/>
        <v>20222.283631485006</v>
      </c>
      <c r="Z108" s="23">
        <f>-(Données!I$51*1E-24*H108+Données!F$51)*Y108+Données!F$48*Q108</f>
        <v>-1.9837720989482435E-5</v>
      </c>
      <c r="AA108" s="15">
        <f t="shared" si="47"/>
        <v>20240.132275548222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3125923379334265</v>
      </c>
      <c r="I109" s="40">
        <f t="shared" si="38"/>
        <v>40.012236493582058</v>
      </c>
      <c r="J109" s="21">
        <f>-(Données!I$44*1E-24*H109+Données!F$44)*I109+(Données!H$49*1E-24*H109*S109)*0.71+Données!H$50*1E-24*H109*W109</f>
        <v>-2.2595033661247985E-8</v>
      </c>
      <c r="K109" s="42">
        <f t="shared" si="39"/>
        <v>2774.0469636056473</v>
      </c>
      <c r="L109" s="23">
        <f>-(Données!I$45*1E-24*H109+Données!F$45)*K109+(I109*Données!H$44*1E-24*H109)+(Données!H$51*1E-24*H109)*Y109</f>
        <v>-2.515069549134947E-6</v>
      </c>
      <c r="M109" s="40">
        <f t="shared" si="40"/>
        <v>1410.6001057751398</v>
      </c>
      <c r="N109" s="21">
        <f>-(Données!I$46*1E-24*H109+Données!F$46)*M109+Données!H$45*1E-24*H109*K109</f>
        <v>1.5313877101329799E-7</v>
      </c>
      <c r="O109" s="42">
        <f t="shared" si="41"/>
        <v>188.12542816379437</v>
      </c>
      <c r="P109" s="23">
        <f>-(Données!I$47*1E-24*H109+Données!F$47)*O109+(Données!H$46*1E-24*H109)*M109</f>
        <v>2.6346353714602284E-8</v>
      </c>
      <c r="Q109" s="40">
        <f t="shared" si="42"/>
        <v>106.3511116765161</v>
      </c>
      <c r="R109" s="43">
        <f>-(Données!I$48*1E-24*H109+Données!F$48)*Q109+Données!H$47*1E-24*H109*O109+(Données!H$49*1E-24*H109*S109)*0.85*0.16</f>
        <v>4.9934259733164411E-8</v>
      </c>
      <c r="S109" s="42">
        <f t="shared" si="43"/>
        <v>47.674068831277211</v>
      </c>
      <c r="T109" s="22">
        <f>-(Données!I$49*1E-24*H109+Données!F$49)*S109+Données!F$47*O109</f>
        <v>-1.0879758449550056E-8</v>
      </c>
      <c r="U109" s="28">
        <f t="shared" si="44"/>
        <v>4566.8099145459564</v>
      </c>
      <c r="V109" s="19"/>
      <c r="W109" s="40">
        <f t="shared" si="45"/>
        <v>17.509993072337547</v>
      </c>
      <c r="X109" s="21">
        <f>-(Données!I$50*1E-24*H109+Données!F$50)*W109+Données!F$45*K109</f>
        <v>-1.2637559165006879E-7</v>
      </c>
      <c r="Y109" s="42">
        <f t="shared" si="46"/>
        <v>20170.150100724648</v>
      </c>
      <c r="Z109" s="23">
        <f>-(Données!I$51*1E-24*H109+Données!F$51)*Y109+Données!F$48*Q109</f>
        <v>-1.978657884663159E-5</v>
      </c>
      <c r="AA109" s="15">
        <f t="shared" si="47"/>
        <v>20187.660093796985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3125923379334265</v>
      </c>
      <c r="I110" s="40">
        <f t="shared" si="38"/>
        <v>39.9528567451203</v>
      </c>
      <c r="J110" s="21">
        <f>-(Données!I$44*1E-24*H110+Données!F$44)*I110+(Données!H$49*1E-24*H110*S110)*0.71+Données!H$50*1E-24*H110*W110</f>
        <v>-2.2898696594711012E-8</v>
      </c>
      <c r="K110" s="42">
        <f t="shared" si="39"/>
        <v>2767.4373608305204</v>
      </c>
      <c r="L110" s="23">
        <f>-(Données!I$45*1E-24*H110+Données!F$45)*K110+(I110*Données!H$44*1E-24*H110)+(Données!H$51*1E-24*H110)*Y110</f>
        <v>-2.5122757313731407E-6</v>
      </c>
      <c r="M110" s="40">
        <f t="shared" si="40"/>
        <v>1411.0025544653627</v>
      </c>
      <c r="N110" s="21">
        <f>-(Données!I$46*1E-24*H110+Données!F$46)*M110+Données!H$45*1E-24*H110*K110</f>
        <v>1.4253915628041032E-7</v>
      </c>
      <c r="O110" s="42">
        <f t="shared" si="41"/>
        <v>188.19466638135634</v>
      </c>
      <c r="P110" s="23">
        <f>-(Données!I$47*1E-24*H110+Données!F$47)*O110+(Données!H$46*1E-24*H110)*M110</f>
        <v>2.6189492363763654E-8</v>
      </c>
      <c r="Q110" s="40">
        <f t="shared" si="42"/>
        <v>106.48233891109486</v>
      </c>
      <c r="R110" s="43">
        <f>-(Données!I$48*1E-24*H110+Données!F$48)*Q110+Données!H$47*1E-24*H110*O110+(Données!H$49*1E-24*H110*S110)*0.85*0.16</f>
        <v>4.9704167277729481E-8</v>
      </c>
      <c r="S110" s="42">
        <f t="shared" si="43"/>
        <v>47.645476826071793</v>
      </c>
      <c r="T110" s="22">
        <f>-(Données!I$49*1E-24*H110+Données!F$49)*S110+Données!F$47*O110</f>
        <v>-1.059388305708398E-8</v>
      </c>
      <c r="U110" s="28">
        <f t="shared" si="44"/>
        <v>4560.715254159526</v>
      </c>
      <c r="V110" s="19"/>
      <c r="W110" s="40">
        <f t="shared" si="45"/>
        <v>17.177878017481166</v>
      </c>
      <c r="X110" s="21">
        <f>-(Données!I$50*1E-24*H110+Données!F$50)*W110+Données!F$45*K110</f>
        <v>-1.2393666308696037E-7</v>
      </c>
      <c r="Y110" s="42">
        <f t="shared" si="46"/>
        <v>20118.150971515701</v>
      </c>
      <c r="Z110" s="23">
        <f>-(Données!I$51*1E-24*H110+Données!F$51)*Y110+Données!F$48*Q110</f>
        <v>-1.9735568549524988E-5</v>
      </c>
      <c r="AA110" s="15">
        <f t="shared" si="47"/>
        <v>20135.328849533184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3125923379334265</v>
      </c>
      <c r="I111" s="40">
        <f t="shared" si="38"/>
        <v>39.892678970469397</v>
      </c>
      <c r="J111" s="21">
        <f>-(Données!I$44*1E-24*H111+Données!F$44)*I111+(Données!H$49*1E-24*H111*S111)*0.71+Données!H$50*1E-24*H111*W111</f>
        <v>-2.3184585354957758E-8</v>
      </c>
      <c r="K111" s="42">
        <f t="shared" si="39"/>
        <v>2760.8351002084719</v>
      </c>
      <c r="L111" s="23">
        <f>-(Données!I$45*1E-24*H111+Données!F$45)*K111+(I111*Données!H$44*1E-24*H111)+(Données!H$51*1E-24*H111)*Y111</f>
        <v>-2.5094233492141163E-6</v>
      </c>
      <c r="M111" s="40">
        <f t="shared" si="40"/>
        <v>1411.3771473680677</v>
      </c>
      <c r="N111" s="21">
        <f>-(Données!I$46*1E-24*H111+Données!F$46)*M111+Données!H$45*1E-24*H111*K111</f>
        <v>1.3202585473540729E-7</v>
      </c>
      <c r="O111" s="42">
        <f t="shared" si="41"/>
        <v>188.26349236728831</v>
      </c>
      <c r="P111" s="23">
        <f>-(Données!I$47*1E-24*H111+Données!F$47)*O111+(Données!H$46*1E-24*H111)*M111</f>
        <v>2.5997231989701309E-8</v>
      </c>
      <c r="Q111" s="40">
        <f t="shared" si="42"/>
        <v>106.61296146270072</v>
      </c>
      <c r="R111" s="43">
        <f>-(Données!I$48*1E-24*H111+Données!F$48)*Q111+Données!H$47*1E-24*H111*O111+(Données!H$49*1E-24*H111*S111)*0.85*0.16</f>
        <v>4.947544939572734E-8</v>
      </c>
      <c r="S111" s="42">
        <f t="shared" si="43"/>
        <v>47.617636101397778</v>
      </c>
      <c r="T111" s="22">
        <f>-(Données!I$49*1E-24*H111+Données!F$49)*S111+Données!F$47*O111</f>
        <v>-1.0313360368085688E-8</v>
      </c>
      <c r="U111" s="28">
        <f t="shared" si="44"/>
        <v>4554.5990164783952</v>
      </c>
      <c r="V111" s="19"/>
      <c r="W111" s="40">
        <f t="shared" si="45"/>
        <v>16.852172466888636</v>
      </c>
      <c r="X111" s="21">
        <f>-(Données!I$50*1E-24*H111+Données!F$50)*W111+Données!F$45*K111</f>
        <v>-1.2154491311645427E-7</v>
      </c>
      <c r="Y111" s="42">
        <f t="shared" si="46"/>
        <v>20066.28589736755</v>
      </c>
      <c r="Z111" s="23">
        <f>-(Données!I$51*1E-24*H111+Données!F$51)*Y111+Données!F$48*Q111</f>
        <v>-1.9684689758260806E-5</v>
      </c>
      <c r="AA111" s="15">
        <f t="shared" si="47"/>
        <v>20083.13806983444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3125923379334265</v>
      </c>
      <c r="I112" s="40">
        <f t="shared" si="38"/>
        <v>39.831749880156572</v>
      </c>
      <c r="J112" s="21">
        <f>-(Données!I$44*1E-24*H112+Données!F$44)*I112+(Données!H$49*1E-24*H112*S112)*0.71+Données!H$50*1E-24*H112*W112</f>
        <v>-2.3453221635680736E-8</v>
      </c>
      <c r="K112" s="42">
        <f t="shared" si="39"/>
        <v>2754.2403356467371</v>
      </c>
      <c r="L112" s="23">
        <f>-(Données!I$45*1E-24*H112+Données!F$45)*K112+(I112*Données!H$44*1E-24*H112)+(Données!H$51*1E-24*H112)*Y112</f>
        <v>-2.5065136825030274E-6</v>
      </c>
      <c r="M112" s="40">
        <f t="shared" si="40"/>
        <v>1411.7241113143123</v>
      </c>
      <c r="N112" s="21">
        <f>-(Données!I$46*1E-24*H112+Données!F$46)*M112+Données!H$45*1E-24*H112*K112</f>
        <v>1.2159847083609477E-7</v>
      </c>
      <c r="O112" s="42">
        <f t="shared" si="41"/>
        <v>188.33181309295725</v>
      </c>
      <c r="P112" s="23">
        <f>-(Données!I$47*1E-24*H112+Données!F$47)*O112+(Données!H$46*1E-24*H112)*M112</f>
        <v>2.5770878722487612E-8</v>
      </c>
      <c r="Q112" s="40">
        <f t="shared" si="42"/>
        <v>106.74298294371269</v>
      </c>
      <c r="R112" s="43">
        <f>-(Données!I$48*1E-24*H112+Données!F$48)*Q112+Données!H$47*1E-24*H112*O112+(Données!H$49*1E-24*H112*S112)*0.85*0.16</f>
        <v>4.9247956815955889E-8</v>
      </c>
      <c r="S112" s="42">
        <f t="shared" si="43"/>
        <v>47.590532590350449</v>
      </c>
      <c r="T112" s="22">
        <f>-(Données!I$49*1E-24*H112+Données!F$49)*S112+Données!F$47*O112</f>
        <v>-1.00382447404665E-8</v>
      </c>
      <c r="U112" s="28">
        <f t="shared" si="44"/>
        <v>4548.4615254682258</v>
      </c>
      <c r="V112" s="19"/>
      <c r="W112" s="40">
        <f t="shared" si="45"/>
        <v>16.532752435218594</v>
      </c>
      <c r="X112" s="21">
        <f>-(Données!I$50*1E-24*H112+Données!F$50)*W112+Données!F$45*K112</f>
        <v>-1.1919942884687448E-7</v>
      </c>
      <c r="Y112" s="42">
        <f t="shared" si="46"/>
        <v>20014.55453268284</v>
      </c>
      <c r="Z112" s="23">
        <f>-(Données!I$51*1E-24*H112+Données!F$51)*Y112+Données!F$48*Q112</f>
        <v>-1.9633942133813516E-5</v>
      </c>
      <c r="AA112" s="15">
        <f t="shared" si="47"/>
        <v>20031.087285118057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3125923379334265</v>
      </c>
      <c r="I113" s="40">
        <f t="shared" si="38"/>
        <v>39.770114813698001</v>
      </c>
      <c r="J113" s="21">
        <f>-(Données!I$44*1E-24*H113+Données!F$44)*I113+(Données!H$49*1E-24*H113*S113)*0.71+Données!H$50*1E-24*H113*W113</f>
        <v>-2.3705115910039427E-8</v>
      </c>
      <c r="K113" s="42">
        <f t="shared" si="39"/>
        <v>2747.6532176891192</v>
      </c>
      <c r="L113" s="23">
        <f>-(Données!I$45*1E-24*H113+Données!F$45)*K113+(I113*Données!H$44*1E-24*H113)+(Données!H$51*1E-24*H113)*Y113</f>
        <v>-2.5035479891652444E-6</v>
      </c>
      <c r="M113" s="40">
        <f t="shared" si="40"/>
        <v>1412.0436720956695</v>
      </c>
      <c r="N113" s="21">
        <f>-(Données!I$46*1E-24*H113+Données!F$46)*M113+Données!H$45*1E-24*H113*K113</f>
        <v>1.1125660703030338E-7</v>
      </c>
      <c r="O113" s="42">
        <f t="shared" si="41"/>
        <v>188.39953896223994</v>
      </c>
      <c r="P113" s="23">
        <f>-(Données!I$47*1E-24*H113+Données!F$47)*O113+(Données!H$46*1E-24*H113)*M113</f>
        <v>2.5511700959913316E-8</v>
      </c>
      <c r="Q113" s="40">
        <f t="shared" si="42"/>
        <v>106.87240657422502</v>
      </c>
      <c r="R113" s="43">
        <f>-(Données!I$48*1E-24*H113+Données!F$48)*Q113+Données!H$47*1E-24*H113*O113+(Données!H$49*1E-24*H113*S113)*0.85*0.16</f>
        <v>4.9021545904793366E-8</v>
      </c>
      <c r="S113" s="42">
        <f t="shared" si="43"/>
        <v>47.564152083172502</v>
      </c>
      <c r="T113" s="22">
        <f>-(Données!I$49*1E-24*H113+Données!F$49)*S113+Données!F$47*O113</f>
        <v>-9.7685843679453016E-9</v>
      </c>
      <c r="U113" s="28">
        <f t="shared" si="44"/>
        <v>4542.303102218124</v>
      </c>
      <c r="V113" s="19"/>
      <c r="W113" s="40">
        <f t="shared" si="45"/>
        <v>16.219496336209009</v>
      </c>
      <c r="X113" s="21">
        <f>-(Données!I$50*1E-24*H113+Données!F$50)*W113+Données!F$45*K113</f>
        <v>-1.1689931505107755E-7</v>
      </c>
      <c r="Y113" s="42">
        <f t="shared" si="46"/>
        <v>19962.956532755179</v>
      </c>
      <c r="Z113" s="23">
        <f>-(Données!I$51*1E-24*H113+Données!F$51)*Y113+Données!F$48*Q113</f>
        <v>-1.958332533803164E-5</v>
      </c>
      <c r="AA113" s="15">
        <f t="shared" si="47"/>
        <v>19979.176029091388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3125923379334265</v>
      </c>
      <c r="I114" s="40">
        <f t="shared" si="38"/>
        <v>39.707817769086418</v>
      </c>
      <c r="J114" s="21">
        <f>-(Données!I$44*1E-24*H114+Données!F$44)*I114+(Données!H$49*1E-24*H114*S114)*0.71+Données!H$50*1E-24*H114*W114</f>
        <v>-2.3940767614359281E-8</v>
      </c>
      <c r="K114" s="42">
        <f t="shared" si="39"/>
        <v>2741.0738935735931</v>
      </c>
      <c r="L114" s="23">
        <f>-(Données!I$45*1E-24*H114+Données!F$45)*K114+(I114*Données!H$44*1E-24*H114)+(Données!H$51*1E-24*H114)*Y114</f>
        <v>-2.5005275055616618E-6</v>
      </c>
      <c r="M114" s="40">
        <f t="shared" si="40"/>
        <v>1412.3360544589452</v>
      </c>
      <c r="N114" s="21">
        <f>-(Données!I$46*1E-24*H114+Données!F$46)*M114+Données!H$45*1E-24*H114*K114</f>
        <v>1.0099986385308288E-7</v>
      </c>
      <c r="O114" s="42">
        <f t="shared" si="41"/>
        <v>188.46658371236259</v>
      </c>
      <c r="P114" s="23">
        <f>-(Données!I$47*1E-24*H114+Données!F$47)*O114+(Données!H$46*1E-24*H114)*M114</f>
        <v>2.5220930407123099E-8</v>
      </c>
      <c r="Q114" s="40">
        <f t="shared" si="42"/>
        <v>107.00123519686282</v>
      </c>
      <c r="R114" s="43">
        <f>-(Données!I$48*1E-24*H114+Données!F$48)*Q114+Données!H$47*1E-24*H114*O114+(Données!H$49*1E-24*H114*S114)*0.85*0.16</f>
        <v>4.8796078503869798E-8</v>
      </c>
      <c r="S114" s="42">
        <f t="shared" si="43"/>
        <v>47.538480243453542</v>
      </c>
      <c r="T114" s="22">
        <f>-(Données!I$49*1E-24*H114+Données!F$49)*S114+Données!F$47*O114</f>
        <v>-9.5044215339741447E-9</v>
      </c>
      <c r="U114" s="28">
        <f t="shared" si="44"/>
        <v>4536.1240649543042</v>
      </c>
      <c r="V114" s="19"/>
      <c r="W114" s="40">
        <f t="shared" si="45"/>
        <v>15.912284936254776</v>
      </c>
      <c r="X114" s="21">
        <f>-(Données!I$50*1E-24*H114+Données!F$50)*W114+Données!F$45*K114</f>
        <v>-1.1464369382464924E-7</v>
      </c>
      <c r="Y114" s="42">
        <f t="shared" si="46"/>
        <v>19911.491553766831</v>
      </c>
      <c r="Z114" s="23">
        <f>-(Données!I$51*1E-24*H114+Données!F$51)*Y114+Données!F$48*Q114</f>
        <v>-1.9532839033635469E-5</v>
      </c>
      <c r="AA114" s="15">
        <f t="shared" si="47"/>
        <v>19927.403838703085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3125923379334265</v>
      </c>
      <c r="I115" s="40">
        <f t="shared" si="38"/>
        <v>39.64490143179588</v>
      </c>
      <c r="J115" s="21">
        <f>-(Données!I$44*1E-24*H115+Données!F$44)*I115+(Données!H$49*1E-24*H115*S115)*0.71+Données!H$50*1E-24*H115*W115</f>
        <v>-2.4160665330107731E-8</v>
      </c>
      <c r="K115" s="42">
        <f t="shared" si="39"/>
        <v>2734.5025072889771</v>
      </c>
      <c r="L115" s="23">
        <f>-(Données!I$45*1E-24*H115+Données!F$45)*K115+(I115*Données!H$44*1E-24*H115)+(Données!H$51*1E-24*H115)*Y115</f>
        <v>-2.497453446838312E-6</v>
      </c>
      <c r="M115" s="40">
        <f t="shared" si="40"/>
        <v>1412.6014821011511</v>
      </c>
      <c r="N115" s="21">
        <f>-(Données!I$46*1E-24*H115+Données!F$46)*M115+Données!H$45*1E-24*H115*K115</f>
        <v>9.0827840021876558E-8</v>
      </c>
      <c r="O115" s="42">
        <f t="shared" si="41"/>
        <v>188.5328643174725</v>
      </c>
      <c r="P115" s="23">
        <f>-(Données!I$47*1E-24*H115+Données!F$47)*O115+(Données!H$46*1E-24*H115)*M115</f>
        <v>2.4899763087772153E-8</v>
      </c>
      <c r="Q115" s="40">
        <f t="shared" si="42"/>
        <v>107.12947129117099</v>
      </c>
      <c r="R115" s="43">
        <f>-(Données!I$48*1E-24*H115+Données!F$48)*Q115+Données!H$47*1E-24*H115*O115+(Données!H$49*1E-24*H115*S115)*0.85*0.16</f>
        <v>4.8571421772094815E-8</v>
      </c>
      <c r="S115" s="42">
        <f t="shared" si="43"/>
        <v>47.513502623662255</v>
      </c>
      <c r="T115" s="22">
        <f>-(Données!I$49*1E-24*H115+Données!F$49)*S115+Données!F$47*O115</f>
        <v>-9.2457928572794936E-9</v>
      </c>
      <c r="U115" s="28">
        <f t="shared" si="44"/>
        <v>4529.9247290542298</v>
      </c>
      <c r="V115" s="19"/>
      <c r="W115" s="40">
        <f t="shared" si="45"/>
        <v>15.611001308883598</v>
      </c>
      <c r="X115" s="21">
        <f>-(Données!I$50*1E-24*H115+Données!F$50)*W115+Données!F$45*K115</f>
        <v>-1.1243170425071472E-7</v>
      </c>
      <c r="Y115" s="42">
        <f t="shared" si="46"/>
        <v>19860.159252786438</v>
      </c>
      <c r="Z115" s="23">
        <f>-(Données!I$51*1E-24*H115+Données!F$51)*Y115+Données!F$48*Q115</f>
        <v>-1.9482482884214847E-5</v>
      </c>
      <c r="AA115" s="15">
        <f t="shared" si="47"/>
        <v>19875.770254095321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3125923379334265</v>
      </c>
      <c r="I116" s="40">
        <f t="shared" si="38"/>
        <v>39.581407203308359</v>
      </c>
      <c r="J116" s="21">
        <f>-(Données!I$44*1E-24*H116+Données!F$44)*I116+(Données!H$49*1E-24*H116*S116)*0.71+Données!H$50*1E-24*H116*W116</f>
        <v>-2.4365286964119925E-8</v>
      </c>
      <c r="K116" s="42">
        <f t="shared" si="39"/>
        <v>2727.9391996306858</v>
      </c>
      <c r="L116" s="23">
        <f>-(Données!I$45*1E-24*H116+Données!F$45)*K116+(I116*Données!H$44*1E-24*H116)+(Données!H$51*1E-24*H116)*Y116</f>
        <v>-2.4943270072703393E-6</v>
      </c>
      <c r="M116" s="40">
        <f t="shared" si="40"/>
        <v>1412.8401776647286</v>
      </c>
      <c r="N116" s="21">
        <f>-(Données!I$46*1E-24*H116+Données!F$46)*M116+Données!H$45*1E-24*H116*K116</f>
        <v>8.07401325296889E-8</v>
      </c>
      <c r="O116" s="42">
        <f t="shared" si="41"/>
        <v>188.59830089486718</v>
      </c>
      <c r="P116" s="23">
        <f>-(Données!I$47*1E-24*H116+Données!F$47)*O116+(Données!H$46*1E-24*H116)*M116</f>
        <v>2.4549360327471248E-8</v>
      </c>
      <c r="Q116" s="40">
        <f t="shared" si="42"/>
        <v>107.25711698758805</v>
      </c>
      <c r="R116" s="43">
        <f>-(Données!I$48*1E-24*H116+Données!F$48)*Q116+Données!H$47*1E-24*H116*O116+(Données!H$49*1E-24*H116*S116)*0.85*0.16</f>
        <v>4.8347448031926267E-8</v>
      </c>
      <c r="S116" s="42">
        <f t="shared" si="43"/>
        <v>47.489204680033325</v>
      </c>
      <c r="T116" s="22">
        <f>-(Données!I$49*1E-24*H116+Données!F$49)*S116+Données!F$47*O116</f>
        <v>-8.9927295292722721E-9</v>
      </c>
      <c r="U116" s="28">
        <f t="shared" si="44"/>
        <v>4523.7054070612112</v>
      </c>
      <c r="V116" s="19"/>
      <c r="W116" s="40">
        <f t="shared" si="45"/>
        <v>15.315530790112719</v>
      </c>
      <c r="X116" s="21">
        <f>-(Données!I$50*1E-24*H116+Données!F$50)*W116+Données!F$45*K116</f>
        <v>-1.102625020712344E-7</v>
      </c>
      <c r="Y116" s="42">
        <f t="shared" si="46"/>
        <v>19808.95928776672</v>
      </c>
      <c r="Z116" s="23">
        <f>-(Données!I$51*1E-24*H116+Données!F$51)*Y116+Données!F$48*Q116</f>
        <v>-1.9432256554226898E-5</v>
      </c>
      <c r="AA116" s="15">
        <f t="shared" si="47"/>
        <v>19824.274818556834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3125923379334265</v>
      </c>
      <c r="I117" s="40">
        <f t="shared" si="38"/>
        <v>39.517375229166653</v>
      </c>
      <c r="J117" s="21">
        <f>-(Données!I$44*1E-24*H117+Données!F$44)*I117+(Données!H$49*1E-24*H117*S117)*0.71+Données!H$50*1E-24*H117*W117</f>
        <v>-2.4555099927046421E-8</v>
      </c>
      <c r="K117" s="42">
        <f t="shared" si="39"/>
        <v>2721.3841082555796</v>
      </c>
      <c r="L117" s="23">
        <f>-(Données!I$45*1E-24*H117+Données!F$45)*K117+(I117*Données!H$44*1E-24*H117)+(Données!H$51*1E-24*H117)*Y117</f>
        <v>-2.4911493606004329E-6</v>
      </c>
      <c r="M117" s="40">
        <f t="shared" si="40"/>
        <v>1413.0523627330167</v>
      </c>
      <c r="N117" s="21">
        <f>-(Données!I$46*1E-24*H117+Données!F$46)*M117+Données!H$45*1E-24*H117*K117</f>
        <v>7.0736336736286467E-8</v>
      </c>
      <c r="O117" s="42">
        <f t="shared" si="41"/>
        <v>188.66281661380776</v>
      </c>
      <c r="P117" s="23">
        <f>-(Données!I$47*1E-24*H117+Données!F$47)*O117+(Données!H$46*1E-24*H117)*M117</f>
        <v>2.4170849710291489E-8</v>
      </c>
      <c r="Q117" s="40">
        <f t="shared" si="42"/>
        <v>107.38417408101596</v>
      </c>
      <c r="R117" s="43">
        <f>-(Données!I$48*1E-24*H117+Données!F$48)*Q117+Données!H$47*1E-24*H117*O117+(Données!H$49*1E-24*H117*S117)*0.85*0.16</f>
        <v>4.8124034619766535E-8</v>
      </c>
      <c r="S117" s="42">
        <f t="shared" si="43"/>
        <v>47.465571786830395</v>
      </c>
      <c r="T117" s="22">
        <f>-(Données!I$49*1E-24*H117+Données!F$49)*S117+Données!F$47*O117</f>
        <v>-8.7452575435720871E-9</v>
      </c>
      <c r="U117" s="28">
        <f t="shared" si="44"/>
        <v>4517.4664086994162</v>
      </c>
      <c r="V117" s="19"/>
      <c r="W117" s="40">
        <f t="shared" si="45"/>
        <v>15.025760934669515</v>
      </c>
      <c r="X117" s="21">
        <f>-(Données!I$50*1E-24*H117+Données!F$50)*W117+Données!F$45*K117</f>
        <v>-1.0813525936466011E-7</v>
      </c>
      <c r="Y117" s="42">
        <f t="shared" si="46"/>
        <v>19757.891317542213</v>
      </c>
      <c r="Z117" s="23">
        <f>-(Données!I$51*1E-24*H117+Données!F$51)*Y117+Données!F$48*Q117</f>
        <v>-1.9382159708993817E-5</v>
      </c>
      <c r="AA117" s="15">
        <f t="shared" si="47"/>
        <v>19772.917078476883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3125923379334265</v>
      </c>
      <c r="I118" s="40">
        <f t="shared" si="38"/>
        <v>39.452844426558379</v>
      </c>
      <c r="J118" s="21">
        <f>-(Données!I$44*1E-24*H118+Données!F$44)*I118+(Données!H$49*1E-24*H118*S118)*0.71+Données!H$50*1E-24*H118*W118</f>
        <v>-2.4730561310000685E-8</v>
      </c>
      <c r="K118" s="42">
        <f t="shared" si="39"/>
        <v>2714.8373677359218</v>
      </c>
      <c r="L118" s="23">
        <f>-(Données!I$45*1E-24*H118+Données!F$45)*K118+(I118*Données!H$44*1E-24*H118)+(Données!H$51*1E-24*H118)*Y118</f>
        <v>-2.4879216603718438E-6</v>
      </c>
      <c r="M118" s="40">
        <f t="shared" si="40"/>
        <v>1413.2382578259596</v>
      </c>
      <c r="N118" s="21">
        <f>-(Données!I$46*1E-24*H118+Données!F$46)*M118+Données!H$45*1E-24*H118*K118</f>
        <v>6.0816046457466707E-8</v>
      </c>
      <c r="O118" s="42">
        <f t="shared" si="41"/>
        <v>188.72633760684641</v>
      </c>
      <c r="P118" s="23">
        <f>-(Données!I$47*1E-24*H118+Données!F$47)*O118+(Données!H$46*1E-24*H118)*M118</f>
        <v>2.3765326009060598E-8</v>
      </c>
      <c r="Q118" s="40">
        <f t="shared" si="42"/>
        <v>107.51064404399671</v>
      </c>
      <c r="R118" s="43">
        <f>-(Données!I$48*1E-24*H118+Données!F$48)*Q118+Données!H$47*1E-24*H118*O118+(Données!H$49*1E-24*H118*S118)*0.85*0.16</f>
        <v>4.7901063740377295E-8</v>
      </c>
      <c r="S118" s="42">
        <f t="shared" si="43"/>
        <v>47.442589250005888</v>
      </c>
      <c r="T118" s="22">
        <f>-(Données!I$49*1E-24*H118+Données!F$49)*S118+Données!F$47*O118</f>
        <v>-8.5033979178848091E-9</v>
      </c>
      <c r="U118" s="28">
        <f t="shared" si="44"/>
        <v>4511.2080408892889</v>
      </c>
      <c r="V118" s="19"/>
      <c r="W118" s="40">
        <f t="shared" si="45"/>
        <v>14.741581473059188</v>
      </c>
      <c r="X118" s="21">
        <f>-(Données!I$50*1E-24*H118+Données!F$50)*W118+Données!F$45*K118</f>
        <v>-1.0604916422982812E-7</v>
      </c>
      <c r="Y118" s="42">
        <f t="shared" si="46"/>
        <v>19706.955001826977</v>
      </c>
      <c r="Z118" s="23">
        <f>-(Données!I$51*1E-24*H118+Données!F$51)*Y118+Données!F$48*Q118</f>
        <v>-1.9332192014700615E-5</v>
      </c>
      <c r="AA118" s="15">
        <f t="shared" si="47"/>
        <v>19721.696583300036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3125923379334265</v>
      </c>
      <c r="I119" s="40">
        <f t="shared" si="38"/>
        <v>39.387852511435696</v>
      </c>
      <c r="J119" s="21">
        <f>-(Données!I$44*1E-24*H119+Données!F$44)*I119+(Données!H$49*1E-24*H119*S119)*0.71+Données!H$50*1E-24*H119*W119</f>
        <v>-2.4892118059383313E-8</v>
      </c>
      <c r="K119" s="42">
        <f t="shared" si="39"/>
        <v>2708.2991096124647</v>
      </c>
      <c r="L119" s="23">
        <f>-(Données!I$45*1E-24*H119+Données!F$45)*K119+(I119*Données!H$44*1E-24*H119)+(Données!H$51*1E-24*H119)*Y119</f>
        <v>-2.4846450402559926E-6</v>
      </c>
      <c r="M119" s="40">
        <f t="shared" si="40"/>
        <v>1413.3980823960499</v>
      </c>
      <c r="N119" s="21">
        <f>-(Données!I$46*1E-24*H119+Données!F$46)*M119+Données!H$45*1E-24*H119*K119</f>
        <v>5.0978854052431944E-8</v>
      </c>
      <c r="O119" s="42">
        <f t="shared" si="41"/>
        <v>188.78879288359823</v>
      </c>
      <c r="P119" s="23">
        <f>-(Données!I$47*1E-24*H119+Données!F$47)*O119+(Données!H$46*1E-24*H119)*M119</f>
        <v>2.333385209018215E-8</v>
      </c>
      <c r="Q119" s="40">
        <f t="shared" si="42"/>
        <v>107.63652803950642</v>
      </c>
      <c r="R119" s="43">
        <f>-(Données!I$48*1E-24*H119+Données!F$48)*Q119+Données!H$47*1E-24*H119*O119+(Données!H$49*1E-24*H119*S119)*0.85*0.16</f>
        <v>4.767842232520363E-8</v>
      </c>
      <c r="S119" s="42">
        <f t="shared" si="43"/>
        <v>47.420242320277687</v>
      </c>
      <c r="T119" s="22">
        <f>-(Données!I$49*1E-24*H119+Données!F$49)*S119+Données!F$47*O119</f>
        <v>-8.2671669084658089E-9</v>
      </c>
      <c r="U119" s="28">
        <f t="shared" si="44"/>
        <v>4504.9306077633328</v>
      </c>
      <c r="V119" s="19"/>
      <c r="W119" s="40">
        <f t="shared" si="45"/>
        <v>14.462884269463199</v>
      </c>
      <c r="X119" s="21">
        <f>-(Données!I$50*1E-24*H119+Données!F$50)*W119+Données!F$45*K119</f>
        <v>-1.0400342047596879E-7</v>
      </c>
      <c r="Y119" s="42">
        <f t="shared" si="46"/>
        <v>19656.150001212343</v>
      </c>
      <c r="Z119" s="23">
        <f>-(Données!I$51*1E-24*H119+Données!F$51)*Y119+Données!F$48*Q119</f>
        <v>-1.9282353138392907E-5</v>
      </c>
      <c r="AA119" s="15">
        <f t="shared" si="47"/>
        <v>19670.612885481805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3125923379334265</v>
      </c>
      <c r="I120" s="40">
        <f t="shared" si="38"/>
        <v>39.322436025175634</v>
      </c>
      <c r="J120" s="21">
        <f>-(Données!I$44*1E-24*H120+Données!F$44)*I120+(Données!H$49*1E-24*H120*S120)*0.71+Données!H$50*1E-24*H120*W120</f>
        <v>-2.5040207149864445E-8</v>
      </c>
      <c r="K120" s="42">
        <f t="shared" si="39"/>
        <v>2701.7694624466722</v>
      </c>
      <c r="L120" s="23">
        <f>-(Données!I$45*1E-24*H120+Données!F$45)*K120+(I120*Données!H$44*1E-24*H120)+(Données!H$51*1E-24*H120)*Y120</f>
        <v>-2.4813206143749221E-6</v>
      </c>
      <c r="M120" s="40">
        <f t="shared" si="40"/>
        <v>1413.5320548244997</v>
      </c>
      <c r="N120" s="21">
        <f>-(Données!I$46*1E-24*H120+Données!F$46)*M120+Données!H$45*1E-24*H120*K120</f>
        <v>4.1224350509300739E-8</v>
      </c>
      <c r="O120" s="42">
        <f t="shared" si="41"/>
        <v>188.85011424689122</v>
      </c>
      <c r="P120" s="23">
        <f>-(Données!I$47*1E-24*H120+Données!F$47)*O120+(Données!H$46*1E-24*H120)*M120</f>
        <v>2.2877459793665528E-8</v>
      </c>
      <c r="Q120" s="40">
        <f t="shared" si="42"/>
        <v>107.76182693337705</v>
      </c>
      <c r="R120" s="43">
        <f>-(Données!I$48*1E-24*H120+Données!F$48)*Q120+Données!H$47*1E-24*H120*O120+(Données!H$49*1E-24*H120*S120)*0.85*0.16</f>
        <v>4.7456001894505989E-8</v>
      </c>
      <c r="S120" s="42">
        <f t="shared" si="43"/>
        <v>47.398516205642238</v>
      </c>
      <c r="T120" s="22">
        <f>-(Données!I$49*1E-24*H120+Données!F$49)*S120+Données!F$47*O120</f>
        <v>-8.036576217392996E-9</v>
      </c>
      <c r="U120" s="28">
        <f t="shared" si="44"/>
        <v>4498.634410682258</v>
      </c>
      <c r="V120" s="19"/>
      <c r="W120" s="40">
        <f t="shared" si="45"/>
        <v>14.189563280452353</v>
      </c>
      <c r="X120" s="21">
        <f>-(Données!I$50*1E-24*H120+Données!F$50)*W120+Données!F$45*K120</f>
        <v>-1.0199724731871431E-7</v>
      </c>
      <c r="Y120" s="42">
        <f t="shared" si="46"/>
        <v>19605.475977164646</v>
      </c>
      <c r="Z120" s="23">
        <f>-(Données!I$51*1E-24*H120+Données!F$51)*Y120+Données!F$48*Q120</f>
        <v>-1.9232642747974691E-5</v>
      </c>
      <c r="AA120" s="15">
        <f t="shared" si="47"/>
        <v>19619.665540445098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3125923379334265</v>
      </c>
      <c r="I121" s="40">
        <f t="shared" si="38"/>
        <v>39.256630360785792</v>
      </c>
      <c r="J121" s="21">
        <f>-(Données!I$44*1E-24*H121+Données!F$44)*I121+(Données!H$49*1E-24*H121*S121)*0.71+Données!H$50*1E-24*H121*W121</f>
        <v>-2.5175255755505711E-8</v>
      </c>
      <c r="K121" s="42">
        <f t="shared" si="39"/>
        <v>2695.248551872095</v>
      </c>
      <c r="L121" s="23">
        <f>-(Données!I$45*1E-24*H121+Données!F$45)*K121+(I121*Données!H$44*1E-24*H121)+(Données!H$51*1E-24*H121)*Y121</f>
        <v>-2.4779494776184698E-6</v>
      </c>
      <c r="M121" s="40">
        <f t="shared" si="40"/>
        <v>1413.6403924176382</v>
      </c>
      <c r="N121" s="21">
        <f>-(Données!I$46*1E-24*H121+Données!F$46)*M121+Données!H$45*1E-24*H121*K121</f>
        <v>3.1552125528795595E-8</v>
      </c>
      <c r="O121" s="42">
        <f t="shared" si="41"/>
        <v>188.91023621122898</v>
      </c>
      <c r="P121" s="23">
        <f>-(Données!I$47*1E-24*H121+Données!F$47)*O121+(Données!H$46*1E-24*H121)*M121</f>
        <v>2.239715078905738E-8</v>
      </c>
      <c r="Q121" s="40">
        <f t="shared" si="42"/>
        <v>107.88654130635581</v>
      </c>
      <c r="R121" s="43">
        <f>-(Données!I$48*1E-24*H121+Données!F$48)*Q121+Données!H$47*1E-24*H121*O121+(Données!H$49*1E-24*H121*S121)*0.85*0.16</f>
        <v>4.7233698423196872E-8</v>
      </c>
      <c r="S121" s="42">
        <f t="shared" si="43"/>
        <v>47.37739608334293</v>
      </c>
      <c r="T121" s="22">
        <f>-(Données!I$49*1E-24*H121+Données!F$49)*S121+Données!F$47*O121</f>
        <v>-7.8116331928696233E-9</v>
      </c>
      <c r="U121" s="28">
        <f t="shared" si="44"/>
        <v>4492.319748251447</v>
      </c>
      <c r="V121" s="19"/>
      <c r="W121" s="40">
        <f t="shared" si="45"/>
        <v>13.921514514498771</v>
      </c>
      <c r="X121" s="21">
        <f>-(Données!I$50*1E-24*H121+Données!F$50)*W121+Données!F$45*K121</f>
        <v>-1.0002987908198833E-7</v>
      </c>
      <c r="Y121" s="42">
        <f t="shared" si="46"/>
        <v>19554.932592022968</v>
      </c>
      <c r="Z121" s="23">
        <f>-(Données!I$51*1E-24*H121+Données!F$51)*Y121+Données!F$48*Q121</f>
        <v>-1.9183060512206139E-5</v>
      </c>
      <c r="AA121" s="15">
        <f t="shared" si="47"/>
        <v>19568.854106537467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3125923379334265</v>
      </c>
      <c r="I122" s="40">
        <f t="shared" si="38"/>
        <v>39.190469788660323</v>
      </c>
      <c r="J122" s="21">
        <f>-(Données!I$44*1E-24*H122+Données!F$44)*I122+(Données!H$49*1E-24*H122*S122)*0.71+Données!H$50*1E-24*H122*W122</f>
        <v>-2.5297681419006986E-8</v>
      </c>
      <c r="K122" s="42">
        <f t="shared" si="39"/>
        <v>2688.7365006449136</v>
      </c>
      <c r="L122" s="23">
        <f>-(Données!I$45*1E-24*H122+Données!F$45)*K122+(I122*Données!H$44*1E-24*H122)+(Données!H$51*1E-24*H122)*Y122</f>
        <v>-2.4745327059564105E-6</v>
      </c>
      <c r="M122" s="40">
        <f t="shared" si="40"/>
        <v>1413.7233114035278</v>
      </c>
      <c r="N122" s="21">
        <f>-(Données!I$46*1E-24*H122+Données!F$46)*M122+Données!H$45*1E-24*H122*K122</f>
        <v>2.1961767606114619E-8</v>
      </c>
      <c r="O122" s="42">
        <f t="shared" si="41"/>
        <v>188.96909592350261</v>
      </c>
      <c r="P122" s="23">
        <f>-(Données!I$47*1E-24*H122+Données!F$47)*O122+(Données!H$46*1E-24*H122)*M122</f>
        <v>2.1893897407925927E-8</v>
      </c>
      <c r="Q122" s="40">
        <f t="shared" si="42"/>
        <v>108.01067146581197</v>
      </c>
      <c r="R122" s="43">
        <f>-(Données!I$48*1E-24*H122+Données!F$48)*Q122+Données!H$47*1E-24*H122*O122+(Données!H$49*1E-24*H122*S122)*0.85*0.16</f>
        <v>4.7011412210284038E-8</v>
      </c>
      <c r="S122" s="42">
        <f t="shared" si="43"/>
        <v>47.35686711131207</v>
      </c>
      <c r="T122" s="22">
        <f>-(Données!I$49*1E-24*H122+Données!F$49)*S122+Données!F$47*O122</f>
        <v>-7.5923410227682446E-9</v>
      </c>
      <c r="U122" s="28">
        <f t="shared" si="44"/>
        <v>4485.986916337728</v>
      </c>
      <c r="V122" s="19"/>
      <c r="W122" s="40">
        <f t="shared" si="45"/>
        <v>13.658635992271305</v>
      </c>
      <c r="X122" s="21">
        <f>-(Données!I$50*1E-24*H122+Données!F$50)*W122+Données!F$45*K122</f>
        <v>-9.8100564905663925E-8</v>
      </c>
      <c r="Y122" s="42">
        <f t="shared" si="46"/>
        <v>19504.519508996891</v>
      </c>
      <c r="Z122" s="23">
        <f>-(Données!I$51*1E-24*H122+Données!F$51)*Y122+Données!F$48*Q122</f>
        <v>-1.9133606100701371E-5</v>
      </c>
      <c r="AA122" s="15">
        <f t="shared" si="47"/>
        <v>19518.178144989164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3125923379334265</v>
      </c>
      <c r="I123" s="40">
        <f t="shared" si="38"/>
        <v>39.12398748189117</v>
      </c>
      <c r="J123" s="21">
        <f>-(Données!I$44*1E-24*H123+Données!F$44)*I123+(Données!H$49*1E-24*H123*S123)*0.71+Données!H$50*1E-24*H123*W123</f>
        <v>-2.5407892219063833E-8</v>
      </c>
      <c r="K123" s="42">
        <f t="shared" si="39"/>
        <v>2682.2334286936602</v>
      </c>
      <c r="L123" s="23">
        <f>-(Données!I$45*1E-24*H123+Données!F$45)*K123+(I123*Données!H$44*1E-24*H123)+(Données!H$51*1E-24*H123)*Y123</f>
        <v>-2.471071356745637E-6</v>
      </c>
      <c r="M123" s="40">
        <f t="shared" si="40"/>
        <v>1413.7810269287966</v>
      </c>
      <c r="N123" s="21">
        <f>-(Données!I$46*1E-24*H123+Données!F$46)*M123+Données!H$45*1E-24*H123*K123</f>
        <v>1.2452864111065073E-8</v>
      </c>
      <c r="O123" s="42">
        <f t="shared" si="41"/>
        <v>189.02663308589064</v>
      </c>
      <c r="P123" s="23">
        <f>-(Données!I$47*1E-24*H123+Données!F$47)*O123+(Données!H$46*1E-24*H123)*M123</f>
        <v>2.1368643453558813E-8</v>
      </c>
      <c r="Q123" s="40">
        <f t="shared" si="42"/>
        <v>108.13421745710059</v>
      </c>
      <c r="R123" s="43">
        <f>-(Données!I$48*1E-24*H123+Données!F$48)*Q123+Données!H$47*1E-24*H123*O123+(Données!H$49*1E-24*H123*S123)*0.85*0.16</f>
        <v>4.678904775182495E-8</v>
      </c>
      <c r="S123" s="42">
        <f t="shared" si="43"/>
        <v>47.336914439104234</v>
      </c>
      <c r="T123" s="22">
        <f>-(Données!I$49*1E-24*H123+Données!F$49)*S123+Données!F$47*O123</f>
        <v>-7.3786989216217611E-9</v>
      </c>
      <c r="U123" s="28">
        <f t="shared" si="44"/>
        <v>4479.6362080864437</v>
      </c>
      <c r="V123" s="19"/>
      <c r="W123" s="40">
        <f t="shared" si="45"/>
        <v>13.400827707699221</v>
      </c>
      <c r="X123" s="21">
        <f>-(Données!I$50*1E-24*H123+Données!F$50)*W123+Données!F$45*K123</f>
        <v>-9.620856845887812E-8</v>
      </c>
      <c r="Y123" s="42">
        <f t="shared" si="46"/>
        <v>19454.236392164246</v>
      </c>
      <c r="Z123" s="23">
        <f>-(Données!I$51*1E-24*H123+Données!F$51)*Y123+Données!F$48*Q123</f>
        <v>-1.9084279183926278E-5</v>
      </c>
      <c r="AA123" s="15">
        <f t="shared" si="47"/>
        <v>19467.637219871947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3125923379334265</v>
      </c>
      <c r="I124" s="40">
        <f t="shared" si="38"/>
        <v>39.05721554113947</v>
      </c>
      <c r="J124" s="21">
        <f>-(Données!I$44*1E-24*H124+Données!F$44)*I124+(Données!H$49*1E-24*H124*S124)*0.71+Données!H$50*1E-24*H124*W124</f>
        <v>-2.5506286935823522E-8</v>
      </c>
      <c r="K124" s="42">
        <f t="shared" si="39"/>
        <v>2675.7394531681325</v>
      </c>
      <c r="L124" s="23">
        <f>-(Données!I$45*1E-24*H124+Données!F$45)*K124+(I124*Données!H$44*1E-24*H124)+(Données!H$51*1E-24*H124)*Y124</f>
        <v>-2.4675664690323212E-6</v>
      </c>
      <c r="M124" s="40">
        <f t="shared" si="40"/>
        <v>1413.8137530556805</v>
      </c>
      <c r="N124" s="21">
        <f>-(Données!I$46*1E-24*H124+Données!F$46)*M124+Données!H$45*1E-24*H124*K124</f>
        <v>3.0250013664401835E-9</v>
      </c>
      <c r="O124" s="42">
        <f t="shared" si="41"/>
        <v>189.08278988088659</v>
      </c>
      <c r="P124" s="23">
        <f>-(Données!I$47*1E-24*H124+Données!F$47)*O124+(Données!H$46*1E-24*H124)*M124</f>
        <v>2.0822304988480558E-8</v>
      </c>
      <c r="Q124" s="40">
        <f t="shared" si="42"/>
        <v>108.25717907459239</v>
      </c>
      <c r="R124" s="43">
        <f>-(Données!I$48*1E-24*H124+Données!F$48)*Q124+Données!H$47*1E-24*H124*O124+(Données!H$49*1E-24*H124*S124)*0.85*0.16</f>
        <v>4.6566513617297915E-8</v>
      </c>
      <c r="S124" s="42">
        <f t="shared" si="43"/>
        <v>47.317523218338209</v>
      </c>
      <c r="T124" s="22">
        <f>-(Données!I$49*1E-24*H124+Données!F$49)*S124+Données!F$47*O124</f>
        <v>-7.1707023112629917E-9</v>
      </c>
      <c r="U124" s="28">
        <f t="shared" si="44"/>
        <v>4473.2679139387701</v>
      </c>
      <c r="V124" s="19"/>
      <c r="W124" s="40">
        <f t="shared" si="45"/>
        <v>13.147991589789291</v>
      </c>
      <c r="X124" s="21">
        <f>-(Données!I$50*1E-24*H124+Données!F$50)*W124+Données!F$45*K124</f>
        <v>-9.4353167658893584E-8</v>
      </c>
      <c r="Y124" s="42">
        <f t="shared" si="46"/>
        <v>19404.082906468888</v>
      </c>
      <c r="Z124" s="23">
        <f>-(Données!I$51*1E-24*H124+Données!F$51)*Y124+Données!F$48*Q124</f>
        <v>-1.9035079433196301E-5</v>
      </c>
      <c r="AA124" s="15">
        <f t="shared" si="47"/>
        <v>19417.230898058679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3125923379334265</v>
      </c>
      <c r="I125" s="40">
        <f t="shared" si="38"/>
        <v>38.990185019072129</v>
      </c>
      <c r="J125" s="21">
        <f>-(Données!I$44*1E-24*H125+Données!F$44)*I125+(Données!H$49*1E-24*H125*S125)*0.71+Données!H$50*1E-24*H125*W125</f>
        <v>-2.5593255214429052E-8</v>
      </c>
      <c r="K125" s="42">
        <f t="shared" si="39"/>
        <v>2669.2546884875155</v>
      </c>
      <c r="L125" s="23">
        <f>-(Données!I$45*1E-24*H125+Données!F$45)*K125+(I125*Données!H$44*1E-24*H125)+(Données!H$51*1E-24*H125)*Y125</f>
        <v>-2.4640190638493579E-6</v>
      </c>
      <c r="M125" s="40">
        <f t="shared" si="40"/>
        <v>1413.8217027592716</v>
      </c>
      <c r="N125" s="21">
        <f>-(Données!I$46*1E-24*H125+Données!F$46)*M125+Données!H$45*1E-24*H125*K125</f>
        <v>-6.3222352752913467E-9</v>
      </c>
      <c r="O125" s="42">
        <f t="shared" si="41"/>
        <v>189.13751089839633</v>
      </c>
      <c r="P125" s="23">
        <f>-(Données!I$47*1E-24*H125+Données!F$47)*O125+(Données!H$46*1E-24*H125)*M125</f>
        <v>2.0255771100411742E-8</v>
      </c>
      <c r="Q125" s="40">
        <f t="shared" si="42"/>
        <v>108.37955587237865</v>
      </c>
      <c r="R125" s="43">
        <f>-(Données!I$48*1E-24*H125+Données!F$48)*Q125+Données!H$47*1E-24*H125*O125+(Données!H$49*1E-24*H125*S125)*0.85*0.16</f>
        <v>4.6343722329300653E-8</v>
      </c>
      <c r="S125" s="42">
        <f t="shared" si="43"/>
        <v>47.298678612664212</v>
      </c>
      <c r="T125" s="22">
        <f>-(Données!I$49*1E-24*H125+Données!F$49)*S125+Données!F$47*O125</f>
        <v>-6.9683429953051479E-9</v>
      </c>
      <c r="U125" s="28">
        <f t="shared" si="44"/>
        <v>4466.8823216492983</v>
      </c>
      <c r="V125" s="19"/>
      <c r="W125" s="40">
        <f t="shared" si="45"/>
        <v>12.900031465181717</v>
      </c>
      <c r="X125" s="21">
        <f>-(Données!I$50*1E-24*H125+Données!F$50)*W125+Données!F$45*K125</f>
        <v>-9.2533654395400144E-8</v>
      </c>
      <c r="Y125" s="42">
        <f t="shared" si="46"/>
        <v>19354.058717718446</v>
      </c>
      <c r="Z125" s="23">
        <f>-(Données!I$51*1E-24*H125+Données!F$51)*Y125+Données!F$48*Q125</f>
        <v>-1.898600652067426E-5</v>
      </c>
      <c r="AA125" s="15">
        <f t="shared" si="47"/>
        <v>19366.958749183628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3125923379334265</v>
      </c>
      <c r="I126" s="40">
        <f t="shared" si="38"/>
        <v>38.922925944368608</v>
      </c>
      <c r="J126" s="21">
        <f>-(Données!I$44*1E-24*H126+Données!F$44)*I126+(Données!H$49*1E-24*H126*S126)*0.71+Données!H$50*1E-24*H126*W126</f>
        <v>-2.5669177726643241E-8</v>
      </c>
      <c r="K126" s="42">
        <f t="shared" si="39"/>
        <v>2662.7792463877195</v>
      </c>
      <c r="L126" s="23">
        <f>-(Données!I$45*1E-24*H126+Données!F$45)*K126+(I126*Données!H$44*1E-24*H126)+(Données!H$51*1E-24*H126)*Y126</f>
        <v>-2.4604301445089671E-6</v>
      </c>
      <c r="M126" s="40">
        <f t="shared" si="40"/>
        <v>1413.8050879249681</v>
      </c>
      <c r="N126" s="21">
        <f>-(Données!I$46*1E-24*H126+Données!F$46)*M126+Données!H$45*1E-24*H126*K126</f>
        <v>-1.5589261356973792E-8</v>
      </c>
      <c r="O126" s="42">
        <f t="shared" si="41"/>
        <v>189.19074306484822</v>
      </c>
      <c r="P126" s="23">
        <f>-(Données!I$47*1E-24*H126+Données!F$47)*O126+(Données!H$46*1E-24*H126)*M126</f>
        <v>1.9669904647259048E-8</v>
      </c>
      <c r="Q126" s="40">
        <f t="shared" si="42"/>
        <v>108.50134717466005</v>
      </c>
      <c r="R126" s="43">
        <f>-(Données!I$48*1E-24*H126+Données!F$48)*Q126+Données!H$47*1E-24*H126*O126+(Données!H$49*1E-24*H126*S126)*0.85*0.16</f>
        <v>4.612059024648553E-8</v>
      </c>
      <c r="S126" s="42">
        <f t="shared" si="43"/>
        <v>47.280365807272553</v>
      </c>
      <c r="T126" s="22">
        <f>-(Données!I$49*1E-24*H126+Données!F$49)*S126+Données!F$47*O126</f>
        <v>-6.7716093276534806E-9</v>
      </c>
      <c r="U126" s="28">
        <f t="shared" si="44"/>
        <v>4460.4797163038365</v>
      </c>
      <c r="V126" s="19"/>
      <c r="W126" s="40">
        <f t="shared" si="45"/>
        <v>12.656853021430607</v>
      </c>
      <c r="X126" s="21">
        <f>-(Données!I$50*1E-24*H126+Données!F$50)*W126+Données!F$45*K126</f>
        <v>-9.0749334260150971E-8</v>
      </c>
      <c r="Y126" s="42">
        <f t="shared" si="46"/>
        <v>19304.163492582113</v>
      </c>
      <c r="Z126" s="23">
        <f>-(Données!I$51*1E-24*H126+Données!F$51)*Y126+Données!F$48*Q126</f>
        <v>-1.8937060119368165E-5</v>
      </c>
      <c r="AA126" s="15">
        <f t="shared" si="47"/>
        <v>19316.820345603544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3125923379334265</v>
      </c>
      <c r="I127" s="40">
        <f t="shared" si="38"/>
        <v>38.855467345302991</v>
      </c>
      <c r="J127" s="21">
        <f>-(Données!I$44*1E-24*H127+Données!F$44)*I127+(Données!H$49*1E-24*H127*S127)*0.71+Données!H$50*1E-24*H127*W127</f>
        <v>-2.5734426330544629E-8</v>
      </c>
      <c r="K127" s="42">
        <f t="shared" si="39"/>
        <v>2656.3132359679498</v>
      </c>
      <c r="L127" s="23">
        <f>-(Données!I$45*1E-24*H127+Données!F$45)*K127+(I127*Données!H$44*1E-24*H127)+(Données!H$51*1E-24*H127)*Y127</f>
        <v>-2.4568006968906618E-6</v>
      </c>
      <c r="M127" s="40">
        <f t="shared" si="40"/>
        <v>1413.764119346122</v>
      </c>
      <c r="N127" s="21">
        <f>-(Données!I$46*1E-24*H127+Données!F$46)*M127+Données!H$45*1E-24*H127*K127</f>
        <v>-2.4776493243398648E-8</v>
      </c>
      <c r="O127" s="42">
        <f t="shared" si="41"/>
        <v>189.24243557426121</v>
      </c>
      <c r="P127" s="23">
        <f>-(Données!I$47*1E-24*H127+Données!F$47)*O127+(Données!H$46*1E-24*H127)*M127</f>
        <v>1.9065542981710868E-8</v>
      </c>
      <c r="Q127" s="40">
        <f t="shared" si="42"/>
        <v>108.62255208582782</v>
      </c>
      <c r="R127" s="43">
        <f>-(Données!I$48*1E-24*H127+Données!F$48)*Q127+Données!H$47*1E-24*H127*O127+(Données!H$49*1E-24*H127*S127)*0.85*0.16</f>
        <v>4.5897037449648041E-8</v>
      </c>
      <c r="S127" s="42">
        <f t="shared" si="43"/>
        <v>47.262570017959476</v>
      </c>
      <c r="T127" s="22">
        <f>-(Données!I$49*1E-24*H127+Données!F$49)*S127+Données!F$47*O127</f>
        <v>-6.580486375230632E-9</v>
      </c>
      <c r="U127" s="28">
        <f t="shared" si="44"/>
        <v>4454.0603803374242</v>
      </c>
      <c r="V127" s="19"/>
      <c r="W127" s="40">
        <f t="shared" si="45"/>
        <v>12.418363770994929</v>
      </c>
      <c r="X127" s="21">
        <f>-(Données!I$50*1E-24*H127+Données!F$50)*W127+Données!F$45*K127</f>
        <v>-8.8999526281829968E-8</v>
      </c>
      <c r="Y127" s="42">
        <f t="shared" si="46"/>
        <v>19254.396898588413</v>
      </c>
      <c r="Z127" s="23">
        <f>-(Données!I$51*1E-24*H127+Données!F$51)*Y127+Données!F$48*Q127</f>
        <v>-1.8888239903129019E-5</v>
      </c>
      <c r="AA127" s="15">
        <f t="shared" si="47"/>
        <v>19266.815262359407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3125923379334265</v>
      </c>
      <c r="I128" s="40">
        <f t="shared" si="38"/>
        <v>38.787837272906316</v>
      </c>
      <c r="J128" s="21">
        <f>-(Données!I$44*1E-24*H128+Données!F$44)*I128+(Données!H$49*1E-24*H128*S128)*0.71+Données!H$50*1E-24*H128*W128</f>
        <v>-2.5789364228290269E-8</v>
      </c>
      <c r="K128" s="42">
        <f t="shared" si="39"/>
        <v>2649.8567637365213</v>
      </c>
      <c r="L128" s="23">
        <f>-(Données!I$45*1E-24*H128+Données!F$45)*K128+(I128*Données!H$44*1E-24*H128)+(Données!H$51*1E-24*H128)*Y128</f>
        <v>-2.4531316897246277E-6</v>
      </c>
      <c r="M128" s="40">
        <f t="shared" si="40"/>
        <v>1413.6990067218783</v>
      </c>
      <c r="N128" s="21">
        <f>-(Données!I$46*1E-24*H128+Données!F$46)*M128+Données!H$45*1E-24*H128*K128</f>
        <v>-3.3884348049541878E-8</v>
      </c>
      <c r="O128" s="42">
        <f t="shared" si="41"/>
        <v>189.29253982121713</v>
      </c>
      <c r="P128" s="23">
        <f>-(Données!I$47*1E-24*H128+Données!F$47)*O128+(Données!H$46*1E-24*H128)*M128</f>
        <v>1.8443498655996242E-8</v>
      </c>
      <c r="Q128" s="40">
        <f t="shared" si="42"/>
        <v>108.7431695002455</v>
      </c>
      <c r="R128" s="43">
        <f>-(Données!I$48*1E-24*H128+Données!F$48)*Q128+Données!H$47*1E-24*H128*O128+(Données!H$49*1E-24*H128*S128)*0.85*0.16</f>
        <v>4.5672987630883203E-8</v>
      </c>
      <c r="S128" s="42">
        <f t="shared" si="43"/>
        <v>47.245276499765367</v>
      </c>
      <c r="T128" s="22">
        <f>-(Données!I$49*1E-24*H128+Données!F$49)*S128+Données!F$47*O128</f>
        <v>-6.3949560750926715E-9</v>
      </c>
      <c r="U128" s="28">
        <f t="shared" si="44"/>
        <v>4447.624593552534</v>
      </c>
      <c r="V128" s="19"/>
      <c r="W128" s="40">
        <f t="shared" si="45"/>
        <v>12.18447301592628</v>
      </c>
      <c r="X128" s="21">
        <f>-(Données!I$50*1E-24*H128+Données!F$50)*W128+Données!F$45*K128</f>
        <v>-8.7283562666049338E-8</v>
      </c>
      <c r="Y128" s="42">
        <f t="shared" si="46"/>
        <v>19204.758604122992</v>
      </c>
      <c r="Z128" s="23">
        <f>-(Données!I$51*1E-24*H128+Données!F$51)*Y128+Données!F$48*Q128</f>
        <v>-1.8839545546648672E-5</v>
      </c>
      <c r="AA128" s="15">
        <f t="shared" si="47"/>
        <v>19216.943077138916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3125923379334265</v>
      </c>
      <c r="I129" s="40">
        <f t="shared" si="38"/>
        <v>38.720062823714372</v>
      </c>
      <c r="J129" s="21">
        <f>-(Données!I$44*1E-24*H129+Données!F$44)*I129+(Données!H$49*1E-24*H129*S129)*0.71+Données!H$50*1E-24*H129*W129</f>
        <v>-2.5834346121940884E-8</v>
      </c>
      <c r="K129" s="42">
        <f t="shared" si="39"/>
        <v>2643.4099336559252</v>
      </c>
      <c r="L129" s="23">
        <f>-(Données!I$45*1E-24*H129+Données!F$45)*K129+(I129*Données!H$44*1E-24*H129)+(Données!H$51*1E-24*H129)*Y129</f>
        <v>-2.449424074870553E-6</v>
      </c>
      <c r="M129" s="40">
        <f t="shared" si="40"/>
        <v>1413.6099586552041</v>
      </c>
      <c r="N129" s="21">
        <f>-(Données!I$46*1E-24*H129+Données!F$46)*M129+Données!H$45*1E-24*H129*K129</f>
        <v>-4.2913243570394438E-8</v>
      </c>
      <c r="O129" s="42">
        <f t="shared" si="41"/>
        <v>189.3410093356851</v>
      </c>
      <c r="P129" s="23">
        <f>-(Données!I$47*1E-24*H129+Données!F$47)*O129+(Données!H$46*1E-24*H129)*M129</f>
        <v>1.7804560107355164E-8</v>
      </c>
      <c r="Q129" s="40">
        <f t="shared" si="42"/>
        <v>108.86319811173946</v>
      </c>
      <c r="R129" s="43">
        <f>-(Données!I$48*1E-24*H129+Données!F$48)*Q129+Données!H$47*1E-24*H129*O129+(Données!H$49*1E-24*H129*S129)*0.85*0.16</f>
        <v>4.5448367985728212E-8</v>
      </c>
      <c r="S129" s="42">
        <f t="shared" si="43"/>
        <v>47.228470555200026</v>
      </c>
      <c r="T129" s="22">
        <f>-(Données!I$49*1E-24*H129+Données!F$49)*S129+Données!F$47*O129</f>
        <v>-6.2149973861100383E-9</v>
      </c>
      <c r="U129" s="28">
        <f t="shared" si="44"/>
        <v>4441.1726331374684</v>
      </c>
      <c r="V129" s="19"/>
      <c r="W129" s="40">
        <f t="shared" si="45"/>
        <v>11.955091813239902</v>
      </c>
      <c r="X129" s="21">
        <f>-(Données!I$50*1E-24*H129+Données!F$50)*W129+Données!F$45*K129</f>
        <v>-8.5600788540378154E-8</v>
      </c>
      <c r="Y129" s="42">
        <f t="shared" si="46"/>
        <v>19155.248278426399</v>
      </c>
      <c r="Z129" s="23">
        <f>-(Données!I$51*1E-24*H129+Données!F$51)*Y129+Données!F$48*Q129</f>
        <v>-1.8790976725457625E-5</v>
      </c>
      <c r="AA129" s="15">
        <f t="shared" si="47"/>
        <v>19167.20337023964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3125923379334265</v>
      </c>
      <c r="I130" s="40">
        <f t="shared" si="38"/>
        <v>38.652170162105911</v>
      </c>
      <c r="J130" s="21">
        <f>-(Données!I$44*1E-24*H130+Données!F$44)*I130+(Données!H$49*1E-24*H130*S130)*0.71+Données!H$50*1E-24*H130*W130</f>
        <v>-2.5869718367345327E-8</v>
      </c>
      <c r="K130" s="42">
        <f t="shared" si="39"/>
        <v>2636.9728471871654</v>
      </c>
      <c r="L130" s="23">
        <f>-(Données!I$45*1E-24*H130+Données!F$45)*K130+(I130*Données!H$44*1E-24*H130)+(Données!H$51*1E-24*H130)*Y130</f>
        <v>-2.4456787875920231E-6</v>
      </c>
      <c r="M130" s="40">
        <f t="shared" si="40"/>
        <v>1413.4971826511012</v>
      </c>
      <c r="N130" s="21">
        <f>-(Données!I$46*1E-24*H130+Données!F$46)*M130+Données!H$45*1E-24*H130*K130</f>
        <v>-5.1863598212340749E-8</v>
      </c>
      <c r="O130" s="42">
        <f t="shared" si="41"/>
        <v>189.38779971964723</v>
      </c>
      <c r="P130" s="23">
        <f>-(Données!I$47*1E-24*H130+Données!F$47)*O130+(Données!H$46*1E-24*H130)*M130</f>
        <v>1.7149492324751348E-8</v>
      </c>
      <c r="Q130" s="40">
        <f t="shared" si="42"/>
        <v>108.98263642280595</v>
      </c>
      <c r="R130" s="43">
        <f>-(Données!I$48*1E-24*H130+Données!F$48)*Q130+Données!H$47*1E-24*H130*O130+(Données!H$49*1E-24*H130*S130)*0.85*0.16</f>
        <v>4.5223109108212931E-8</v>
      </c>
      <c r="S130" s="42">
        <f t="shared" si="43"/>
        <v>47.212137542069328</v>
      </c>
      <c r="T130" s="22">
        <f>-(Données!I$49*1E-24*H130+Données!F$49)*S130+Données!F$47*O130</f>
        <v>-6.0405864353794096E-9</v>
      </c>
      <c r="U130" s="28">
        <f t="shared" si="44"/>
        <v>4434.7047736848945</v>
      </c>
      <c r="V130" s="19"/>
      <c r="W130" s="40">
        <f t="shared" si="45"/>
        <v>11.730132940955787</v>
      </c>
      <c r="X130" s="21">
        <f>-(Données!I$50*1E-24*H130+Données!F$50)*W130+Données!F$45*K130</f>
        <v>-8.3950561704304313E-8</v>
      </c>
      <c r="Y130" s="42">
        <f t="shared" si="46"/>
        <v>19105.865591591897</v>
      </c>
      <c r="Z130" s="23">
        <f>-(Données!I$51*1E-24*H130+Données!F$51)*Y130+Données!F$48*Q130</f>
        <v>-1.8742533115922889E-5</v>
      </c>
      <c r="AA130" s="15">
        <f t="shared" si="47"/>
        <v>19117.595724532854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3125923379334265</v>
      </c>
      <c r="I131" s="40">
        <f t="shared" si="38"/>
        <v>38.584184542236528</v>
      </c>
      <c r="J131" s="21">
        <f>-(Données!I$44*1E-24*H131+Données!F$44)*I131+(Données!H$49*1E-24*H131*S131)*0.71+Données!H$50*1E-24*H131*W131</f>
        <v>-2.5895819126082652E-8</v>
      </c>
      <c r="K131" s="42">
        <f t="shared" si="39"/>
        <v>2630.5456033333735</v>
      </c>
      <c r="L131" s="23">
        <f>-(Données!I$45*1E-24*H131+Données!F$45)*K131+(I131*Données!H$44*1E-24*H131)+(Données!H$51*1E-24*H131)*Y131</f>
        <v>-2.441896746826551E-6</v>
      </c>
      <c r="M131" s="40">
        <f t="shared" si="40"/>
        <v>1413.3608851149991</v>
      </c>
      <c r="N131" s="21">
        <f>-(Données!I$46*1E-24*H131+Données!F$46)*M131+Données!H$45*1E-24*H131*K131</f>
        <v>-6.0735830926070294E-8</v>
      </c>
      <c r="O131" s="42">
        <f t="shared" si="41"/>
        <v>189.43286858547668</v>
      </c>
      <c r="P131" s="23">
        <f>-(Données!I$47*1E-24*H131+Données!F$47)*O131+(Données!H$46*1E-24*H131)*M131</f>
        <v>1.6479037497331001E-8</v>
      </c>
      <c r="Q131" s="40">
        <f t="shared" si="42"/>
        <v>109.10148275354234</v>
      </c>
      <c r="R131" s="43">
        <f>-(Données!I$48*1E-24*H131+Données!F$48)*Q131+Données!H$47*1E-24*H131*O131+(Données!H$49*1E-24*H131*S131)*0.85*0.16</f>
        <v>4.4997144888740547E-8</v>
      </c>
      <c r="S131" s="42">
        <f t="shared" si="43"/>
        <v>47.196262880917153</v>
      </c>
      <c r="T131" s="22">
        <f>-(Données!I$49*1E-24*H131+Données!F$49)*S131+Données!F$47*O131</f>
        <v>-5.871696659530237E-9</v>
      </c>
      <c r="U131" s="28">
        <f t="shared" si="44"/>
        <v>4428.2212872105456</v>
      </c>
      <c r="V131" s="19"/>
      <c r="W131" s="40">
        <f t="shared" si="45"/>
        <v>11.509510864796875</v>
      </c>
      <c r="X131" s="21">
        <f>-(Données!I$50*1E-24*H131+Données!F$50)*W131+Données!F$45*K131</f>
        <v>-8.23322523840346E-8</v>
      </c>
      <c r="Y131" s="42">
        <f t="shared" si="46"/>
        <v>19056.61021456325</v>
      </c>
      <c r="Z131" s="23">
        <f>-(Données!I$51*1E-24*H131+Données!F$51)*Y131+Données!F$48*Q131</f>
        <v>-1.869421439524581E-5</v>
      </c>
      <c r="AA131" s="15">
        <f t="shared" si="47"/>
        <v>19068.119725428049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3125923379334265</v>
      </c>
      <c r="I132" s="40">
        <f t="shared" si="38"/>
        <v>38.51613032957318</v>
      </c>
      <c r="J132" s="21">
        <f>-(Données!I$44*1E-24*H132+Données!F$44)*I132+(Données!H$49*1E-24*H132*S132)*0.71+Données!H$50*1E-24*H132*W132</f>
        <v>-2.5912978515461538E-8</v>
      </c>
      <c r="K132" s="42">
        <f t="shared" si="39"/>
        <v>2624.1282986827132</v>
      </c>
      <c r="L132" s="23">
        <f>-(Données!I$45*1E-24*H132+Données!F$45)*K132+(I132*Données!H$44*1E-24*H132)+(Données!H$51*1E-24*H132)*Y132</f>
        <v>-2.4380788554512852E-6</v>
      </c>
      <c r="M132" s="40">
        <f t="shared" si="40"/>
        <v>1413.2012713513254</v>
      </c>
      <c r="N132" s="21">
        <f>-(Données!I$46*1E-24*H132+Données!F$46)*M132+Données!H$45*1E-24*H132*K132</f>
        <v>-6.9530361140985088E-8</v>
      </c>
      <c r="O132" s="42">
        <f t="shared" si="41"/>
        <v>189.47617549601966</v>
      </c>
      <c r="P132" s="23">
        <f>-(Données!I$47*1E-24*H132+Données!F$47)*O132+(Données!H$46*1E-24*H132)*M132</f>
        <v>1.5793915645147698E-8</v>
      </c>
      <c r="Q132" s="40">
        <f t="shared" si="42"/>
        <v>109.21973525030995</v>
      </c>
      <c r="R132" s="43">
        <f>-(Données!I$48*1E-24*H132+Données!F$48)*Q132+Données!H$47*1E-24*H132*O132+(Données!H$49*1E-24*H132*S132)*0.85*0.16</f>
        <v>4.477041241472346E-8</v>
      </c>
      <c r="S132" s="42">
        <f t="shared" si="43"/>
        <v>47.180832062095909</v>
      </c>
      <c r="T132" s="22">
        <f>-(Données!I$49*1E-24*H132+Données!F$49)*S132+Données!F$47*O132</f>
        <v>-5.7082989410827042E-9</v>
      </c>
      <c r="U132" s="28">
        <f t="shared" si="44"/>
        <v>4421.7224431720369</v>
      </c>
      <c r="V132" s="19"/>
      <c r="W132" s="40">
        <f t="shared" si="45"/>
        <v>11.293141705531632</v>
      </c>
      <c r="X132" s="21">
        <f>-(Données!I$50*1E-24*H132+Données!F$50)*W132+Données!F$45*K132</f>
        <v>-8.0745242992039274E-8</v>
      </c>
      <c r="Y132" s="42">
        <f t="shared" si="46"/>
        <v>19007.481819132543</v>
      </c>
      <c r="Z132" s="23">
        <f>-(Données!I$51*1E-24*H132+Données!F$51)*Y132+Données!F$48*Q132</f>
        <v>-1.8646020241459944E-5</v>
      </c>
      <c r="AA132" s="15">
        <f t="shared" si="47"/>
        <v>19018.774960838076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3125923379334265</v>
      </c>
      <c r="I133" s="40">
        <f t="shared" si="38"/>
        <v>38.448031022034549</v>
      </c>
      <c r="J133" s="21">
        <f>-(Données!I$44*1E-24*H133+Données!F$44)*I133+(Données!H$49*1E-24*H133*S133)*0.71+Données!H$50*1E-24*H133*W133</f>
        <v>-2.5921518756577654E-8</v>
      </c>
      <c r="K133" s="42">
        <f t="shared" si="39"/>
        <v>2617.7210274505874</v>
      </c>
      <c r="L133" s="23">
        <f>-(Données!I$45*1E-24*H133+Données!F$45)*K133+(I133*Données!H$44*1E-24*H133)+(Données!H$51*1E-24*H133)*Y133</f>
        <v>-2.4342260005444988E-6</v>
      </c>
      <c r="M133" s="40">
        <f t="shared" si="40"/>
        <v>1413.018545562247</v>
      </c>
      <c r="N133" s="21">
        <f>-(Données!I$46*1E-24*H133+Données!F$46)*M133+Données!H$45*1E-24*H133*K133</f>
        <v>-7.8247608701082667E-8</v>
      </c>
      <c r="O133" s="42">
        <f t="shared" si="41"/>
        <v>189.5176819063351</v>
      </c>
      <c r="P133" s="23">
        <f>-(Données!I$47*1E-24*H133+Données!F$47)*O133+(Données!H$46*1E-24*H133)*M133</f>
        <v>1.509482523261922E-8</v>
      </c>
      <c r="Q133" s="40">
        <f t="shared" si="42"/>
        <v>109.33739189413585</v>
      </c>
      <c r="R133" s="43">
        <f>-(Données!I$48*1E-24*H133+Données!F$48)*Q133+Données!H$47*1E-24*H133*O133+(Données!H$49*1E-24*H133*S133)*0.85*0.16</f>
        <v>4.4542851873901037E-8</v>
      </c>
      <c r="S133" s="42">
        <f t="shared" si="43"/>
        <v>47.165830652478746</v>
      </c>
      <c r="T133" s="22">
        <f>-(Données!I$49*1E-24*H133+Données!F$49)*S133+Données!F$47*O133</f>
        <v>-5.5503617400116373E-9</v>
      </c>
      <c r="U133" s="28">
        <f t="shared" si="44"/>
        <v>4415.208508487819</v>
      </c>
      <c r="V133" s="19"/>
      <c r="W133" s="40">
        <f t="shared" si="45"/>
        <v>11.080943206948552</v>
      </c>
      <c r="X133" s="21">
        <f>-(Données!I$50*1E-24*H133+Données!F$50)*W133+Données!F$45*K133</f>
        <v>-7.9188927891249227E-8</v>
      </c>
      <c r="Y133" s="42">
        <f t="shared" si="46"/>
        <v>18958.480077937988</v>
      </c>
      <c r="Z133" s="23">
        <f>-(Données!I$51*1E-24*H133+Données!F$51)*Y133+Données!F$48*Q133</f>
        <v>-1.8597950333428882E-5</v>
      </c>
      <c r="AA133" s="15">
        <f t="shared" si="47"/>
        <v>18969.561021144935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3125923379334265</v>
      </c>
      <c r="I134" s="40">
        <f t="shared" si="38"/>
        <v>38.37990927074226</v>
      </c>
      <c r="J134" s="21">
        <f>-(Données!I$44*1E-24*H134+Données!F$44)*I134+(Données!H$49*1E-24*H134*S134)*0.71+Données!H$50*1E-24*H134*W134</f>
        <v>-2.5921754320430612E-8</v>
      </c>
      <c r="K134" s="42">
        <f t="shared" si="39"/>
        <v>2611.3238815211566</v>
      </c>
      <c r="L134" s="23">
        <f>-(Données!I$45*1E-24*H134+Données!F$45)*K134+(I134*Données!H$44*1E-24*H134)+(Données!H$51*1E-24*H134)*Y134</f>
        <v>-2.4303390536429416E-6</v>
      </c>
      <c r="M134" s="40">
        <f t="shared" si="40"/>
        <v>1412.8129108465805</v>
      </c>
      <c r="N134" s="21">
        <f>-(Données!I$46*1E-24*H134+Données!F$46)*M134+Données!H$45*1E-24*H134*K134</f>
        <v>-8.6887993802284122E-8</v>
      </c>
      <c r="O134" s="42">
        <f t="shared" si="41"/>
        <v>189.55735110704643</v>
      </c>
      <c r="P134" s="23">
        <f>-(Données!I$47*1E-24*H134+Données!F$47)*O134+(Données!H$46*1E-24*H134)*M134</f>
        <v>1.4382443765203816E-8</v>
      </c>
      <c r="Q134" s="40">
        <f t="shared" si="42"/>
        <v>109.45445050886046</v>
      </c>
      <c r="R134" s="43">
        <f>-(Données!I$48*1E-24*H134+Données!F$48)*Q134+Données!H$47*1E-24*H134*O134+(Données!H$49*1E-24*H134*S134)*0.85*0.16</f>
        <v>4.4314406460268379E-8</v>
      </c>
      <c r="S134" s="42">
        <f t="shared" si="43"/>
        <v>47.151244301825997</v>
      </c>
      <c r="T134" s="22">
        <f>-(Données!I$49*1E-24*H134+Données!F$49)*S134+Données!F$47*O134</f>
        <v>-5.3978512206640159E-9</v>
      </c>
      <c r="U134" s="28">
        <f t="shared" si="44"/>
        <v>4408.6797475562125</v>
      </c>
      <c r="V134" s="19"/>
      <c r="W134" s="40">
        <f t="shared" si="45"/>
        <v>10.87283470445035</v>
      </c>
      <c r="X134" s="21">
        <f>-(Données!I$50*1E-24*H134+Données!F$50)*W134+Données!F$45*K134</f>
        <v>-7.7662713163815884E-8</v>
      </c>
      <c r="Y134" s="42">
        <f t="shared" si="46"/>
        <v>18909.604664461738</v>
      </c>
      <c r="Z134" s="23">
        <f>-(Données!I$51*1E-24*H134+Données!F$51)*Y134+Données!F$48*Q134</f>
        <v>-1.8550004350844124E-5</v>
      </c>
      <c r="AA134" s="15">
        <f t="shared" si="47"/>
        <v>18920.477499166187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3125923379334265</v>
      </c>
      <c r="I135" s="40">
        <f t="shared" si="38"/>
        <v>38.311786900388171</v>
      </c>
      <c r="J135" s="21">
        <f>-(Données!I$44*1E-24*H135+Données!F$44)*I135+(Données!H$49*1E-24*H135*S135)*0.71+Données!H$50*1E-24*H135*W135</f>
        <v>-2.5913992072103826E-8</v>
      </c>
      <c r="K135" s="42">
        <f t="shared" si="39"/>
        <v>2604.9369504881829</v>
      </c>
      <c r="L135" s="23">
        <f>-(Données!I$45*1E-24*H135+Données!F$45)*K135+(I135*Données!H$44*1E-24*H135)+(Données!H$51*1E-24*H135)*Y135</f>
        <v>-2.4264188709950251E-6</v>
      </c>
      <c r="M135" s="40">
        <f t="shared" si="40"/>
        <v>1412.5845691988682</v>
      </c>
      <c r="N135" s="21">
        <f>-(Données!I$46*1E-24*H135+Données!F$46)*M135+Données!H$45*1E-24*H135*K135</f>
        <v>-9.5451936931183453E-8</v>
      </c>
      <c r="O135" s="42">
        <f t="shared" si="41"/>
        <v>189.59514816926139</v>
      </c>
      <c r="P135" s="23">
        <f>-(Données!I$47*1E-24*H135+Données!F$47)*O135+(Données!H$46*1E-24*H135)*M135</f>
        <v>1.3657428369754146E-8</v>
      </c>
      <c r="Q135" s="40">
        <f t="shared" si="42"/>
        <v>109.57090876903804</v>
      </c>
      <c r="R135" s="43">
        <f>-(Données!I$48*1E-24*H135+Données!F$48)*Q135+Données!H$47*1E-24*H135*O135+(Données!H$49*1E-24*H135*S135)*0.85*0.16</f>
        <v>4.4085022282546111E-8</v>
      </c>
      <c r="S135" s="42">
        <f t="shared" si="43"/>
        <v>47.137058748818092</v>
      </c>
      <c r="T135" s="22">
        <f>-(Données!I$49*1E-24*H135+Données!F$49)*S135+Données!F$47*O135</f>
        <v>-5.250731374175139E-9</v>
      </c>
      <c r="U135" s="28">
        <f t="shared" si="44"/>
        <v>4402.1364222745569</v>
      </c>
      <c r="V135" s="19"/>
      <c r="W135" s="40">
        <f t="shared" si="45"/>
        <v>10.668737094255842</v>
      </c>
      <c r="X135" s="21">
        <f>-(Données!I$50*1E-24*H135+Données!F$50)*W135+Données!F$45*K135</f>
        <v>-7.6166016384345356E-8</v>
      </c>
      <c r="Y135" s="42">
        <f t="shared" si="46"/>
        <v>18860.855253027719</v>
      </c>
      <c r="Z135" s="23">
        <f>-(Données!I$51*1E-24*H135+Données!F$51)*Y135+Données!F$48*Q135</f>
        <v>-1.8502181974222939E-5</v>
      </c>
      <c r="AA135" s="15">
        <f t="shared" si="47"/>
        <v>18871.523990121976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3125923379334265</v>
      </c>
      <c r="I136" s="40">
        <f t="shared" si="38"/>
        <v>38.243684929222681</v>
      </c>
      <c r="J136" s="21">
        <f>-(Données!I$44*1E-24*H136+Données!F$44)*I136+(Données!H$49*1E-24*H136*S136)*0.71+Données!H$50*1E-24*H136*W136</f>
        <v>-2.5898531413010703E-8</v>
      </c>
      <c r="K136" s="42">
        <f t="shared" si="39"/>
        <v>2598.5603216952081</v>
      </c>
      <c r="L136" s="23">
        <f>-(Données!I$45*1E-24*H136+Données!F$45)*K136+(I136*Données!H$44*1E-24*H136)+(Données!H$51*1E-24*H136)*Y136</f>
        <v>-2.4224662938100673E-6</v>
      </c>
      <c r="M136" s="40">
        <f t="shared" si="40"/>
        <v>1412.3337215086131</v>
      </c>
      <c r="N136" s="21">
        <f>-(Données!I$46*1E-24*H136+Données!F$46)*M136+Données!H$45*1E-24*H136*K136</f>
        <v>-1.039398588051941E-7</v>
      </c>
      <c r="O136" s="42">
        <f t="shared" si="41"/>
        <v>189.63103989101711</v>
      </c>
      <c r="P136" s="23">
        <f>-(Données!I$47*1E-24*H136+Données!F$47)*O136+(Données!H$46*1E-24*H136)*M136</f>
        <v>1.2920416358988087E-8</v>
      </c>
      <c r="Q136" s="40">
        <f t="shared" si="42"/>
        <v>109.68676420759657</v>
      </c>
      <c r="R136" s="43">
        <f>-(Données!I$48*1E-24*H136+Données!F$48)*Q136+Données!H$47*1E-24*H136*O136+(Données!H$49*1E-24*H136*S136)*0.85*0.16</f>
        <v>4.3854648275125379E-8</v>
      </c>
      <c r="S136" s="42">
        <f t="shared" si="43"/>
        <v>47.123259826766763</v>
      </c>
      <c r="T136" s="22">
        <f>-(Données!I$49*1E-24*H136+Données!F$49)*S136+Données!F$47*O136</f>
        <v>-5.1089641365238421E-9</v>
      </c>
      <c r="U136" s="28">
        <f t="shared" si="44"/>
        <v>4395.5787920584244</v>
      </c>
      <c r="V136" s="19"/>
      <c r="W136" s="40">
        <f t="shared" si="45"/>
        <v>10.468572803197782</v>
      </c>
      <c r="X136" s="21">
        <f>-(Données!I$50*1E-24*H136+Données!F$50)*W136+Données!F$45*K136</f>
        <v>-7.4698266397520421E-8</v>
      </c>
      <c r="Y136" s="42">
        <f t="shared" si="46"/>
        <v>18812.231518799461</v>
      </c>
      <c r="Z136" s="23">
        <f>-(Données!I$51*1E-24*H136+Données!F$51)*Y136+Données!F$48*Q136</f>
        <v>-1.8454482884906242E-5</v>
      </c>
      <c r="AA136" s="15">
        <f t="shared" si="47"/>
        <v>18822.700091602659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C207"/>
  <sheetViews>
    <sheetView zoomScale="85" zoomScaleNormal="85" workbookViewId="0">
      <selection activeCell="G8" sqref="G8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11" style="2" bestFit="1" customWidth="1"/>
    <col min="4" max="4" width="18" style="2" bestFit="1" customWidth="1"/>
    <col min="5" max="5" width="11.375" style="19" bestFit="1" customWidth="1"/>
    <col min="6" max="6" width="11.5" style="19" bestFit="1" customWidth="1"/>
    <col min="7" max="8" width="8.25" style="111" bestFit="1" customWidth="1"/>
    <col min="9" max="9" width="9.25" style="111" bestFit="1" customWidth="1"/>
    <col min="10" max="13" width="8.25" style="111" bestFit="1" customWidth="1"/>
    <col min="14" max="14" width="13.375" style="111" bestFit="1" customWidth="1"/>
    <col min="15" max="15" width="11" style="111" bestFit="1" customWidth="1"/>
    <col min="16" max="16" width="6.375" style="19" customWidth="1"/>
    <col min="17" max="17" width="4.375" style="2" bestFit="1" customWidth="1"/>
    <col min="18" max="18" width="5.25" style="2" customWidth="1"/>
    <col min="19" max="19" width="11.375" style="2" bestFit="1" customWidth="1"/>
    <col min="20" max="22" width="10.875" style="1" bestFit="1" customWidth="1"/>
    <col min="23" max="23" width="10.5" style="1" bestFit="1" customWidth="1"/>
    <col min="24" max="25" width="10.875" style="1" bestFit="1" customWidth="1"/>
    <col min="26" max="27" width="9.625" style="2" bestFit="1" customWidth="1"/>
    <col min="28" max="16384" width="15.5" style="2"/>
  </cols>
  <sheetData>
    <row r="1" spans="1:29" s="31" customFormat="1" ht="15.75" thickBot="1">
      <c r="A1" s="110" t="s">
        <v>149</v>
      </c>
      <c r="B1" s="5" t="s">
        <v>81</v>
      </c>
      <c r="C1" s="2"/>
      <c r="D1" s="29"/>
      <c r="E1" s="110" t="s">
        <v>148</v>
      </c>
      <c r="F1" s="111"/>
      <c r="G1" s="111"/>
      <c r="H1" s="111"/>
      <c r="I1" s="111"/>
      <c r="J1" s="111"/>
      <c r="K1" s="111"/>
      <c r="L1" s="111"/>
      <c r="M1" s="111"/>
      <c r="N1" s="109" t="s">
        <v>147</v>
      </c>
      <c r="O1" s="111"/>
      <c r="P1" s="109"/>
      <c r="Q1" s="106" t="s">
        <v>23</v>
      </c>
      <c r="R1" s="30" t="s">
        <v>24</v>
      </c>
      <c r="S1" s="34" t="s">
        <v>25</v>
      </c>
      <c r="T1" s="32" t="s">
        <v>26</v>
      </c>
      <c r="U1" s="32" t="s">
        <v>28</v>
      </c>
      <c r="V1" s="36" t="s">
        <v>29</v>
      </c>
      <c r="W1" s="32" t="s">
        <v>31</v>
      </c>
      <c r="X1" s="32" t="s">
        <v>33</v>
      </c>
      <c r="Y1" s="32" t="s">
        <v>78</v>
      </c>
      <c r="Z1" s="32" t="s">
        <v>79</v>
      </c>
      <c r="AA1" s="32" t="s">
        <v>80</v>
      </c>
    </row>
    <row r="2" spans="1:29" ht="15.75" thickBot="1">
      <c r="A2" s="101" t="s">
        <v>7</v>
      </c>
      <c r="B2" s="73">
        <f>Données!D10</f>
        <v>19.041708027546772</v>
      </c>
      <c r="D2" s="16"/>
      <c r="F2" s="112">
        <f>-(Données!I$44*1E-24*B$12+Données!F$44)</f>
        <v>-5.7434633429516339E-9</v>
      </c>
      <c r="G2" s="113">
        <v>0</v>
      </c>
      <c r="H2" s="113">
        <v>0</v>
      </c>
      <c r="I2" s="113">
        <v>0</v>
      </c>
      <c r="J2" s="113">
        <v>0</v>
      </c>
      <c r="K2" s="113">
        <v>0</v>
      </c>
      <c r="L2" s="113">
        <f>(Données!H$50*1E-24*B$12)</f>
        <v>1.6181967557799686E-9</v>
      </c>
      <c r="M2" s="113">
        <v>0</v>
      </c>
      <c r="N2" s="112"/>
      <c r="O2" s="112">
        <f t="array" ref="O2:O9">MMULT($F$2:$M$9,B2:B9)</f>
        <v>1.1552054787352106E-7</v>
      </c>
      <c r="Q2" s="107">
        <v>0</v>
      </c>
      <c r="R2" s="26">
        <f t="shared" ref="R2:R65" si="0">S2/(3600*365*24)</f>
        <v>0</v>
      </c>
      <c r="S2" s="17">
        <f t="shared" ref="S2:S65" si="1">Q2*D$5</f>
        <v>0</v>
      </c>
      <c r="T2" s="42">
        <f t="shared" ref="T2:T33" si="2">$F$148*EXP($F$24*$S2)+$G$148*EXP($G$24*$S2)+$H$148*EXP($H$24*$S2)+$I$148*EXP($I$24*$S2)+$J$148*EXP($J$24*$S2)+$K$148*EXP($K$24*$S2)+$L$148*EXP($L$24*$S2)+$M$148*EXP($M$24*$S2)</f>
        <v>19.041708027546122</v>
      </c>
      <c r="U2" s="42">
        <f>$F$149*EXP($F$24*$S2)+$G$149*EXP($G$24*$S2)+$H$149*EXP($H$24*$S2)+$I$149*EXP($I$24*$S2)+$J$149*EXP($J$24*$S2)+$K$149*EXP($K$24*$S2)+$L$149*EXP($L$24*$S2)+$M$149*EXP($M$24*$S2)</f>
        <v>3461.5820803761335</v>
      </c>
      <c r="V2" s="42">
        <f t="shared" ref="V2:V33" si="3">$F$150*EXP($F$24*$S2)+$G$150*EXP($G$24*$S2)+$H$150*EXP($H$24*$S2)+$I$150*EXP($I$24*$S2)+$J$150*EXP($J$24*$S2)+$K$150*EXP($K$24*$S2)+$L$150*EXP($L$24*$S2)+$M$150*EXP($M$24*$S2)</f>
        <v>1154.5288235649423</v>
      </c>
      <c r="W2" s="42">
        <f t="shared" ref="W2:W33" si="4">$F$151*EXP($F$24*$S2)+$G$151*EXP($G$24*$S2)+$H$151*EXP($H$24*$S2)+$I$151*EXP($I$24*$S2)+$J$151*EXP($J$24*$S2)+$K$151*EXP($K$24*$S2)+$L$151*EXP($L$24*$S2)+$M$151*EXP($M$24*$S2)</f>
        <v>241.52903340204074</v>
      </c>
      <c r="X2" s="42">
        <f t="shared" ref="X2:X33" si="5">$F$152*EXP($F$24*$S2)+$G$152*EXP($G$24*$S2)+$H$152*EXP($H$24*$S2)+$I$152*EXP($I$24*$S2)+$J$152*EXP($J$24*$S2)+$K$152*EXP($K$24*$S2)+$L$152*EXP($L$24*$S2)+$M$152*EXP($M$24*$S2)</f>
        <v>82.180003066254699</v>
      </c>
      <c r="Y2" s="42">
        <f t="shared" ref="Y2:Y33" si="6">$F$153*EXP($F$24*$S2)+$G$153*EXP($G$24*$S2)+$H$153*EXP($H$24*$S2)+$I$153*EXP($I$24*$S2)+$J$153*EXP($J$24*$S2)+$K$153*EXP($K$24*$S2)+$L$153*EXP($L$24*$S2)+$M$153*EXP($M$24*$S2)</f>
        <v>52.114148285917679</v>
      </c>
      <c r="Z2" s="42">
        <f t="shared" ref="Z2:Z33" si="7">$F$154*EXP($F$24*$S2)+$G$154*EXP($G$24*$S2)+$H$154*EXP($H$24*$S2)+$I$154*EXP($I$24*$S2)+$J$154*EXP($J$24*$S2)+$K$154*EXP($K$24*$S2)+$L$154*EXP($L$24*$S2)+$M$154*EXP($M$24*$S2)</f>
        <v>138.97314965789133</v>
      </c>
      <c r="AA2" s="42">
        <f t="shared" ref="AA2:AA33" si="8">$F$155*EXP($F$24*$S2)+$G$155*EXP($G$24*$S2)+$H$155*EXP($H$24*$S2)+$I$155*EXP($I$24*$S2)+$J$155*EXP($J$24*$S2)+$K$155*EXP($K$24*$S2)+$L$155*EXP($L$24*$S2)+$M$155*EXP($M$24*$S2)</f>
        <v>26586.632553782751</v>
      </c>
    </row>
    <row r="3" spans="1:29" ht="15.75" thickBot="1">
      <c r="A3" s="101" t="s">
        <v>9</v>
      </c>
      <c r="B3" s="73">
        <f>Données!D11</f>
        <v>3461.5820803761339</v>
      </c>
      <c r="F3" s="112">
        <f>Données!H$44*1E-24*B$12</f>
        <v>1.5619926534195389E-9</v>
      </c>
      <c r="G3" s="112">
        <f>-(Données!I$45*1E-24*B$12+Données!F$45)</f>
        <v>-6.9349911725794344E-9</v>
      </c>
      <c r="H3" s="113">
        <v>0</v>
      </c>
      <c r="I3" s="113">
        <v>0</v>
      </c>
      <c r="J3" s="113">
        <v>0</v>
      </c>
      <c r="K3" s="113">
        <v>0</v>
      </c>
      <c r="L3" s="113">
        <v>0</v>
      </c>
      <c r="M3" s="112">
        <f>(Données!H$51*1E-24*B$12)</f>
        <v>8.2599399375528609E-10</v>
      </c>
      <c r="O3" s="112">
        <v>-2.015899358916743E-6</v>
      </c>
      <c r="Q3" s="108">
        <v>1</v>
      </c>
      <c r="R3" s="27">
        <f t="shared" si="0"/>
        <v>8.3333333333333329E-2</v>
      </c>
      <c r="S3" s="18">
        <f t="shared" si="1"/>
        <v>2628000</v>
      </c>
      <c r="T3" s="42">
        <f t="shared" si="2"/>
        <v>19.337364608228228</v>
      </c>
      <c r="U3" s="42">
        <f t="shared" ref="U3:U33" si="9">$F$149*EXP($F$24*$S3)+$G$149*EXP($G$24*$S3)+$H$149*EXP($H$24*$S3)+$I$149*EXP($I$24*$S3)+$J$149*EXP($J$24*$S3)+$K$149*EXP($K$24*$S3)+$L$149*EXP($L$24*$S3)+$M$149*EXP($M$24*$S3)</f>
        <v>3456.2597393701708</v>
      </c>
      <c r="V3" s="42">
        <f t="shared" si="3"/>
        <v>1159.3325386098209</v>
      </c>
      <c r="W3" s="42">
        <f t="shared" si="4"/>
        <v>239.19737987546864</v>
      </c>
      <c r="X3" s="42">
        <f t="shared" si="5"/>
        <v>82.659632657081659</v>
      </c>
      <c r="Y3" s="42">
        <f t="shared" si="6"/>
        <v>52.221948130876612</v>
      </c>
      <c r="Z3" s="42">
        <f t="shared" si="7"/>
        <v>136.31031563892398</v>
      </c>
      <c r="AA3" s="42">
        <f t="shared" si="8"/>
        <v>26518.179832121899</v>
      </c>
    </row>
    <row r="4" spans="1:29" ht="15.75" thickBot="1">
      <c r="A4" s="101" t="s">
        <v>10</v>
      </c>
      <c r="B4" s="73">
        <f>Données!D12</f>
        <v>1154.5288235649409</v>
      </c>
      <c r="D4" s="3" t="s">
        <v>39</v>
      </c>
      <c r="E4" s="110"/>
      <c r="F4" s="113">
        <v>0</v>
      </c>
      <c r="G4" s="112">
        <f>Données!H$45*1E-24*B$12</f>
        <v>1.4380810506627284E-9</v>
      </c>
      <c r="H4" s="112">
        <f>-(Données!I$46*1E-24*B$12+Données!F$46)</f>
        <v>-2.71952737369777E-9</v>
      </c>
      <c r="I4" s="113">
        <v>0</v>
      </c>
      <c r="J4" s="113">
        <v>0</v>
      </c>
      <c r="K4" s="113">
        <v>0</v>
      </c>
      <c r="L4" s="113">
        <v>0</v>
      </c>
      <c r="M4" s="113">
        <v>0</v>
      </c>
      <c r="O4" s="112">
        <v>1.8382628556946444E-6</v>
      </c>
      <c r="P4" s="110"/>
      <c r="Q4" s="108">
        <v>2</v>
      </c>
      <c r="R4" s="27">
        <f t="shared" si="0"/>
        <v>0.16666666666666666</v>
      </c>
      <c r="S4" s="18">
        <f t="shared" si="1"/>
        <v>5256000</v>
      </c>
      <c r="T4" s="42">
        <f t="shared" si="2"/>
        <v>19.617461412093121</v>
      </c>
      <c r="U4" s="42">
        <f t="shared" si="9"/>
        <v>3450.8876340835659</v>
      </c>
      <c r="V4" s="42">
        <f t="shared" si="3"/>
        <v>1164.0819071981573</v>
      </c>
      <c r="W4" s="42">
        <f t="shared" si="4"/>
        <v>236.94721366316793</v>
      </c>
      <c r="X4" s="42">
        <f t="shared" si="5"/>
        <v>83.128084138478982</v>
      </c>
      <c r="Y4" s="42">
        <f t="shared" si="6"/>
        <v>52.31882221371751</v>
      </c>
      <c r="Z4" s="42">
        <f t="shared" si="7"/>
        <v>133.69850359815911</v>
      </c>
      <c r="AA4" s="42">
        <f t="shared" si="8"/>
        <v>26449.903355989445</v>
      </c>
    </row>
    <row r="5" spans="1:29" ht="15.75" thickBot="1">
      <c r="A5" s="101" t="s">
        <v>11</v>
      </c>
      <c r="B5" s="73">
        <f>Données!D13</f>
        <v>241.52903340204062</v>
      </c>
      <c r="D5" s="16">
        <f>3600*365*24/12</f>
        <v>2628000</v>
      </c>
      <c r="F5" s="113">
        <v>0</v>
      </c>
      <c r="G5" s="113">
        <v>0</v>
      </c>
      <c r="H5" s="112">
        <f>Données!H$46*1E-24*B$12</f>
        <v>1.427077800367472E-9</v>
      </c>
      <c r="I5" s="112">
        <f>-(Données!I$47*1E-24*B$12+Données!F$47)</f>
        <v>-1.0560453001086941E-8</v>
      </c>
      <c r="J5" s="113">
        <v>0</v>
      </c>
      <c r="K5" s="113">
        <v>0</v>
      </c>
      <c r="L5" s="113">
        <v>0</v>
      </c>
      <c r="M5" s="113">
        <v>0</v>
      </c>
      <c r="O5" s="112">
        <v>-9.0305355164630673E-7</v>
      </c>
      <c r="Q5" s="108">
        <v>3</v>
      </c>
      <c r="R5" s="27">
        <f t="shared" si="0"/>
        <v>0.25</v>
      </c>
      <c r="S5" s="18">
        <f t="shared" si="1"/>
        <v>7884000</v>
      </c>
      <c r="T5" s="42">
        <f t="shared" si="2"/>
        <v>19.882444804961892</v>
      </c>
      <c r="U5" s="42">
        <f t="shared" si="9"/>
        <v>3445.4669795127925</v>
      </c>
      <c r="V5" s="42">
        <f t="shared" si="3"/>
        <v>1168.7771312495499</v>
      </c>
      <c r="W5" s="42">
        <f t="shared" si="4"/>
        <v>234.77610370928545</v>
      </c>
      <c r="X5" s="42">
        <f t="shared" si="5"/>
        <v>83.585701364495549</v>
      </c>
      <c r="Y5" s="42">
        <f t="shared" si="6"/>
        <v>52.405270436504964</v>
      </c>
      <c r="Z5" s="42">
        <f t="shared" si="7"/>
        <v>131.13673591467057</v>
      </c>
      <c r="AA5" s="42">
        <f t="shared" si="8"/>
        <v>26381.802671605241</v>
      </c>
    </row>
    <row r="6" spans="1:29" ht="15.75" thickBot="1">
      <c r="A6" s="101" t="s">
        <v>13</v>
      </c>
      <c r="B6" s="73">
        <f>Données!D14</f>
        <v>82.180003066254471</v>
      </c>
      <c r="F6" s="113">
        <v>0</v>
      </c>
      <c r="G6" s="113">
        <v>0</v>
      </c>
      <c r="H6" s="113">
        <v>0</v>
      </c>
      <c r="I6" s="112">
        <f>Données!H$47*1E-24*B$12</f>
        <v>1.4051025590107522E-9</v>
      </c>
      <c r="J6" s="112">
        <f>-(Données!I$48*1E-24*B$12+Données!F$48)</f>
        <v>-2.3381555221817427E-9</v>
      </c>
      <c r="K6" s="112">
        <f>Données!H$49*1E-24*B$12*0.85*0.16</f>
        <v>7.1871730485394106E-10</v>
      </c>
      <c r="L6" s="113">
        <v>0</v>
      </c>
      <c r="M6" s="113">
        <v>0</v>
      </c>
      <c r="O6" s="112">
        <v>1.8467877512713857E-7</v>
      </c>
      <c r="Q6" s="108">
        <v>4</v>
      </c>
      <c r="R6" s="27">
        <f t="shared" si="0"/>
        <v>0.33333333333333331</v>
      </c>
      <c r="S6" s="18">
        <f t="shared" si="1"/>
        <v>10512000</v>
      </c>
      <c r="T6" s="42">
        <f t="shared" si="2"/>
        <v>20.132750379406247</v>
      </c>
      <c r="U6" s="42">
        <f t="shared" si="9"/>
        <v>3439.998969530167</v>
      </c>
      <c r="V6" s="42">
        <f t="shared" si="3"/>
        <v>1173.4184157811487</v>
      </c>
      <c r="W6" s="42">
        <f t="shared" si="4"/>
        <v>232.68168625176736</v>
      </c>
      <c r="X6" s="42">
        <f t="shared" si="5"/>
        <v>84.032818182407766</v>
      </c>
      <c r="Y6" s="42">
        <f t="shared" si="6"/>
        <v>52.481774928361816</v>
      </c>
      <c r="Z6" s="42">
        <f t="shared" si="7"/>
        <v>128.62405369951222</v>
      </c>
      <c r="AA6" s="42">
        <f t="shared" si="8"/>
        <v>26313.877326357488</v>
      </c>
    </row>
    <row r="7" spans="1:29" ht="15.75" thickBot="1">
      <c r="A7" s="101" t="s">
        <v>14</v>
      </c>
      <c r="B7" s="73">
        <f>Données!D15</f>
        <v>52.114148285917473</v>
      </c>
      <c r="D7" s="3" t="s">
        <v>186</v>
      </c>
      <c r="F7" s="113">
        <v>0</v>
      </c>
      <c r="G7" s="113">
        <v>0</v>
      </c>
      <c r="H7" s="113">
        <v>0</v>
      </c>
      <c r="I7" s="113">
        <f>Données!F$47</f>
        <v>1.5343492432592516E-9</v>
      </c>
      <c r="J7" s="113">
        <v>0</v>
      </c>
      <c r="K7" s="112">
        <f>-(Données!I$49*1E-24*B$12+Données!F$49)</f>
        <v>-6.2828676916701522E-9</v>
      </c>
      <c r="L7" s="113">
        <v>0</v>
      </c>
      <c r="M7" s="113">
        <v>0</v>
      </c>
      <c r="O7" s="112">
        <v>4.3163591081061186E-8</v>
      </c>
      <c r="P7" s="110"/>
      <c r="Q7" s="108">
        <v>5</v>
      </c>
      <c r="R7" s="27">
        <f t="shared" si="0"/>
        <v>0.41666666666666669</v>
      </c>
      <c r="S7" s="18">
        <f t="shared" si="1"/>
        <v>13140000</v>
      </c>
      <c r="T7" s="42">
        <f t="shared" si="2"/>
        <v>20.368803194436637</v>
      </c>
      <c r="U7" s="42">
        <f t="shared" si="9"/>
        <v>3434.4847772245375</v>
      </c>
      <c r="V7" s="42">
        <f t="shared" si="3"/>
        <v>1178.0059688066888</v>
      </c>
      <c r="W7" s="42">
        <f t="shared" si="4"/>
        <v>230.66166299170976</v>
      </c>
      <c r="X7" s="42">
        <f t="shared" si="5"/>
        <v>84.469758705418485</v>
      </c>
      <c r="Y7" s="42">
        <f t="shared" si="6"/>
        <v>52.548800601946297</v>
      </c>
      <c r="Z7" s="42">
        <f t="shared" si="7"/>
        <v>126.15951643679867</v>
      </c>
      <c r="AA7" s="42">
        <f t="shared" si="8"/>
        <v>26246.126868799722</v>
      </c>
      <c r="AC7" s="19"/>
    </row>
    <row r="8" spans="1:29" ht="15.75" thickBot="1">
      <c r="A8" s="101" t="s">
        <v>15</v>
      </c>
      <c r="B8" s="73">
        <f>Données!D16</f>
        <v>138.97314965789133</v>
      </c>
      <c r="D8" s="16" t="s">
        <v>185</v>
      </c>
      <c r="F8" s="113">
        <v>0</v>
      </c>
      <c r="G8" s="112">
        <f>Données!F$45</f>
        <v>9.1163637120235491E-13</v>
      </c>
      <c r="H8" s="113">
        <v>0</v>
      </c>
      <c r="I8" s="113">
        <v>0</v>
      </c>
      <c r="J8" s="113">
        <v>0</v>
      </c>
      <c r="K8" s="113">
        <v>0</v>
      </c>
      <c r="L8" s="112">
        <f>-(Données!I$50*1E-24*B$12+Données!F$50)</f>
        <v>-7.3617684041897035E-9</v>
      </c>
      <c r="M8" s="113">
        <v>0</v>
      </c>
      <c r="O8" s="112">
        <v>-1.0199324380558183E-6</v>
      </c>
      <c r="Q8" s="108">
        <v>6</v>
      </c>
      <c r="R8" s="27">
        <f t="shared" si="0"/>
        <v>0.5</v>
      </c>
      <c r="S8" s="18">
        <f t="shared" si="1"/>
        <v>15768000</v>
      </c>
      <c r="T8" s="42">
        <f t="shared" si="2"/>
        <v>20.591018010100271</v>
      </c>
      <c r="U8" s="42">
        <f t="shared" si="9"/>
        <v>3428.9255552367636</v>
      </c>
      <c r="V8" s="42">
        <f t="shared" si="3"/>
        <v>1182.5400012375185</v>
      </c>
      <c r="W8" s="42">
        <f t="shared" si="4"/>
        <v>228.71379931244647</v>
      </c>
      <c r="X8" s="42">
        <f t="shared" si="5"/>
        <v>84.896837578073132</v>
      </c>
      <c r="Y8" s="42">
        <f t="shared" si="6"/>
        <v>52.606795693596553</v>
      </c>
      <c r="Z8" s="42">
        <f t="shared" si="7"/>
        <v>123.74220163166285</v>
      </c>
      <c r="AA8" s="42">
        <f t="shared" si="8"/>
        <v>26178.550848647832</v>
      </c>
      <c r="AC8" s="19"/>
    </row>
    <row r="9" spans="1:29" ht="15.75" thickBot="1">
      <c r="A9" s="101" t="s">
        <v>16</v>
      </c>
      <c r="B9" s="73">
        <f>Données!D17</f>
        <v>26586.632553782751</v>
      </c>
      <c r="F9" s="113">
        <v>0</v>
      </c>
      <c r="G9" s="113">
        <v>0</v>
      </c>
      <c r="H9" s="113">
        <v>0</v>
      </c>
      <c r="I9" s="113">
        <v>0</v>
      </c>
      <c r="J9" s="112">
        <f>Données!F$48</f>
        <v>5.8612141092503409E-14</v>
      </c>
      <c r="K9" s="113">
        <v>0</v>
      </c>
      <c r="L9" s="113">
        <v>0</v>
      </c>
      <c r="M9" s="112">
        <f>-(Données!I$51*1E-24*B$12+Données!F$51)</f>
        <v>-9.8098353166876458E-10</v>
      </c>
      <c r="O9" s="112">
        <v>-2.6081043881043615E-5</v>
      </c>
      <c r="Q9" s="108">
        <v>7</v>
      </c>
      <c r="R9" s="27">
        <f t="shared" si="0"/>
        <v>0.58333333333333337</v>
      </c>
      <c r="S9" s="18">
        <f t="shared" si="1"/>
        <v>18396000</v>
      </c>
      <c r="T9" s="42">
        <f t="shared" si="2"/>
        <v>20.799799517092424</v>
      </c>
      <c r="U9" s="42">
        <f t="shared" si="9"/>
        <v>3423.3224360900876</v>
      </c>
      <c r="V9" s="42">
        <f t="shared" si="3"/>
        <v>1187.0207267855878</v>
      </c>
      <c r="W9" s="42">
        <f t="shared" si="4"/>
        <v>226.83592254702029</v>
      </c>
      <c r="X9" s="42">
        <f t="shared" si="5"/>
        <v>85.314360234580704</v>
      </c>
      <c r="Y9" s="42">
        <f t="shared" si="6"/>
        <v>52.656192287604284</v>
      </c>
      <c r="Z9" s="42">
        <f t="shared" si="7"/>
        <v>121.37120446495948</v>
      </c>
      <c r="AA9" s="42">
        <f t="shared" si="8"/>
        <v>26111.148816777048</v>
      </c>
      <c r="AC9" s="19"/>
    </row>
    <row r="10" spans="1:29">
      <c r="Q10" s="108">
        <v>8</v>
      </c>
      <c r="R10" s="27">
        <f t="shared" si="0"/>
        <v>0.66666666666666663</v>
      </c>
      <c r="S10" s="18">
        <f t="shared" si="1"/>
        <v>21024000</v>
      </c>
      <c r="T10" s="42">
        <f t="shared" si="2"/>
        <v>20.995542561485195</v>
      </c>
      <c r="U10" s="42">
        <f t="shared" si="9"/>
        <v>3417.6765325154483</v>
      </c>
      <c r="V10" s="42">
        <f t="shared" si="3"/>
        <v>1191.4483618683555</v>
      </c>
      <c r="W10" s="42">
        <f t="shared" si="4"/>
        <v>225.0259202927212</v>
      </c>
      <c r="X10" s="42">
        <f t="shared" si="5"/>
        <v>85.722623150241702</v>
      </c>
      <c r="Y10" s="42">
        <f t="shared" si="6"/>
        <v>52.697406825070502</v>
      </c>
      <c r="Z10" s="42">
        <f t="shared" si="7"/>
        <v>119.04563745458422</v>
      </c>
      <c r="AA10" s="42">
        <f t="shared" si="8"/>
        <v>26043.920325218958</v>
      </c>
      <c r="AC10" s="19"/>
    </row>
    <row r="11" spans="1:29" ht="15.75" thickBot="1">
      <c r="B11" s="101" t="s">
        <v>59</v>
      </c>
      <c r="N11" s="109" t="s">
        <v>150</v>
      </c>
      <c r="Q11" s="108">
        <v>9</v>
      </c>
      <c r="R11" s="27">
        <f t="shared" si="0"/>
        <v>0.75</v>
      </c>
      <c r="S11" s="18">
        <f t="shared" si="1"/>
        <v>23652000</v>
      </c>
      <c r="T11" s="42">
        <f t="shared" si="2"/>
        <v>21.178632364673746</v>
      </c>
      <c r="U11" s="42">
        <f t="shared" si="9"/>
        <v>3411.9889377718237</v>
      </c>
      <c r="V11" s="42">
        <f t="shared" si="3"/>
        <v>1195.8231255155977</v>
      </c>
      <c r="W11" s="42">
        <f t="shared" si="4"/>
        <v>223.28173877140833</v>
      </c>
      <c r="X11" s="42">
        <f t="shared" si="5"/>
        <v>86.121914086152628</v>
      </c>
      <c r="Y11" s="42">
        <f t="shared" si="6"/>
        <v>52.730840597778197</v>
      </c>
      <c r="Z11" s="42">
        <f t="shared" si="7"/>
        <v>116.76463012328267</v>
      </c>
      <c r="AA11" s="42">
        <f t="shared" si="8"/>
        <v>25976.864927158556</v>
      </c>
      <c r="AC11" s="19"/>
    </row>
    <row r="12" spans="1:29">
      <c r="B12" s="75">
        <f>IF(R2&lt;Données!C$26/365,Données!C$30,0)</f>
        <v>3125923379334265</v>
      </c>
      <c r="O12" s="112">
        <f t="array" ref="O12:O19">MMULT($F$2:$M$9,O2:O9)</f>
        <v>-2.3139393944459364E-15</v>
      </c>
      <c r="Q12" s="108">
        <v>10</v>
      </c>
      <c r="R12" s="27">
        <f t="shared" si="0"/>
        <v>0.83333333333333337</v>
      </c>
      <c r="S12" s="18">
        <f t="shared" si="1"/>
        <v>26280000</v>
      </c>
      <c r="T12" s="42">
        <f t="shared" si="2"/>
        <v>21.349444738639448</v>
      </c>
      <c r="U12" s="42">
        <f t="shared" si="9"/>
        <v>3406.260725961662</v>
      </c>
      <c r="V12" s="42">
        <f t="shared" si="3"/>
        <v>1200.14523927807</v>
      </c>
      <c r="W12" s="42">
        <f t="shared" si="4"/>
        <v>221.6013812343721</v>
      </c>
      <c r="X12" s="42">
        <f t="shared" si="5"/>
        <v>86.512512327377692</v>
      </c>
      <c r="Y12" s="42">
        <f t="shared" si="6"/>
        <v>52.756880227511601</v>
      </c>
      <c r="Z12" s="42">
        <f t="shared" si="7"/>
        <v>114.52732867282397</v>
      </c>
      <c r="AA12" s="42">
        <f t="shared" si="8"/>
        <v>25909.982176931233</v>
      </c>
      <c r="AC12" s="19"/>
    </row>
    <row r="13" spans="1:29" ht="15">
      <c r="E13" s="110" t="s">
        <v>154</v>
      </c>
      <c r="O13" s="112">
        <v>-7.3820990906164884E-15</v>
      </c>
      <c r="Q13" s="108">
        <v>11</v>
      </c>
      <c r="R13" s="27">
        <f t="shared" si="0"/>
        <v>0.91666666666666663</v>
      </c>
      <c r="S13" s="18">
        <f t="shared" si="1"/>
        <v>28908000</v>
      </c>
      <c r="T13" s="42">
        <f t="shared" si="2"/>
        <v>21.508346296625675</v>
      </c>
      <c r="U13" s="42">
        <f t="shared" si="9"/>
        <v>3400.4929523414785</v>
      </c>
      <c r="V13" s="42">
        <f t="shared" si="3"/>
        <v>1204.4149271380047</v>
      </c>
      <c r="W13" s="42">
        <f t="shared" si="4"/>
        <v>219.98290641052233</v>
      </c>
      <c r="X13" s="42">
        <f t="shared" si="5"/>
        <v>86.894688914758433</v>
      </c>
      <c r="Y13" s="42">
        <f t="shared" si="6"/>
        <v>52.775898131233518</v>
      </c>
      <c r="Z13" s="42">
        <f t="shared" si="7"/>
        <v>112.33289566441779</v>
      </c>
      <c r="AA13" s="42">
        <f t="shared" si="8"/>
        <v>25843.271630019837</v>
      </c>
      <c r="AC13" s="19"/>
    </row>
    <row r="14" spans="1:29">
      <c r="F14" s="112">
        <f t="array" ref="F14:M21">MINVERSE(F2:M9)</f>
        <v>-174112342.79359248</v>
      </c>
      <c r="G14" s="112">
        <v>-5031.003449513486</v>
      </c>
      <c r="H14" s="112">
        <v>-8.340336607580821E-3</v>
      </c>
      <c r="I14" s="112">
        <v>-1.5893859258639637E-2</v>
      </c>
      <c r="J14" s="112">
        <v>-0.1061900876557702</v>
      </c>
      <c r="K14" s="112">
        <v>-1.214742333398889E-2</v>
      </c>
      <c r="L14" s="112">
        <v>-38271786.448687203</v>
      </c>
      <c r="M14" s="112">
        <v>-4236.1349581385448</v>
      </c>
      <c r="O14" s="112">
        <v>-7.8982328242147285E-15</v>
      </c>
      <c r="Q14" s="108">
        <v>12</v>
      </c>
      <c r="R14" s="27">
        <f t="shared" si="0"/>
        <v>1</v>
      </c>
      <c r="S14" s="18">
        <f t="shared" si="1"/>
        <v>31536000</v>
      </c>
      <c r="T14" s="42">
        <f t="shared" si="2"/>
        <v>21.655694659322577</v>
      </c>
      <c r="U14" s="42">
        <f t="shared" si="9"/>
        <v>3394.6866536276843</v>
      </c>
      <c r="V14" s="42">
        <f t="shared" si="3"/>
        <v>1208.6324154213996</v>
      </c>
      <c r="W14" s="42">
        <f t="shared" si="4"/>
        <v>218.42442699672395</v>
      </c>
      <c r="X14" s="42">
        <f t="shared" si="5"/>
        <v>87.268706870530764</v>
      </c>
      <c r="Y14" s="42">
        <f t="shared" si="6"/>
        <v>52.788252972523779</v>
      </c>
      <c r="Z14" s="42">
        <f t="shared" si="7"/>
        <v>110.18050970525468</v>
      </c>
      <c r="AA14" s="42">
        <f t="shared" si="8"/>
        <v>25776.73284305173</v>
      </c>
      <c r="AC14" s="19"/>
    </row>
    <row r="15" spans="1:29">
      <c r="F15" s="112">
        <v>-39215953.854522772</v>
      </c>
      <c r="G15" s="112">
        <v>-144197472.9709807</v>
      </c>
      <c r="H15" s="112">
        <v>-239.04882487345884</v>
      </c>
      <c r="I15" s="112">
        <v>-455.54616764850175</v>
      </c>
      <c r="J15" s="112">
        <v>-3043.5960635268007</v>
      </c>
      <c r="K15" s="112">
        <v>-348.16667598176889</v>
      </c>
      <c r="L15" s="112">
        <v>-8620093.1376882307</v>
      </c>
      <c r="M15" s="112">
        <v>-121415133.63237299</v>
      </c>
      <c r="O15" s="112">
        <v>1.2159998702227401E-14</v>
      </c>
      <c r="Q15" s="108">
        <v>13</v>
      </c>
      <c r="R15" s="27">
        <f t="shared" si="0"/>
        <v>1.0833333333333333</v>
      </c>
      <c r="S15" s="18">
        <f t="shared" si="1"/>
        <v>34164000</v>
      </c>
      <c r="T15" s="42">
        <f t="shared" si="2"/>
        <v>21.791838656651947</v>
      </c>
      <c r="U15" s="42">
        <f t="shared" si="9"/>
        <v>3388.8428482977147</v>
      </c>
      <c r="V15" s="42">
        <f t="shared" si="3"/>
        <v>1212.7979327120806</v>
      </c>
      <c r="W15" s="42">
        <f t="shared" si="4"/>
        <v>216.92410818913257</v>
      </c>
      <c r="X15" s="42">
        <f t="shared" si="5"/>
        <v>87.634821417915703</v>
      </c>
      <c r="Y15" s="42">
        <f t="shared" si="6"/>
        <v>52.794290099670462</v>
      </c>
      <c r="Z15" s="42">
        <f t="shared" si="7"/>
        <v>108.06936514105251</v>
      </c>
      <c r="AA15" s="42">
        <f t="shared" si="8"/>
        <v>25710.365373795812</v>
      </c>
      <c r="AC15" s="25"/>
    </row>
    <row r="16" spans="1:29">
      <c r="F16" s="112">
        <v>-20737323.943598084</v>
      </c>
      <c r="G16" s="112">
        <v>-76251357.290461212</v>
      </c>
      <c r="H16" s="112">
        <v>-367711078.56578559</v>
      </c>
      <c r="I16" s="112">
        <v>-240.89197179382452</v>
      </c>
      <c r="J16" s="112">
        <v>-1609.4479751009815</v>
      </c>
      <c r="K16" s="112">
        <v>-184.1098949928259</v>
      </c>
      <c r="L16" s="112">
        <v>-4558289.3248843318</v>
      </c>
      <c r="M16" s="112">
        <v>-64204098.340435736</v>
      </c>
      <c r="O16" s="112">
        <v>-1.6696681343856556E-15</v>
      </c>
      <c r="Q16" s="108">
        <v>14</v>
      </c>
      <c r="R16" s="27">
        <f t="shared" si="0"/>
        <v>1.1666666666666667</v>
      </c>
      <c r="S16" s="18">
        <f t="shared" si="1"/>
        <v>36792000</v>
      </c>
      <c r="T16" s="42">
        <f t="shared" si="2"/>
        <v>21.917118525244874</v>
      </c>
      <c r="U16" s="42">
        <f t="shared" si="9"/>
        <v>3382.9625368865227</v>
      </c>
      <c r="V16" s="42">
        <f t="shared" si="3"/>
        <v>1216.9117097674971</v>
      </c>
      <c r="W16" s="42">
        <f t="shared" si="4"/>
        <v>215.48016625441539</v>
      </c>
      <c r="X16" s="42">
        <f t="shared" si="5"/>
        <v>87.993280194846307</v>
      </c>
      <c r="Y16" s="42">
        <f t="shared" si="6"/>
        <v>52.794341970793838</v>
      </c>
      <c r="Z16" s="42">
        <f t="shared" si="7"/>
        <v>105.99867175449403</v>
      </c>
      <c r="AA16" s="42">
        <f t="shared" si="8"/>
        <v>25644.168781159606</v>
      </c>
      <c r="AC16" s="19"/>
    </row>
    <row r="17" spans="5:29">
      <c r="F17" s="112">
        <v>-2802320.5667305854</v>
      </c>
      <c r="G17" s="112">
        <v>-10304162.068228096</v>
      </c>
      <c r="H17" s="112">
        <v>-49690322.670476504</v>
      </c>
      <c r="I17" s="112">
        <v>-94692940.129430011</v>
      </c>
      <c r="J17" s="112">
        <v>-217.49137805703887</v>
      </c>
      <c r="K17" s="112">
        <v>-24.879533476945134</v>
      </c>
      <c r="L17" s="112">
        <v>-615980.53630132414</v>
      </c>
      <c r="M17" s="112">
        <v>-8676166.0153040234</v>
      </c>
      <c r="O17" s="112">
        <v>-1.6567906654507515E-15</v>
      </c>
      <c r="Q17" s="108">
        <v>15</v>
      </c>
      <c r="R17" s="27">
        <f t="shared" si="0"/>
        <v>1.25</v>
      </c>
      <c r="S17" s="18">
        <f t="shared" si="1"/>
        <v>39420000</v>
      </c>
      <c r="T17" s="42">
        <f t="shared" si="2"/>
        <v>22.031866101699862</v>
      </c>
      <c r="U17" s="42">
        <f t="shared" si="9"/>
        <v>3377.0467022785115</v>
      </c>
      <c r="V17" s="42">
        <f t="shared" si="3"/>
        <v>1220.9739794362276</v>
      </c>
      <c r="W17" s="42">
        <f t="shared" si="4"/>
        <v>214.09086713977069</v>
      </c>
      <c r="X17" s="42">
        <f t="shared" si="5"/>
        <v>88.344323461982981</v>
      </c>
      <c r="Y17" s="42">
        <f t="shared" si="6"/>
        <v>52.788728566373067</v>
      </c>
      <c r="Z17" s="42">
        <f t="shared" si="7"/>
        <v>103.96765446944259</v>
      </c>
      <c r="AA17" s="42">
        <f t="shared" si="8"/>
        <v>25578.142625186316</v>
      </c>
      <c r="AC17" s="19"/>
    </row>
    <row r="18" spans="5:29">
      <c r="F18" s="112">
        <v>-1894402.9054257455</v>
      </c>
      <c r="G18" s="112">
        <v>-6965739.3203957956</v>
      </c>
      <c r="H18" s="112">
        <v>-33591264.59551245</v>
      </c>
      <c r="I18" s="112">
        <v>-64013583.254604369</v>
      </c>
      <c r="J18" s="112">
        <v>-427687694.11817425</v>
      </c>
      <c r="K18" s="112">
        <v>-48924561.509284221</v>
      </c>
      <c r="L18" s="112">
        <v>-416410.36058067961</v>
      </c>
      <c r="M18" s="112">
        <v>-5865194.1189311575</v>
      </c>
      <c r="O18" s="112">
        <v>7.5066686297112245E-15</v>
      </c>
      <c r="Q18" s="108">
        <v>16</v>
      </c>
      <c r="R18" s="27">
        <f t="shared" si="0"/>
        <v>1.3333333333333333</v>
      </c>
      <c r="S18" s="18">
        <f t="shared" si="1"/>
        <v>42048000</v>
      </c>
      <c r="T18" s="42">
        <f t="shared" si="2"/>
        <v>22.136405011710039</v>
      </c>
      <c r="U18" s="42">
        <f t="shared" si="9"/>
        <v>3371.0963099949608</v>
      </c>
      <c r="V18" s="42">
        <f t="shared" si="3"/>
        <v>1224.9849765771614</v>
      </c>
      <c r="W18" s="42">
        <f t="shared" si="4"/>
        <v>212.75452512069188</v>
      </c>
      <c r="X18" s="42">
        <f t="shared" si="5"/>
        <v>88.688184305177572</v>
      </c>
      <c r="Y18" s="42">
        <f t="shared" si="6"/>
        <v>52.777757789534206</v>
      </c>
      <c r="Z18" s="42">
        <f t="shared" si="7"/>
        <v>101.97555306082525</v>
      </c>
      <c r="AA18" s="42">
        <f t="shared" si="8"/>
        <v>25512.286467051905</v>
      </c>
      <c r="AC18" s="19"/>
    </row>
    <row r="19" spans="5:29">
      <c r="F19" s="112">
        <v>-684359.22128895356</v>
      </c>
      <c r="G19" s="112">
        <v>-2516396.022912859</v>
      </c>
      <c r="H19" s="112">
        <v>-12134953.770845113</v>
      </c>
      <c r="I19" s="112">
        <v>-23125115.498168651</v>
      </c>
      <c r="J19" s="112">
        <v>-53.113919903113704</v>
      </c>
      <c r="K19" s="112">
        <v>-159162994.86931691</v>
      </c>
      <c r="L19" s="112">
        <v>-150429.59936740671</v>
      </c>
      <c r="M19" s="112">
        <v>-2118820.4834589809</v>
      </c>
      <c r="O19" s="112">
        <v>2.558508536045261E-14</v>
      </c>
      <c r="Q19" s="108">
        <v>17</v>
      </c>
      <c r="R19" s="27">
        <f t="shared" si="0"/>
        <v>1.4166666666666667</v>
      </c>
      <c r="S19" s="18">
        <f t="shared" si="1"/>
        <v>44676000</v>
      </c>
      <c r="T19" s="42">
        <f t="shared" si="2"/>
        <v>22.231050855144133</v>
      </c>
      <c r="U19" s="42">
        <f t="shared" si="9"/>
        <v>3365.1123084770197</v>
      </c>
      <c r="V19" s="42">
        <f t="shared" si="3"/>
        <v>1228.944937980333</v>
      </c>
      <c r="W19" s="42">
        <f t="shared" si="4"/>
        <v>211.46950148544659</v>
      </c>
      <c r="X19" s="42">
        <f t="shared" si="5"/>
        <v>89.02508883252284</v>
      </c>
      <c r="Y19" s="42">
        <f t="shared" si="6"/>
        <v>52.761725854449892</v>
      </c>
      <c r="Z19" s="42">
        <f t="shared" si="7"/>
        <v>100.0216218700749</v>
      </c>
      <c r="AA19" s="42">
        <f t="shared" si="8"/>
        <v>25446.599869062175</v>
      </c>
      <c r="AC19" s="19"/>
    </row>
    <row r="20" spans="5:29">
      <c r="F20" s="112">
        <v>-4856.2638624749225</v>
      </c>
      <c r="G20" s="112">
        <v>-17856.533074444578</v>
      </c>
      <c r="H20" s="112">
        <v>-2.9602344339412008E-2</v>
      </c>
      <c r="I20" s="112">
        <v>-5.6412051071026627E-2</v>
      </c>
      <c r="J20" s="112">
        <v>-0.37690032046922906</v>
      </c>
      <c r="K20" s="112">
        <v>-4.3114831605537543E-2</v>
      </c>
      <c r="L20" s="112">
        <v>-135837994.8248992</v>
      </c>
      <c r="M20" s="112">
        <v>-15035.307518051237</v>
      </c>
      <c r="Q20" s="108">
        <v>18</v>
      </c>
      <c r="R20" s="27">
        <f t="shared" si="0"/>
        <v>1.5</v>
      </c>
      <c r="S20" s="18">
        <f t="shared" si="1"/>
        <v>47304000</v>
      </c>
      <c r="T20" s="42">
        <f t="shared" si="2"/>
        <v>22.316111387165407</v>
      </c>
      <c r="U20" s="42">
        <f t="shared" si="9"/>
        <v>3359.0956293643244</v>
      </c>
      <c r="V20" s="42">
        <f t="shared" si="3"/>
        <v>1232.8541022893721</v>
      </c>
      <c r="W20" s="42">
        <f t="shared" si="4"/>
        <v>210.23420325527508</v>
      </c>
      <c r="X20" s="42">
        <f t="shared" si="5"/>
        <v>89.355256366145738</v>
      </c>
      <c r="Y20" s="42">
        <f t="shared" si="6"/>
        <v>52.740917663188753</v>
      </c>
      <c r="Z20" s="42">
        <f t="shared" si="7"/>
        <v>98.10512952602447</v>
      </c>
      <c r="AA20" s="42">
        <f t="shared" si="8"/>
        <v>25381.08239464986</v>
      </c>
      <c r="AC20" s="19"/>
    </row>
    <row r="21" spans="5:29" ht="15">
      <c r="F21" s="112">
        <v>-113.18743566467322</v>
      </c>
      <c r="G21" s="112">
        <v>-416.19138617557803</v>
      </c>
      <c r="H21" s="112">
        <v>-2007.0224182036393</v>
      </c>
      <c r="I21" s="112">
        <v>-3824.7055658243839</v>
      </c>
      <c r="J21" s="112">
        <v>-25553.631291382513</v>
      </c>
      <c r="K21" s="112">
        <v>-2923.1615103598733</v>
      </c>
      <c r="L21" s="112">
        <v>-24.879829292563596</v>
      </c>
      <c r="M21" s="112">
        <v>-1019385454.9937967</v>
      </c>
      <c r="N21" s="109" t="s">
        <v>151</v>
      </c>
      <c r="Q21" s="108">
        <v>19</v>
      </c>
      <c r="R21" s="27">
        <f t="shared" si="0"/>
        <v>1.5833333333333333</v>
      </c>
      <c r="S21" s="18">
        <f t="shared" si="1"/>
        <v>49932000</v>
      </c>
      <c r="T21" s="42">
        <f t="shared" si="2"/>
        <v>22.391886695470816</v>
      </c>
      <c r="U21" s="42">
        <f t="shared" si="9"/>
        <v>3353.0471877693121</v>
      </c>
      <c r="V21" s="42">
        <f t="shared" si="3"/>
        <v>1236.7127099255567</v>
      </c>
      <c r="W21" s="42">
        <f t="shared" si="4"/>
        <v>209.04708193933371</v>
      </c>
      <c r="X21" s="42">
        <f t="shared" si="5"/>
        <v>89.678899628872841</v>
      </c>
      <c r="Y21" s="42">
        <f t="shared" si="6"/>
        <v>52.71560717134696</v>
      </c>
      <c r="Z21" s="42">
        <f t="shared" si="7"/>
        <v>96.225358671149394</v>
      </c>
      <c r="AA21" s="42">
        <f t="shared" si="8"/>
        <v>25315.733608371742</v>
      </c>
      <c r="AC21" s="19"/>
    </row>
    <row r="22" spans="5:29">
      <c r="O22" s="112">
        <f t="array" ref="O22:O29">MMULT($F$2:$M$9,O12:O19)</f>
        <v>2.5437292913125902E-23</v>
      </c>
      <c r="Q22" s="108">
        <v>20</v>
      </c>
      <c r="R22" s="27">
        <f t="shared" si="0"/>
        <v>1.6666666666666667</v>
      </c>
      <c r="S22" s="18">
        <f t="shared" si="1"/>
        <v>52560000</v>
      </c>
      <c r="T22" s="42">
        <f t="shared" si="2"/>
        <v>22.458669373730558</v>
      </c>
      <c r="U22" s="42">
        <f t="shared" si="9"/>
        <v>3346.9678825472811</v>
      </c>
      <c r="V22" s="42">
        <f t="shared" si="3"/>
        <v>1240.5210030134181</v>
      </c>
      <c r="W22" s="42">
        <f t="shared" si="4"/>
        <v>207.90663232343906</v>
      </c>
      <c r="X22" s="42">
        <f t="shared" si="5"/>
        <v>89.996224925911577</v>
      </c>
      <c r="Y22" s="42">
        <f t="shared" si="6"/>
        <v>52.686057742779383</v>
      </c>
      <c r="Z22" s="42">
        <f t="shared" si="7"/>
        <v>94.381605693055192</v>
      </c>
      <c r="AA22" s="42">
        <f t="shared" si="8"/>
        <v>25250.553075905715</v>
      </c>
      <c r="AC22" s="19"/>
    </row>
    <row r="23" spans="5:29">
      <c r="F23" s="114" t="s">
        <v>156</v>
      </c>
      <c r="G23" s="114" t="s">
        <v>157</v>
      </c>
      <c r="H23" s="114" t="s">
        <v>158</v>
      </c>
      <c r="I23" s="114" t="s">
        <v>159</v>
      </c>
      <c r="J23" s="114" t="s">
        <v>160</v>
      </c>
      <c r="K23" s="114" t="s">
        <v>161</v>
      </c>
      <c r="L23" s="114" t="s">
        <v>162</v>
      </c>
      <c r="M23" s="114" t="s">
        <v>163</v>
      </c>
      <c r="O23" s="112">
        <v>6.8713562531399565E-23</v>
      </c>
      <c r="Q23" s="108">
        <v>21</v>
      </c>
      <c r="R23" s="27">
        <f t="shared" si="0"/>
        <v>1.75</v>
      </c>
      <c r="S23" s="18">
        <f t="shared" si="1"/>
        <v>55188000</v>
      </c>
      <c r="T23" s="42">
        <f t="shared" si="2"/>
        <v>22.516744691307252</v>
      </c>
      <c r="U23" s="42">
        <f t="shared" si="9"/>
        <v>3340.8585965622697</v>
      </c>
      <c r="V23" s="42">
        <f t="shared" si="3"/>
        <v>1244.2792253078985</v>
      </c>
      <c r="W23" s="42">
        <f t="shared" si="4"/>
        <v>206.81139129169418</v>
      </c>
      <c r="X23" s="42">
        <f t="shared" si="5"/>
        <v>90.307432321677368</v>
      </c>
      <c r="Y23" s="42">
        <f t="shared" si="6"/>
        <v>52.65252249374538</v>
      </c>
      <c r="Z23" s="42">
        <f t="shared" si="7"/>
        <v>92.573180461109999</v>
      </c>
      <c r="AA23" s="42">
        <f t="shared" si="8"/>
        <v>25185.540364047942</v>
      </c>
      <c r="AC23" s="19"/>
    </row>
    <row r="24" spans="5:29">
      <c r="F24" s="112">
        <f>F2</f>
        <v>-5.7434633429516339E-9</v>
      </c>
      <c r="G24" s="112">
        <f>G3</f>
        <v>-6.9349911725794344E-9</v>
      </c>
      <c r="H24" s="112">
        <f>H4</f>
        <v>-2.71952737369777E-9</v>
      </c>
      <c r="I24" s="112">
        <f>I5</f>
        <v>-1.0560453001086941E-8</v>
      </c>
      <c r="J24" s="112">
        <f>J6</f>
        <v>-2.3381555221817427E-9</v>
      </c>
      <c r="K24" s="112">
        <f>K7</f>
        <v>-6.2828676916701522E-9</v>
      </c>
      <c r="L24" s="112">
        <f>L8</f>
        <v>-7.3617684041897035E-9</v>
      </c>
      <c r="M24" s="112">
        <f>M9</f>
        <v>-9.8098353166876458E-10</v>
      </c>
      <c r="O24" s="112">
        <v>1.0863403552960071E-23</v>
      </c>
      <c r="Q24" s="108">
        <v>22</v>
      </c>
      <c r="R24" s="27">
        <f t="shared" si="0"/>
        <v>1.8333333333333333</v>
      </c>
      <c r="S24" s="18">
        <f t="shared" si="1"/>
        <v>57816000</v>
      </c>
      <c r="T24" s="42">
        <f t="shared" si="2"/>
        <v>22.566390759331455</v>
      </c>
      <c r="U24" s="42">
        <f t="shared" si="9"/>
        <v>3334.7201969488087</v>
      </c>
      <c r="V24" s="42">
        <f t="shared" si="3"/>
        <v>1247.9876221230149</v>
      </c>
      <c r="W24" s="42">
        <f t="shared" si="4"/>
        <v>205.75993668010159</v>
      </c>
      <c r="X24" s="42">
        <f t="shared" si="5"/>
        <v>90.612715811898511</v>
      </c>
      <c r="Y24" s="42">
        <f t="shared" si="6"/>
        <v>52.615244626769865</v>
      </c>
      <c r="Z24" s="42">
        <f t="shared" si="7"/>
        <v>90.799406068123517</v>
      </c>
      <c r="AA24" s="42">
        <f t="shared" si="8"/>
        <v>25120.695040709954</v>
      </c>
      <c r="AC24" s="19"/>
    </row>
    <row r="25" spans="5:29">
      <c r="H25" s="19"/>
      <c r="I25" s="19"/>
      <c r="J25" s="19"/>
      <c r="K25" s="19"/>
      <c r="L25" s="19"/>
      <c r="M25" s="19"/>
      <c r="O25" s="112">
        <v>-1.3968648751372118E-22</v>
      </c>
      <c r="Q25" s="108">
        <v>23</v>
      </c>
      <c r="R25" s="27">
        <f t="shared" si="0"/>
        <v>1.9166666666666667</v>
      </c>
      <c r="S25" s="18">
        <f t="shared" si="1"/>
        <v>60444000</v>
      </c>
      <c r="T25" s="42">
        <f t="shared" si="2"/>
        <v>22.607878693209798</v>
      </c>
      <c r="U25" s="42">
        <f t="shared" si="9"/>
        <v>3328.5535353696091</v>
      </c>
      <c r="V25" s="42">
        <f t="shared" si="3"/>
        <v>1251.646440262004</v>
      </c>
      <c r="W25" s="42">
        <f t="shared" si="4"/>
        <v>204.75088616129241</v>
      </c>
      <c r="X25" s="42">
        <f t="shared" si="5"/>
        <v>90.912263491122758</v>
      </c>
      <c r="Y25" s="42">
        <f t="shared" si="6"/>
        <v>52.574457754515805</v>
      </c>
      <c r="Z25" s="42">
        <f t="shared" si="7"/>
        <v>89.059618576975581</v>
      </c>
      <c r="AA25" s="42">
        <f t="shared" si="8"/>
        <v>25056.016674915783</v>
      </c>
      <c r="AC25" s="19"/>
    </row>
    <row r="26" spans="5:29">
      <c r="E26" s="111"/>
      <c r="F26" s="111"/>
      <c r="O26" s="112">
        <v>1.9799224940911923E-23</v>
      </c>
      <c r="Q26" s="108">
        <v>24</v>
      </c>
      <c r="R26" s="27">
        <f t="shared" si="0"/>
        <v>2</v>
      </c>
      <c r="S26" s="18">
        <f t="shared" si="1"/>
        <v>63072000</v>
      </c>
      <c r="T26" s="42">
        <f t="shared" si="2"/>
        <v>22.641472771639357</v>
      </c>
      <c r="U26" s="42">
        <f t="shared" si="9"/>
        <v>3322.3594482692411</v>
      </c>
      <c r="V26" s="42">
        <f t="shared" si="3"/>
        <v>1255.2559279489376</v>
      </c>
      <c r="W26" s="42">
        <f t="shared" si="4"/>
        <v>203.78289615952747</v>
      </c>
      <c r="X26" s="42">
        <f t="shared" si="5"/>
        <v>91.206257715747199</v>
      </c>
      <c r="Y26" s="42">
        <f t="shared" si="6"/>
        <v>52.530386213953889</v>
      </c>
      <c r="Z26" s="42">
        <f t="shared" si="7"/>
        <v>87.353166772099485</v>
      </c>
      <c r="AA26" s="42">
        <f t="shared" si="8"/>
        <v>24991.504836799086</v>
      </c>
      <c r="AC26" s="19"/>
    </row>
    <row r="27" spans="5:29">
      <c r="E27" s="111"/>
      <c r="F27" s="111"/>
      <c r="O27" s="112">
        <v>2.9067081350617313E-23</v>
      </c>
      <c r="Q27" s="108">
        <v>25</v>
      </c>
      <c r="R27" s="27">
        <f t="shared" si="0"/>
        <v>2.0833333333333335</v>
      </c>
      <c r="S27" s="18">
        <f t="shared" si="1"/>
        <v>65700000</v>
      </c>
      <c r="T27" s="42">
        <f t="shared" si="2"/>
        <v>22.667430592201327</v>
      </c>
      <c r="U27" s="42">
        <f t="shared" si="9"/>
        <v>3316.1387571238706</v>
      </c>
      <c r="V27" s="42">
        <f t="shared" si="3"/>
        <v>1258.8163347617656</v>
      </c>
      <c r="W27" s="42">
        <f t="shared" si="4"/>
        <v>202.85466079514566</v>
      </c>
      <c r="X27" s="42">
        <f t="shared" si="5"/>
        <v>91.494875262695018</v>
      </c>
      <c r="Y27" s="42">
        <f t="shared" si="6"/>
        <v>52.483245371107159</v>
      </c>
      <c r="Z27" s="42">
        <f t="shared" si="7"/>
        <v>85.679411915727016</v>
      </c>
      <c r="AA27" s="42">
        <f t="shared" si="8"/>
        <v>24927.159097600317</v>
      </c>
      <c r="AC27" s="19"/>
    </row>
    <row r="28" spans="5:29" ht="15">
      <c r="E28" s="110" t="s">
        <v>187</v>
      </c>
      <c r="F28" s="111">
        <f>1000000000</f>
        <v>1000000000</v>
      </c>
      <c r="O28" s="112">
        <v>-5.5269085728956937E-23</v>
      </c>
      <c r="Q28" s="108">
        <v>26</v>
      </c>
      <c r="R28" s="27">
        <f t="shared" si="0"/>
        <v>2.1666666666666665</v>
      </c>
      <c r="S28" s="18">
        <f t="shared" si="1"/>
        <v>68328000</v>
      </c>
      <c r="T28" s="42">
        <f t="shared" si="2"/>
        <v>22.686003223604615</v>
      </c>
      <c r="U28" s="42">
        <f t="shared" si="9"/>
        <v>3309.8922686871001</v>
      </c>
      <c r="V28" s="42">
        <f t="shared" si="3"/>
        <v>1262.3279115667701</v>
      </c>
      <c r="W28" s="42">
        <f t="shared" si="4"/>
        <v>201.96491085765794</v>
      </c>
      <c r="X28" s="42">
        <f t="shared" si="5"/>
        <v>91.778287483852523</v>
      </c>
      <c r="Y28" s="42">
        <f t="shared" si="6"/>
        <v>52.433241916641975</v>
      </c>
      <c r="Z28" s="42">
        <f t="shared" si="7"/>
        <v>84.037727508804181</v>
      </c>
      <c r="AA28" s="42">
        <f t="shared" si="8"/>
        <v>24862.979029663846</v>
      </c>
      <c r="AC28" s="19"/>
    </row>
    <row r="29" spans="5:29">
      <c r="F29" s="113">
        <f t="array" ref="F29:M36">F2:M9*F28</f>
        <v>-5.7434633429516335</v>
      </c>
      <c r="G29" s="113">
        <v>0</v>
      </c>
      <c r="H29" s="113">
        <v>0</v>
      </c>
      <c r="I29" s="113">
        <v>0</v>
      </c>
      <c r="J29" s="113">
        <v>0</v>
      </c>
      <c r="K29" s="113">
        <v>0</v>
      </c>
      <c r="L29" s="113">
        <v>1.6181967557799686</v>
      </c>
      <c r="M29" s="113">
        <v>0</v>
      </c>
      <c r="O29" s="112">
        <v>-2.5098645257767877E-23</v>
      </c>
      <c r="Q29" s="108">
        <v>27</v>
      </c>
      <c r="R29" s="27">
        <f t="shared" si="0"/>
        <v>2.25</v>
      </c>
      <c r="S29" s="18">
        <f t="shared" si="1"/>
        <v>70956000</v>
      </c>
      <c r="T29" s="42">
        <f t="shared" si="2"/>
        <v>22.697435354649642</v>
      </c>
      <c r="U29" s="42">
        <f t="shared" si="9"/>
        <v>3303.6207752319788</v>
      </c>
      <c r="V29" s="42">
        <f t="shared" si="3"/>
        <v>1265.7909104544076</v>
      </c>
      <c r="W29" s="42">
        <f t="shared" si="4"/>
        <v>201.11241280671155</v>
      </c>
      <c r="X29" s="42">
        <f t="shared" si="5"/>
        <v>92.0566604563748</v>
      </c>
      <c r="Y29" s="42">
        <f t="shared" si="6"/>
        <v>52.380574152567945</v>
      </c>
      <c r="Z29" s="42">
        <f t="shared" si="7"/>
        <v>82.427499056487875</v>
      </c>
      <c r="AA29" s="42">
        <f t="shared" si="8"/>
        <v>24798.964206435132</v>
      </c>
      <c r="AC29" s="19"/>
    </row>
    <row r="30" spans="5:29">
      <c r="F30" s="112">
        <v>1.561992653419539</v>
      </c>
      <c r="G30" s="112">
        <v>-6.9349911725794344</v>
      </c>
      <c r="H30" s="113">
        <v>0</v>
      </c>
      <c r="I30" s="113">
        <v>0</v>
      </c>
      <c r="J30" s="113">
        <v>0</v>
      </c>
      <c r="K30" s="113">
        <v>0</v>
      </c>
      <c r="L30" s="113">
        <v>0</v>
      </c>
      <c r="M30" s="112">
        <v>0.82599399375528604</v>
      </c>
      <c r="Q30" s="108">
        <v>28</v>
      </c>
      <c r="R30" s="27">
        <f t="shared" si="0"/>
        <v>2.3333333333333335</v>
      </c>
      <c r="S30" s="18">
        <f t="shared" si="1"/>
        <v>73584000</v>
      </c>
      <c r="T30" s="42">
        <f t="shared" si="2"/>
        <v>22.70196543998037</v>
      </c>
      <c r="U30" s="42">
        <f t="shared" si="9"/>
        <v>3297.3250547892335</v>
      </c>
      <c r="V30" s="42">
        <f t="shared" si="3"/>
        <v>1269.2055846765102</v>
      </c>
      <c r="W30" s="42">
        <f t="shared" si="4"/>
        <v>200.29596780016152</v>
      </c>
      <c r="X30" s="42">
        <f t="shared" si="5"/>
        <v>92.330155128983563</v>
      </c>
      <c r="Y30" s="42">
        <f t="shared" si="6"/>
        <v>52.325432270301349</v>
      </c>
      <c r="Z30" s="42">
        <f t="shared" si="7"/>
        <v>80.848123838135763</v>
      </c>
      <c r="AA30" s="42">
        <f t="shared" si="8"/>
        <v>24735.114202457888</v>
      </c>
      <c r="AC30" s="19"/>
    </row>
    <row r="31" spans="5:29" ht="15">
      <c r="E31" s="110"/>
      <c r="F31" s="113">
        <v>0</v>
      </c>
      <c r="G31" s="112">
        <v>1.4380810506627284</v>
      </c>
      <c r="H31" s="112">
        <v>-2.7195273736977699</v>
      </c>
      <c r="I31" s="113">
        <v>0</v>
      </c>
      <c r="J31" s="113">
        <v>0</v>
      </c>
      <c r="K31" s="113">
        <v>0</v>
      </c>
      <c r="L31" s="113">
        <v>0</v>
      </c>
      <c r="M31" s="113">
        <v>0</v>
      </c>
      <c r="N31" s="109" t="s">
        <v>152</v>
      </c>
      <c r="Q31" s="108">
        <v>29</v>
      </c>
      <c r="R31" s="27">
        <f t="shared" si="0"/>
        <v>2.4166666666666665</v>
      </c>
      <c r="S31" s="18">
        <f t="shared" si="1"/>
        <v>76212000</v>
      </c>
      <c r="T31" s="42">
        <f t="shared" si="2"/>
        <v>22.699825842691212</v>
      </c>
      <c r="U31" s="42">
        <f t="shared" si="9"/>
        <v>3291.0058713817821</v>
      </c>
      <c r="V31" s="42">
        <f t="shared" si="3"/>
        <v>1272.5721885848241</v>
      </c>
      <c r="W31" s="42">
        <f t="shared" si="4"/>
        <v>199.514410748518</v>
      </c>
      <c r="X31" s="42">
        <f t="shared" si="5"/>
        <v>92.598927464346161</v>
      </c>
      <c r="Y31" s="42">
        <f t="shared" si="6"/>
        <v>52.267998620342453</v>
      </c>
      <c r="Z31" s="42">
        <f t="shared" si="7"/>
        <v>79.299010681703479</v>
      </c>
      <c r="AA31" s="42">
        <f t="shared" si="8"/>
        <v>24671.428593371256</v>
      </c>
      <c r="AC31" s="19"/>
    </row>
    <row r="32" spans="5:29">
      <c r="F32" s="113">
        <v>0</v>
      </c>
      <c r="G32" s="113">
        <v>0</v>
      </c>
      <c r="H32" s="112">
        <v>1.427077800367472</v>
      </c>
      <c r="I32" s="112">
        <v>-10.560453001086941</v>
      </c>
      <c r="J32" s="113">
        <v>0</v>
      </c>
      <c r="K32" s="113">
        <v>0</v>
      </c>
      <c r="L32" s="113">
        <v>0</v>
      </c>
      <c r="M32" s="113">
        <v>0</v>
      </c>
      <c r="O32" s="112">
        <f t="array" ref="O32:O39">MMULT($F$2:$M$9,O22:O29)</f>
        <v>-2.3553441461198508E-31</v>
      </c>
      <c r="Q32" s="108">
        <v>30</v>
      </c>
      <c r="R32" s="27">
        <f t="shared" si="0"/>
        <v>2.5</v>
      </c>
      <c r="S32" s="18">
        <f t="shared" si="1"/>
        <v>78840000</v>
      </c>
      <c r="T32" s="42">
        <f t="shared" si="2"/>
        <v>22.691242973854813</v>
      </c>
      <c r="U32" s="42">
        <f t="shared" si="9"/>
        <v>3284.6639752555707</v>
      </c>
      <c r="V32" s="42">
        <f t="shared" si="3"/>
        <v>1275.8909775708596</v>
      </c>
      <c r="W32" s="42">
        <f t="shared" si="4"/>
        <v>198.76660939504762</v>
      </c>
      <c r="X32" s="42">
        <f t="shared" si="5"/>
        <v>92.863128577654606</v>
      </c>
      <c r="Y32" s="42">
        <f t="shared" si="6"/>
        <v>52.208447973806102</v>
      </c>
      <c r="Z32" s="42">
        <f t="shared" si="7"/>
        <v>77.779579742464463</v>
      </c>
      <c r="AA32" s="42">
        <f t="shared" si="8"/>
        <v>24607.906955906965</v>
      </c>
      <c r="AC32" s="19"/>
    </row>
    <row r="33" spans="2:29">
      <c r="F33" s="113">
        <v>0</v>
      </c>
      <c r="G33" s="113">
        <v>0</v>
      </c>
      <c r="H33" s="113">
        <v>0</v>
      </c>
      <c r="I33" s="112">
        <v>1.4051025590107522</v>
      </c>
      <c r="J33" s="112">
        <v>-2.3381555221817427</v>
      </c>
      <c r="K33" s="112">
        <v>0.71871730485394103</v>
      </c>
      <c r="L33" s="113">
        <v>0</v>
      </c>
      <c r="M33" s="113">
        <v>0</v>
      </c>
      <c r="O33" s="112">
        <v>-4.5752641517286831E-31</v>
      </c>
      <c r="Q33" s="108">
        <v>31</v>
      </c>
      <c r="R33" s="27">
        <f t="shared" si="0"/>
        <v>2.5833333333333335</v>
      </c>
      <c r="S33" s="18">
        <f t="shared" si="1"/>
        <v>81468000</v>
      </c>
      <c r="T33" s="42">
        <f t="shared" si="2"/>
        <v>22.676437429034593</v>
      </c>
      <c r="U33" s="42">
        <f t="shared" si="9"/>
        <v>3278.3001031068084</v>
      </c>
      <c r="V33" s="42">
        <f t="shared" si="3"/>
        <v>1279.1622080070401</v>
      </c>
      <c r="W33" s="42">
        <f t="shared" si="4"/>
        <v>198.05146342083506</v>
      </c>
      <c r="X33" s="42">
        <f t="shared" si="5"/>
        <v>93.122904871498577</v>
      </c>
      <c r="Y33" s="42">
        <f t="shared" si="6"/>
        <v>52.1469477760415</v>
      </c>
      <c r="Z33" s="42">
        <f t="shared" si="7"/>
        <v>76.289262285969684</v>
      </c>
      <c r="AA33" s="42">
        <f t="shared" si="8"/>
        <v>24544.548867886559</v>
      </c>
      <c r="AC33" s="19"/>
    </row>
    <row r="34" spans="2:29">
      <c r="F34" s="113">
        <v>0</v>
      </c>
      <c r="G34" s="113">
        <v>0</v>
      </c>
      <c r="H34" s="113">
        <v>0</v>
      </c>
      <c r="I34" s="113">
        <v>1.5343492432592516</v>
      </c>
      <c r="J34" s="113">
        <v>0</v>
      </c>
      <c r="K34" s="112">
        <v>-6.2828676916701518</v>
      </c>
      <c r="L34" s="113">
        <v>0</v>
      </c>
      <c r="M34" s="113">
        <v>0</v>
      </c>
      <c r="O34" s="112">
        <v>6.9272348866133646E-32</v>
      </c>
      <c r="Q34" s="108">
        <v>32</v>
      </c>
      <c r="R34" s="27">
        <f t="shared" si="0"/>
        <v>2.6666666666666665</v>
      </c>
      <c r="S34" s="18">
        <f t="shared" si="1"/>
        <v>84096000</v>
      </c>
      <c r="T34" s="42">
        <f t="shared" ref="T34:T65" si="10">$F$148*EXP($F$24*$S34)+$G$148*EXP($G$24*$S34)+$H$148*EXP($H$24*$S34)+$I$148*EXP($I$24*$S34)+$J$148*EXP($J$24*$S34)+$K$148*EXP($K$24*$S34)+$L$148*EXP($L$24*$S34)+$M$148*EXP($M$24*$S34)</f>
        <v>22.655624121845094</v>
      </c>
      <c r="U34" s="42">
        <f t="shared" ref="U34:U65" si="11">$F$149*EXP($F$24*$S34)+$G$149*EXP($G$24*$S34)+$H$149*EXP($H$24*$S34)+$I$149*EXP($I$24*$S34)+$J$149*EXP($J$24*$S34)+$K$149*EXP($K$24*$S34)+$L$149*EXP($L$24*$S34)+$M$149*EXP($M$24*$S34)</f>
        <v>3271.9149783056291</v>
      </c>
      <c r="V34" s="42">
        <f t="shared" ref="V34:V65" si="12">$F$150*EXP($F$24*$S34)+$G$150*EXP($G$24*$S34)+$H$150*EXP($H$24*$S34)+$I$150*EXP($I$24*$S34)+$J$150*EXP($J$24*$S34)+$K$150*EXP($K$24*$S34)+$L$150*EXP($L$24*$S34)+$M$150*EXP($M$24*$S34)</f>
        <v>1282.3861371891096</v>
      </c>
      <c r="W34" s="42">
        <f t="shared" ref="W34:W65" si="13">$F$151*EXP($F$24*$S34)+$G$151*EXP($G$24*$S34)+$H$151*EXP($H$24*$S34)+$I$151*EXP($I$24*$S34)+$J$151*EXP($J$24*$S34)+$K$151*EXP($K$24*$S34)+$L$151*EXP($L$24*$S34)+$M$151*EXP($M$24*$S34)</f>
        <v>197.36790357412391</v>
      </c>
      <c r="X34" s="42">
        <f t="shared" ref="X34:X65" si="14">$F$152*EXP($F$24*$S34)+$G$152*EXP($G$24*$S34)+$H$152*EXP($H$24*$S34)+$I$152*EXP($I$24*$S34)+$J$152*EXP($J$24*$S34)+$K$152*EXP($K$24*$S34)+$L$152*EXP($L$24*$S34)+$M$152*EXP($M$24*$S34)</f>
        <v>93.378398167135799</v>
      </c>
      <c r="Y34" s="42">
        <f t="shared" ref="Y34:Y65" si="15">$F$153*EXP($F$24*$S34)+$G$153*EXP($G$24*$S34)+$H$153*EXP($H$24*$S34)+$I$153*EXP($I$24*$S34)+$J$153*EXP($J$24*$S34)+$K$153*EXP($K$24*$S34)+$L$153*EXP($L$24*$S34)+$M$153*EXP($M$24*$S34)</f>
        <v>52.083658392567855</v>
      </c>
      <c r="Z34" s="42">
        <f t="shared" ref="Z34:Z65" si="16">$F$154*EXP($F$24*$S34)+$G$154*EXP($G$24*$S34)+$H$154*EXP($H$24*$S34)+$I$154*EXP($I$24*$S34)+$J$154*EXP($J$24*$S34)+$K$154*EXP($K$24*$S34)+$L$154*EXP($L$24*$S34)+$M$154*EXP($M$24*$S34)</f>
        <v>74.827500475166062</v>
      </c>
      <c r="AA34" s="42">
        <f t="shared" ref="AA34:AA65" si="17">$F$155*EXP($F$24*$S34)+$G$155*EXP($G$24*$S34)+$H$155*EXP($H$24*$S34)+$I$155*EXP($I$24*$S34)+$J$155*EXP($J$24*$S34)+$K$155*EXP($K$24*$S34)+$L$155*EXP($L$24*$S34)+$M$155*EXP($M$24*$S34)</f>
        <v>24481.353908218542</v>
      </c>
      <c r="AC34" s="19"/>
    </row>
    <row r="35" spans="2:29">
      <c r="F35" s="113">
        <v>0</v>
      </c>
      <c r="G35" s="112">
        <v>9.1163637120235494E-4</v>
      </c>
      <c r="H35" s="113">
        <v>0</v>
      </c>
      <c r="I35" s="113">
        <v>0</v>
      </c>
      <c r="J35" s="113">
        <v>0</v>
      </c>
      <c r="K35" s="113">
        <v>0</v>
      </c>
      <c r="L35" s="112">
        <v>-7.3617684041897036</v>
      </c>
      <c r="M35" s="113">
        <v>0</v>
      </c>
      <c r="O35" s="112">
        <v>1.4906555083224326E-30</v>
      </c>
      <c r="Q35" s="108">
        <v>33</v>
      </c>
      <c r="R35" s="27">
        <f t="shared" si="0"/>
        <v>2.75</v>
      </c>
      <c r="S35" s="18">
        <f t="shared" si="1"/>
        <v>86724000</v>
      </c>
      <c r="T35" s="42">
        <f t="shared" si="10"/>
        <v>22.62901241462157</v>
      </c>
      <c r="U35" s="42">
        <f t="shared" si="11"/>
        <v>3265.5093111162573</v>
      </c>
      <c r="V35" s="42">
        <f t="shared" si="12"/>
        <v>1285.5630232797903</v>
      </c>
      <c r="W35" s="42">
        <f t="shared" si="13"/>
        <v>196.71489082327886</v>
      </c>
      <c r="X35" s="42">
        <f t="shared" si="14"/>
        <v>93.629745832245078</v>
      </c>
      <c r="Y35" s="42">
        <f t="shared" si="15"/>
        <v>52.018733347549158</v>
      </c>
      <c r="Z35" s="42">
        <f t="shared" si="16"/>
        <v>73.393747161593865</v>
      </c>
      <c r="AA35" s="42">
        <f t="shared" si="17"/>
        <v>24418.321656895627</v>
      </c>
      <c r="AC35" s="19"/>
    </row>
    <row r="36" spans="2:29">
      <c r="F36" s="113">
        <v>0</v>
      </c>
      <c r="G36" s="113">
        <v>0</v>
      </c>
      <c r="H36" s="113">
        <v>0</v>
      </c>
      <c r="I36" s="113">
        <v>0</v>
      </c>
      <c r="J36" s="112">
        <v>5.8612141092503411E-5</v>
      </c>
      <c r="K36" s="113">
        <v>0</v>
      </c>
      <c r="L36" s="113">
        <v>0</v>
      </c>
      <c r="M36" s="112">
        <v>-0.98098353166876462</v>
      </c>
      <c r="O36" s="112">
        <v>-2.2167649382697888E-31</v>
      </c>
      <c r="Q36" s="108">
        <v>34</v>
      </c>
      <c r="R36" s="27">
        <f t="shared" si="0"/>
        <v>2.8333333333333335</v>
      </c>
      <c r="S36" s="18">
        <f t="shared" si="1"/>
        <v>89352000</v>
      </c>
      <c r="T36" s="42">
        <f t="shared" si="10"/>
        <v>22.596806246259348</v>
      </c>
      <c r="U36" s="42">
        <f t="shared" si="11"/>
        <v>3259.0837989137067</v>
      </c>
      <c r="V36" s="42">
        <f t="shared" si="12"/>
        <v>1288.6931252536654</v>
      </c>
      <c r="W36" s="42">
        <f t="shared" si="13"/>
        <v>196.09141553272505</v>
      </c>
      <c r="X36" s="42">
        <f t="shared" si="14"/>
        <v>93.877080905274795</v>
      </c>
      <c r="Y36" s="42">
        <f t="shared" si="15"/>
        <v>51.952319555022328</v>
      </c>
      <c r="Z36" s="42">
        <f t="shared" si="16"/>
        <v>71.987465680584904</v>
      </c>
      <c r="AA36" s="42">
        <f t="shared" si="17"/>
        <v>24355.451694991905</v>
      </c>
      <c r="AC36" s="19"/>
    </row>
    <row r="37" spans="2:29">
      <c r="O37" s="112">
        <v>-3.9695248271916252E-31</v>
      </c>
      <c r="Q37" s="108">
        <v>35</v>
      </c>
      <c r="R37" s="27">
        <f t="shared" si="0"/>
        <v>2.9166666666666665</v>
      </c>
      <c r="S37" s="18">
        <f t="shared" si="1"/>
        <v>91980000</v>
      </c>
      <c r="T37" s="42">
        <f t="shared" si="10"/>
        <v>22.559204257282175</v>
      </c>
      <c r="U37" s="42">
        <f t="shared" si="11"/>
        <v>3252.6391263970827</v>
      </c>
      <c r="V37" s="42">
        <f t="shared" si="12"/>
        <v>1291.7767028432606</v>
      </c>
      <c r="W37" s="42">
        <f t="shared" si="13"/>
        <v>195.4964966612427</v>
      </c>
      <c r="X37" s="42">
        <f t="shared" si="14"/>
        <v>94.120532216455672</v>
      </c>
      <c r="Y37" s="42">
        <f t="shared" si="15"/>
        <v>51.88455754308805</v>
      </c>
      <c r="Z37" s="42">
        <f t="shared" si="16"/>
        <v>70.608129650384925</v>
      </c>
      <c r="AA37" s="42">
        <f t="shared" si="17"/>
        <v>24292.743604660081</v>
      </c>
      <c r="AC37" s="19"/>
    </row>
    <row r="38" spans="2:29">
      <c r="O38" s="112">
        <v>4.0694085083068571E-31</v>
      </c>
      <c r="Q38" s="108">
        <v>36</v>
      </c>
      <c r="R38" s="27">
        <f t="shared" si="0"/>
        <v>3</v>
      </c>
      <c r="S38" s="18">
        <f t="shared" si="1"/>
        <v>94608000</v>
      </c>
      <c r="T38" s="42">
        <f t="shared" si="10"/>
        <v>22.51639991219696</v>
      </c>
      <c r="U38" s="42">
        <f t="shared" si="11"/>
        <v>3246.1759657995226</v>
      </c>
      <c r="V38" s="42">
        <f t="shared" si="12"/>
        <v>1294.8140164863109</v>
      </c>
      <c r="W38" s="42">
        <f t="shared" si="13"/>
        <v>194.92918098200741</v>
      </c>
      <c r="X38" s="42">
        <f t="shared" si="14"/>
        <v>94.360224505582835</v>
      </c>
      <c r="Y38" s="42">
        <f t="shared" si="15"/>
        <v>51.815581671268049</v>
      </c>
      <c r="Z38" s="42">
        <f t="shared" si="16"/>
        <v>69.255222775124906</v>
      </c>
      <c r="AA38" s="42">
        <f t="shared" si="17"/>
        <v>24230.196969128698</v>
      </c>
      <c r="AC38" s="19"/>
    </row>
    <row r="39" spans="2:29">
      <c r="O39" s="112">
        <v>2.4622518140032382E-32</v>
      </c>
      <c r="Q39" s="108">
        <v>37</v>
      </c>
      <c r="R39" s="27">
        <f t="shared" si="0"/>
        <v>3.0833333333333335</v>
      </c>
      <c r="S39" s="18">
        <f t="shared" si="1"/>
        <v>97236000</v>
      </c>
      <c r="T39" s="42">
        <f t="shared" si="10"/>
        <v>22.468581619192264</v>
      </c>
      <c r="U39" s="42">
        <f t="shared" si="11"/>
        <v>3239.6949770948358</v>
      </c>
      <c r="V39" s="42">
        <f t="shared" si="12"/>
        <v>1297.805327274182</v>
      </c>
      <c r="W39" s="42">
        <f t="shared" si="13"/>
        <v>194.3885423237864</v>
      </c>
      <c r="X39" s="42">
        <f t="shared" si="14"/>
        <v>94.596278536645912</v>
      </c>
      <c r="Y39" s="42">
        <f t="shared" si="15"/>
        <v>51.745520341226666</v>
      </c>
      <c r="Z39" s="42">
        <f t="shared" si="16"/>
        <v>67.928238651567682</v>
      </c>
      <c r="AA39" s="42">
        <f t="shared" si="17"/>
        <v>24167.811372699362</v>
      </c>
      <c r="AC39" s="19"/>
    </row>
    <row r="40" spans="2:29">
      <c r="Q40" s="108">
        <v>38</v>
      </c>
      <c r="R40" s="27">
        <f t="shared" si="0"/>
        <v>3.1666666666666665</v>
      </c>
      <c r="S40" s="18">
        <f t="shared" si="1"/>
        <v>99864000</v>
      </c>
      <c r="T40" s="42">
        <f t="shared" si="10"/>
        <v>22.415932847235894</v>
      </c>
      <c r="U40" s="42">
        <f t="shared" si="11"/>
        <v>3233.1968082008834</v>
      </c>
      <c r="V40" s="42">
        <f t="shared" si="12"/>
        <v>1300.7508969014352</v>
      </c>
      <c r="W40" s="42">
        <f t="shared" si="13"/>
        <v>193.87368083271517</v>
      </c>
      <c r="X40" s="42">
        <f t="shared" si="14"/>
        <v>94.828811209389926</v>
      </c>
      <c r="Y40" s="42">
        <f t="shared" si="15"/>
        <v>51.674496201048285</v>
      </c>
      <c r="Z40" s="42">
        <f t="shared" si="16"/>
        <v>66.626680579557373</v>
      </c>
      <c r="AA40" s="42">
        <f t="shared" si="17"/>
        <v>24105.586400743974</v>
      </c>
      <c r="AC40" s="19"/>
    </row>
    <row r="41" spans="2:29" ht="15">
      <c r="F41" s="114" t="s">
        <v>156</v>
      </c>
      <c r="G41" s="114" t="s">
        <v>157</v>
      </c>
      <c r="H41" s="114" t="s">
        <v>158</v>
      </c>
      <c r="I41" s="114" t="s">
        <v>159</v>
      </c>
      <c r="J41" s="114" t="s">
        <v>160</v>
      </c>
      <c r="K41" s="114" t="s">
        <v>161</v>
      </c>
      <c r="L41" s="114" t="s">
        <v>162</v>
      </c>
      <c r="M41" s="114" t="s">
        <v>163</v>
      </c>
      <c r="N41" s="109" t="s">
        <v>153</v>
      </c>
      <c r="Q41" s="108">
        <v>39</v>
      </c>
      <c r="R41" s="27">
        <f t="shared" si="0"/>
        <v>3.25</v>
      </c>
      <c r="S41" s="18">
        <f t="shared" si="1"/>
        <v>102492000</v>
      </c>
      <c r="T41" s="42">
        <f t="shared" si="10"/>
        <v>22.358632240625667</v>
      </c>
      <c r="U41" s="42">
        <f t="shared" si="11"/>
        <v>3226.682095179754</v>
      </c>
      <c r="V41" s="42">
        <f t="shared" si="12"/>
        <v>1303.6509876165082</v>
      </c>
      <c r="W41" s="42">
        <f t="shared" si="13"/>
        <v>193.3837222540966</v>
      </c>
      <c r="X41" s="42">
        <f t="shared" si="14"/>
        <v>95.0579356678968</v>
      </c>
      <c r="Y41" s="42">
        <f t="shared" si="15"/>
        <v>51.602626343257555</v>
      </c>
      <c r="Z41" s="42">
        <f t="shared" si="16"/>
        <v>65.35006137610074</v>
      </c>
      <c r="AA41" s="42">
        <f t="shared" si="17"/>
        <v>24043.521639701983</v>
      </c>
      <c r="AC41" s="19"/>
    </row>
    <row r="42" spans="2:29" ht="15">
      <c r="C42" s="110" t="s">
        <v>164</v>
      </c>
      <c r="D42" s="110" t="s">
        <v>165</v>
      </c>
      <c r="E42" s="111"/>
      <c r="F42" s="112">
        <f>F29</f>
        <v>-5.7434633429516335</v>
      </c>
      <c r="G42" s="112">
        <f>G30</f>
        <v>-6.9349911725794344</v>
      </c>
      <c r="H42" s="112">
        <f>H31</f>
        <v>-2.7195273736977699</v>
      </c>
      <c r="I42" s="112">
        <f>I32</f>
        <v>-10.560453001086941</v>
      </c>
      <c r="J42" s="112">
        <f>J33</f>
        <v>-2.3381555221817427</v>
      </c>
      <c r="K42" s="112">
        <f>K34</f>
        <v>-6.2828676916701518</v>
      </c>
      <c r="L42" s="112">
        <f>L35</f>
        <v>-7.3617684041897036</v>
      </c>
      <c r="M42" s="112">
        <f>M36</f>
        <v>-0.98098353166876462</v>
      </c>
      <c r="O42" s="112">
        <f t="array" ref="O42:O49">MMULT($F$2:$M$9,O32:O39)</f>
        <v>2.0112936409360638E-39</v>
      </c>
      <c r="Q42" s="108">
        <v>40</v>
      </c>
      <c r="R42" s="27">
        <f t="shared" si="0"/>
        <v>3.3333333333333335</v>
      </c>
      <c r="S42" s="18">
        <f t="shared" si="1"/>
        <v>105120000</v>
      </c>
      <c r="T42" s="42">
        <f t="shared" si="10"/>
        <v>22.296853731047378</v>
      </c>
      <c r="U42" s="42">
        <f t="shared" si="11"/>
        <v>3220.1514624347774</v>
      </c>
      <c r="V42" s="42">
        <f t="shared" si="12"/>
        <v>1306.5058621734993</v>
      </c>
      <c r="W42" s="42">
        <f t="shared" si="13"/>
        <v>192.91781723367694</v>
      </c>
      <c r="X42" s="42">
        <f t="shared" si="14"/>
        <v>95.283761406254655</v>
      </c>
      <c r="Y42" s="42">
        <f t="shared" si="15"/>
        <v>51.530022496764119</v>
      </c>
      <c r="Z42" s="42">
        <f t="shared" si="16"/>
        <v>64.097903193011007</v>
      </c>
      <c r="AA42" s="42">
        <f t="shared" si="17"/>
        <v>23981.616677077636</v>
      </c>
      <c r="AC42" s="19"/>
    </row>
    <row r="43" spans="2:29">
      <c r="B43" s="116"/>
      <c r="C43" s="111">
        <f t="array" ref="C43:C51">[2]!MatCharPoly(F29:M36)</f>
        <v>121357.70731894136</v>
      </c>
      <c r="D43" s="115" t="s">
        <v>166</v>
      </c>
      <c r="E43" s="115" t="s">
        <v>120</v>
      </c>
      <c r="H43" s="19"/>
      <c r="I43" s="19"/>
      <c r="J43" s="19"/>
      <c r="K43" s="19"/>
      <c r="L43" s="19"/>
      <c r="M43" s="19"/>
      <c r="O43" s="112">
        <v>2.8253766772891602E-39</v>
      </c>
      <c r="Q43" s="108">
        <v>41</v>
      </c>
      <c r="R43" s="27">
        <f t="shared" si="0"/>
        <v>3.4166666666666665</v>
      </c>
      <c r="S43" s="18">
        <f t="shared" si="1"/>
        <v>107748000</v>
      </c>
      <c r="T43" s="42">
        <f t="shared" si="10"/>
        <v>22.230766647191636</v>
      </c>
      <c r="U43" s="42">
        <f t="shared" si="11"/>
        <v>3213.6055229044227</v>
      </c>
      <c r="V43" s="42">
        <f t="shared" si="12"/>
        <v>1309.3157837850263</v>
      </c>
      <c r="W43" s="42">
        <f t="shared" si="13"/>
        <v>192.47514063787074</v>
      </c>
      <c r="X43" s="42">
        <f t="shared" si="14"/>
        <v>95.506394371399779</v>
      </c>
      <c r="Y43" s="42">
        <f t="shared" si="15"/>
        <v>51.456791212908087</v>
      </c>
      <c r="Z43" s="42">
        <f t="shared" si="16"/>
        <v>62.86973733804556</v>
      </c>
      <c r="AA43" s="42">
        <f t="shared" si="17"/>
        <v>23919.871101437231</v>
      </c>
      <c r="AC43" s="19"/>
    </row>
    <row r="44" spans="2:29">
      <c r="B44" s="116"/>
      <c r="C44" s="111">
        <v>306159.7644871588</v>
      </c>
      <c r="D44" s="111">
        <f t="array" ref="D44:E51">[2]!Poly_Roots(C43:C51)</f>
        <v>-10.560452950178306</v>
      </c>
      <c r="E44" s="111">
        <v>0</v>
      </c>
      <c r="F44" s="114" t="s">
        <v>155</v>
      </c>
      <c r="I44" s="19"/>
      <c r="J44" s="19"/>
      <c r="K44" s="19"/>
      <c r="L44" s="19"/>
      <c r="M44" s="19"/>
      <c r="O44" s="112">
        <v>-8.4634811681954232E-40</v>
      </c>
      <c r="Q44" s="108">
        <v>42</v>
      </c>
      <c r="R44" s="27">
        <f t="shared" si="0"/>
        <v>3.5</v>
      </c>
      <c r="S44" s="18">
        <f t="shared" si="1"/>
        <v>110376000</v>
      </c>
      <c r="T44" s="42">
        <f t="shared" si="10"/>
        <v>22.160535821980893</v>
      </c>
      <c r="U44" s="42">
        <f t="shared" si="11"/>
        <v>3207.044878253133</v>
      </c>
      <c r="V44" s="42">
        <f t="shared" si="12"/>
        <v>1312.0810160761469</v>
      </c>
      <c r="W44" s="42">
        <f t="shared" si="13"/>
        <v>192.05489089241991</v>
      </c>
      <c r="X44" s="42">
        <f t="shared" si="14"/>
        <v>95.725937063210154</v>
      </c>
      <c r="Y44" s="42">
        <f t="shared" si="15"/>
        <v>51.383034045776697</v>
      </c>
      <c r="Z44" s="42">
        <f t="shared" si="16"/>
        <v>61.66510409947103</v>
      </c>
      <c r="AA44" s="42">
        <f t="shared" si="17"/>
        <v>23858.284502406386</v>
      </c>
      <c r="AC44" s="19"/>
    </row>
    <row r="45" spans="2:29">
      <c r="B45" s="116"/>
      <c r="C45" s="111">
        <v>297527.99371474143</v>
      </c>
      <c r="D45" s="111">
        <v>-7.3583984921286021</v>
      </c>
      <c r="E45" s="111">
        <v>0</v>
      </c>
      <c r="F45" s="112">
        <f t="array" ref="F45:M52">[2]!SYSLINSING(F$29:M$36-F42*[2]!M_ID(),,0.001)</f>
        <v>0</v>
      </c>
      <c r="G45" s="112">
        <v>0</v>
      </c>
      <c r="H45" s="112">
        <v>0</v>
      </c>
      <c r="I45" s="112">
        <v>0</v>
      </c>
      <c r="J45" s="112">
        <v>0</v>
      </c>
      <c r="K45" s="112">
        <v>-1.9034116107105621</v>
      </c>
      <c r="L45" s="112">
        <v>0</v>
      </c>
      <c r="M45" s="112">
        <v>0</v>
      </c>
      <c r="O45" s="112">
        <v>-1.5643140405204243E-38</v>
      </c>
      <c r="Q45" s="108">
        <v>43</v>
      </c>
      <c r="R45" s="27">
        <f t="shared" si="0"/>
        <v>3.5833333333333335</v>
      </c>
      <c r="S45" s="18">
        <f t="shared" si="1"/>
        <v>113004000</v>
      </c>
      <c r="T45" s="42">
        <f t="shared" si="10"/>
        <v>22.086321697457045</v>
      </c>
      <c r="U45" s="42">
        <f t="shared" si="11"/>
        <v>3200.4701190591418</v>
      </c>
      <c r="V45" s="42">
        <f t="shared" si="12"/>
        <v>1314.8018230393222</v>
      </c>
      <c r="W45" s="42">
        <f t="shared" si="13"/>
        <v>191.65628933898586</v>
      </c>
      <c r="X45" s="42">
        <f t="shared" si="14"/>
        <v>95.942488631912738</v>
      </c>
      <c r="Y45" s="42">
        <f t="shared" si="15"/>
        <v>51.308847726960479</v>
      </c>
      <c r="Z45" s="42">
        <f t="shared" si="16"/>
        <v>60.483552573989655</v>
      </c>
      <c r="AA45" s="42">
        <f t="shared" si="17"/>
        <v>23796.856470667324</v>
      </c>
      <c r="AC45" s="19"/>
    </row>
    <row r="46" spans="2:29">
      <c r="B46" s="116"/>
      <c r="C46" s="111">
        <v>149746.98833907102</v>
      </c>
      <c r="D46" s="111">
        <v>-6.9395539422399555</v>
      </c>
      <c r="E46" s="111">
        <v>0</v>
      </c>
      <c r="F46" s="112">
        <v>0</v>
      </c>
      <c r="G46" s="112">
        <v>0</v>
      </c>
      <c r="H46" s="112">
        <v>0</v>
      </c>
      <c r="I46" s="112">
        <v>0</v>
      </c>
      <c r="J46" s="112">
        <v>0</v>
      </c>
      <c r="K46" s="112">
        <v>-2.4952123470687755</v>
      </c>
      <c r="L46" s="112">
        <v>0</v>
      </c>
      <c r="M46" s="112">
        <v>0</v>
      </c>
      <c r="O46" s="112">
        <v>2.3275413689917645E-39</v>
      </c>
      <c r="Q46" s="108">
        <v>44</v>
      </c>
      <c r="R46" s="27">
        <f t="shared" si="0"/>
        <v>3.6666666666666665</v>
      </c>
      <c r="S46" s="18">
        <f t="shared" si="1"/>
        <v>115632000</v>
      </c>
      <c r="T46" s="42">
        <f t="shared" si="10"/>
        <v>22.008280427378288</v>
      </c>
      <c r="U46" s="42">
        <f t="shared" si="11"/>
        <v>3193.8818249993028</v>
      </c>
      <c r="V46" s="42">
        <f t="shared" si="12"/>
        <v>1317.4784689904016</v>
      </c>
      <c r="W46" s="42">
        <f t="shared" si="13"/>
        <v>191.27857960918803</v>
      </c>
      <c r="X46" s="42">
        <f t="shared" si="14"/>
        <v>96.156144972883794</v>
      </c>
      <c r="Y46" s="42">
        <f t="shared" si="15"/>
        <v>51.234324334909047</v>
      </c>
      <c r="Z46" s="42">
        <f t="shared" si="16"/>
        <v>59.324640497962797</v>
      </c>
      <c r="AA46" s="42">
        <f t="shared" si="17"/>
        <v>23735.58659795612</v>
      </c>
      <c r="AC46" s="19"/>
    </row>
    <row r="47" spans="2:29">
      <c r="B47" s="116"/>
      <c r="C47" s="111">
        <v>43428.790950555922</v>
      </c>
      <c r="D47" s="111">
        <v>-6.2828682160276221</v>
      </c>
      <c r="E47" s="111">
        <v>0</v>
      </c>
      <c r="F47" s="112">
        <v>0</v>
      </c>
      <c r="G47" s="112">
        <v>0</v>
      </c>
      <c r="H47" s="112">
        <v>0</v>
      </c>
      <c r="I47" s="112">
        <v>0</v>
      </c>
      <c r="J47" s="112">
        <v>0</v>
      </c>
      <c r="K47" s="112">
        <v>1.1866380869779696</v>
      </c>
      <c r="L47" s="112">
        <v>0</v>
      </c>
      <c r="M47" s="112">
        <v>0</v>
      </c>
      <c r="O47" s="112">
        <v>4.7811860799592404E-39</v>
      </c>
      <c r="Q47" s="108">
        <v>45</v>
      </c>
      <c r="R47" s="27">
        <f t="shared" si="0"/>
        <v>3.75</v>
      </c>
      <c r="S47" s="18">
        <f t="shared" si="1"/>
        <v>118260000</v>
      </c>
      <c r="T47" s="42">
        <f t="shared" si="10"/>
        <v>21.926563977573622</v>
      </c>
      <c r="U47" s="42">
        <f t="shared" si="11"/>
        <v>3187.2805650310024</v>
      </c>
      <c r="V47" s="42">
        <f t="shared" si="12"/>
        <v>1320.1112185256095</v>
      </c>
      <c r="W47" s="42">
        <f t="shared" si="13"/>
        <v>190.92102701561447</v>
      </c>
      <c r="X47" s="42">
        <f t="shared" si="14"/>
        <v>96.366998818910986</v>
      </c>
      <c r="Y47" s="42">
        <f t="shared" si="15"/>
        <v>51.159551459044593</v>
      </c>
      <c r="Z47" s="42">
        <f t="shared" si="16"/>
        <v>58.187934081868327</v>
      </c>
      <c r="AA47" s="42">
        <f t="shared" si="17"/>
        <v>23674.474477060023</v>
      </c>
      <c r="AC47" s="19"/>
    </row>
    <row r="48" spans="2:29">
      <c r="B48" s="116"/>
      <c r="C48" s="111">
        <v>7532.7559903975189</v>
      </c>
      <c r="D48" s="111">
        <v>-5.7422704201736652</v>
      </c>
      <c r="E48" s="111">
        <v>0</v>
      </c>
      <c r="F48" s="112">
        <v>0</v>
      </c>
      <c r="G48" s="112">
        <v>0</v>
      </c>
      <c r="H48" s="112">
        <v>0</v>
      </c>
      <c r="I48" s="112">
        <v>0</v>
      </c>
      <c r="J48" s="112">
        <v>0</v>
      </c>
      <c r="K48" s="112">
        <v>0.35155252370882667</v>
      </c>
      <c r="L48" s="112">
        <v>0</v>
      </c>
      <c r="M48" s="112">
        <v>0</v>
      </c>
      <c r="O48" s="112">
        <v>-2.9962213957402742E-39</v>
      </c>
      <c r="Q48" s="108">
        <v>46</v>
      </c>
      <c r="R48" s="27">
        <f t="shared" si="0"/>
        <v>3.8333333333333335</v>
      </c>
      <c r="S48" s="18">
        <f t="shared" si="1"/>
        <v>120888000</v>
      </c>
      <c r="T48" s="42">
        <f t="shared" si="10"/>
        <v>21.84132022410207</v>
      </c>
      <c r="U48" s="42">
        <f t="shared" si="11"/>
        <v>3180.6668975711732</v>
      </c>
      <c r="V48" s="42">
        <f t="shared" si="12"/>
        <v>1322.7003364795189</v>
      </c>
      <c r="W48" s="42">
        <f t="shared" si="13"/>
        <v>190.58291795934434</v>
      </c>
      <c r="X48" s="42">
        <f t="shared" si="14"/>
        <v>96.575139829981424</v>
      </c>
      <c r="Y48" s="42">
        <f t="shared" si="15"/>
        <v>51.084612358785492</v>
      </c>
      <c r="Z48" s="42">
        <f t="shared" si="16"/>
        <v>57.073007847929944</v>
      </c>
      <c r="AA48" s="42">
        <f t="shared" si="17"/>
        <v>23613.519701814723</v>
      </c>
      <c r="AC48" s="19"/>
    </row>
    <row r="49" spans="2:29">
      <c r="B49" s="116"/>
      <c r="C49" s="111">
        <v>771.10814192840314</v>
      </c>
      <c r="D49" s="111">
        <v>-2.7195195999841908</v>
      </c>
      <c r="E49" s="111">
        <v>0</v>
      </c>
      <c r="F49" s="112">
        <v>0</v>
      </c>
      <c r="G49" s="112">
        <v>0</v>
      </c>
      <c r="H49" s="112">
        <v>0</v>
      </c>
      <c r="I49" s="112">
        <v>0</v>
      </c>
      <c r="J49" s="112">
        <v>0</v>
      </c>
      <c r="K49" s="112">
        <v>-0.35611601633996515</v>
      </c>
      <c r="L49" s="112">
        <v>0</v>
      </c>
      <c r="M49" s="112">
        <v>0</v>
      </c>
      <c r="O49" s="112">
        <v>-2.4167277737520265E-41</v>
      </c>
      <c r="Q49" s="108">
        <v>47</v>
      </c>
      <c r="R49" s="27">
        <f t="shared" si="0"/>
        <v>3.9166666666666665</v>
      </c>
      <c r="S49" s="18">
        <f t="shared" si="1"/>
        <v>123516000</v>
      </c>
      <c r="T49" s="42">
        <f t="shared" si="10"/>
        <v>21.752693049262575</v>
      </c>
      <c r="U49" s="42">
        <f t="shared" si="11"/>
        <v>3174.0413706724717</v>
      </c>
      <c r="V49" s="42">
        <f t="shared" si="12"/>
        <v>1325.2460878839975</v>
      </c>
      <c r="W49" s="42">
        <f t="shared" si="13"/>
        <v>190.26355935353376</v>
      </c>
      <c r="X49" s="42">
        <f t="shared" si="14"/>
        <v>96.780654680663019</v>
      </c>
      <c r="Y49" s="42">
        <f t="shared" si="15"/>
        <v>51.00958611762924</v>
      </c>
      <c r="Z49" s="42">
        <f t="shared" si="16"/>
        <v>55.979444470857644</v>
      </c>
      <c r="AA49" s="42">
        <f t="shared" si="17"/>
        <v>23552.721867101678</v>
      </c>
      <c r="AC49" s="19"/>
    </row>
    <row r="50" spans="2:29">
      <c r="B50" s="117"/>
      <c r="C50" s="111">
        <v>42.922210040026137</v>
      </c>
      <c r="D50" s="111">
        <v>-2.338164078560466</v>
      </c>
      <c r="E50" s="111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1</v>
      </c>
      <c r="L50" s="112">
        <v>0</v>
      </c>
      <c r="M50" s="112">
        <v>0</v>
      </c>
      <c r="Q50" s="108">
        <v>48</v>
      </c>
      <c r="R50" s="27">
        <f t="shared" si="0"/>
        <v>4</v>
      </c>
      <c r="S50" s="18">
        <f t="shared" si="1"/>
        <v>126144000</v>
      </c>
      <c r="T50" s="42">
        <f t="shared" si="10"/>
        <v>21.66082243550008</v>
      </c>
      <c r="U50" s="42">
        <f t="shared" si="11"/>
        <v>3167.404522196648</v>
      </c>
      <c r="V50" s="42">
        <f t="shared" si="12"/>
        <v>1327.7487379280972</v>
      </c>
      <c r="W50" s="42">
        <f t="shared" si="13"/>
        <v>189.96227806262849</v>
      </c>
      <c r="X50" s="42">
        <f t="shared" si="14"/>
        <v>96.983627145144339</v>
      </c>
      <c r="Y50" s="42">
        <f t="shared" si="15"/>
        <v>50.934547792437925</v>
      </c>
      <c r="Z50" s="42">
        <f t="shared" si="16"/>
        <v>54.906834621639717</v>
      </c>
      <c r="AA50" s="42">
        <f t="shared" si="17"/>
        <v>23492.080568845395</v>
      </c>
      <c r="AC50" s="19"/>
    </row>
    <row r="51" spans="2:29">
      <c r="C51" s="111">
        <v>1</v>
      </c>
      <c r="D51" s="111">
        <v>-0.98098234073362089</v>
      </c>
      <c r="E51" s="111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0</v>
      </c>
      <c r="Q51" s="108">
        <v>49</v>
      </c>
      <c r="R51" s="27">
        <f t="shared" si="0"/>
        <v>4.083333333333333</v>
      </c>
      <c r="S51" s="18">
        <f t="shared" si="1"/>
        <v>128772000</v>
      </c>
      <c r="T51" s="42">
        <f t="shared" si="10"/>
        <v>21.565844557251815</v>
      </c>
      <c r="U51" s="42">
        <f t="shared" si="11"/>
        <v>3160.7568799851642</v>
      </c>
      <c r="V51" s="42">
        <f t="shared" si="12"/>
        <v>1330.2085519188806</v>
      </c>
      <c r="W51" s="42">
        <f t="shared" si="13"/>
        <v>189.67842035677947</v>
      </c>
      <c r="X51" s="42">
        <f t="shared" si="14"/>
        <v>97.18413817999334</v>
      </c>
      <c r="Y51" s="42">
        <f t="shared" si="15"/>
        <v>50.859568558067124</v>
      </c>
      <c r="Z51" s="42">
        <f t="shared" si="16"/>
        <v>53.854776814327771</v>
      </c>
      <c r="AA51" s="42">
        <f t="shared" si="17"/>
        <v>23431.595404010761</v>
      </c>
      <c r="AC51" s="19"/>
    </row>
    <row r="52" spans="2:29"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0</v>
      </c>
      <c r="Q52" s="108">
        <v>50</v>
      </c>
      <c r="R52" s="27">
        <f t="shared" si="0"/>
        <v>4.166666666666667</v>
      </c>
      <c r="S52" s="18">
        <f t="shared" si="1"/>
        <v>131400000</v>
      </c>
      <c r="T52" s="42">
        <f t="shared" si="10"/>
        <v>21.46789187077718</v>
      </c>
      <c r="U52" s="42">
        <f t="shared" si="11"/>
        <v>3154.0989620270848</v>
      </c>
      <c r="V52" s="42">
        <f t="shared" si="12"/>
        <v>1332.6257952431658</v>
      </c>
      <c r="W52" s="42">
        <f t="shared" si="13"/>
        <v>189.41135138104866</v>
      </c>
      <c r="X52" s="42">
        <f t="shared" si="14"/>
        <v>97.38226600469568</v>
      </c>
      <c r="Y52" s="42">
        <f t="shared" si="15"/>
        <v>50.784715847474544</v>
      </c>
      <c r="Z52" s="42">
        <f t="shared" si="16"/>
        <v>52.822877255757589</v>
      </c>
      <c r="AA52" s="42">
        <f t="shared" si="17"/>
        <v>23371.265970600351</v>
      </c>
      <c r="AC52" s="19"/>
    </row>
    <row r="53" spans="2:29">
      <c r="Q53" s="108">
        <v>51</v>
      </c>
      <c r="R53" s="27">
        <f t="shared" si="0"/>
        <v>4.25</v>
      </c>
      <c r="S53" s="18">
        <f t="shared" si="1"/>
        <v>134028000</v>
      </c>
      <c r="T53" s="42">
        <f t="shared" si="10"/>
        <v>21.367093202013876</v>
      </c>
      <c r="U53" s="42">
        <f t="shared" si="11"/>
        <v>3147.4312766243024</v>
      </c>
      <c r="V53" s="42">
        <f t="shared" si="12"/>
        <v>1335.0007333301651</v>
      </c>
      <c r="W53" s="42">
        <f t="shared" si="13"/>
        <v>189.16045463900366</v>
      </c>
      <c r="X53" s="42">
        <f t="shared" si="14"/>
        <v>97.578086180033267</v>
      </c>
      <c r="Y53" s="42">
        <f t="shared" si="15"/>
        <v>50.710053487440121</v>
      </c>
      <c r="Z53" s="42">
        <f t="shared" si="16"/>
        <v>51.810749698149351</v>
      </c>
      <c r="AA53" s="42">
        <f t="shared" si="17"/>
        <v>23311.091867651776</v>
      </c>
      <c r="AC53" s="19"/>
    </row>
    <row r="54" spans="2:29">
      <c r="F54" s="114" t="s">
        <v>167</v>
      </c>
      <c r="I54" s="19"/>
      <c r="J54" s="19"/>
      <c r="K54" s="19"/>
      <c r="L54" s="19"/>
      <c r="M54" s="19"/>
      <c r="Q54" s="108">
        <v>52</v>
      </c>
      <c r="R54" s="27">
        <f t="shared" si="0"/>
        <v>4.333333333333333</v>
      </c>
      <c r="S54" s="18">
        <f t="shared" si="1"/>
        <v>136656000</v>
      </c>
      <c r="T54" s="42">
        <f t="shared" si="10"/>
        <v>21.263573832501713</v>
      </c>
      <c r="U54" s="42">
        <f t="shared" si="11"/>
        <v>3140.7543225541167</v>
      </c>
      <c r="V54" s="42">
        <f t="shared" si="12"/>
        <v>1337.3336316150135</v>
      </c>
      <c r="W54" s="42">
        <f t="shared" si="13"/>
        <v>188.92513149031029</v>
      </c>
      <c r="X54" s="42">
        <f t="shared" si="14"/>
        <v>97.771671684355965</v>
      </c>
      <c r="Y54" s="42">
        <f t="shared" si="15"/>
        <v>50.635641830026771</v>
      </c>
      <c r="Z54" s="42">
        <f t="shared" si="16"/>
        <v>50.818015294532131</v>
      </c>
      <c r="AA54" s="42">
        <f t="shared" si="17"/>
        <v>23251.072695235001</v>
      </c>
      <c r="AC54" s="19"/>
    </row>
    <row r="55" spans="2:29">
      <c r="E55" s="24"/>
      <c r="F55" s="112">
        <f t="array" ref="F55:M62">[2]!SYSLINSING(F$29:M$36-G42*[2]!M_ID(),,0.001)</f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Q55" s="108">
        <v>53</v>
      </c>
      <c r="R55" s="27">
        <f t="shared" si="0"/>
        <v>4.416666666666667</v>
      </c>
      <c r="S55" s="18">
        <f t="shared" si="1"/>
        <v>139284000</v>
      </c>
      <c r="T55" s="42">
        <f t="shared" si="10"/>
        <v>21.157455583414986</v>
      </c>
      <c r="U55" s="42">
        <f t="shared" si="11"/>
        <v>3134.0685892292236</v>
      </c>
      <c r="V55" s="42">
        <f t="shared" si="12"/>
        <v>1339.6247555031582</v>
      </c>
      <c r="W55" s="42">
        <f t="shared" si="13"/>
        <v>188.70480066194338</v>
      </c>
      <c r="X55" s="42">
        <f t="shared" si="14"/>
        <v>97.963092987811081</v>
      </c>
      <c r="Y55" s="42">
        <f t="shared" si="15"/>
        <v>50.561537879906737</v>
      </c>
      <c r="Z55" s="42">
        <f t="shared" si="16"/>
        <v>49.844302456938692</v>
      </c>
      <c r="AA55" s="42">
        <f t="shared" si="17"/>
        <v>23191.208054449697</v>
      </c>
      <c r="AC55" s="19"/>
    </row>
    <row r="56" spans="2:29"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3.1650698693907704</v>
      </c>
      <c r="L56" s="112">
        <v>0</v>
      </c>
      <c r="M56" s="112">
        <v>0</v>
      </c>
      <c r="Q56" s="108">
        <v>54</v>
      </c>
      <c r="R56" s="27">
        <f t="shared" si="0"/>
        <v>4.5</v>
      </c>
      <c r="S56" s="18">
        <f t="shared" si="1"/>
        <v>141912000</v>
      </c>
      <c r="T56" s="42">
        <f t="shared" si="10"/>
        <v>21.04885689774305</v>
      </c>
      <c r="U56" s="42">
        <f t="shared" si="11"/>
        <v>3127.3745568551453</v>
      </c>
      <c r="V56" s="42">
        <f t="shared" si="12"/>
        <v>1341.874370335607</v>
      </c>
      <c r="W56" s="42">
        <f t="shared" si="13"/>
        <v>188.49889777264659</v>
      </c>
      <c r="X56" s="42">
        <f t="shared" si="14"/>
        <v>98.152418124572648</v>
      </c>
      <c r="Y56" s="42">
        <f t="shared" si="15"/>
        <v>50.48779541767481</v>
      </c>
      <c r="Z56" s="42">
        <f t="shared" si="16"/>
        <v>48.889246717317292</v>
      </c>
      <c r="AA56" s="42">
        <f t="shared" si="17"/>
        <v>23131.497547422576</v>
      </c>
      <c r="AC56" s="19"/>
    </row>
    <row r="57" spans="2:29"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-1.0797452475815215</v>
      </c>
      <c r="L57" s="112">
        <v>0</v>
      </c>
      <c r="M57" s="112">
        <v>0</v>
      </c>
      <c r="Q57" s="108">
        <v>55</v>
      </c>
      <c r="R57" s="27">
        <f t="shared" si="0"/>
        <v>4.583333333333333</v>
      </c>
      <c r="S57" s="18">
        <f t="shared" si="1"/>
        <v>144540000</v>
      </c>
      <c r="T57" s="42">
        <f t="shared" si="10"/>
        <v>20.937892920658676</v>
      </c>
      <c r="U57" s="42">
        <f t="shared" si="11"/>
        <v>3120.6726965851408</v>
      </c>
      <c r="V57" s="42">
        <f t="shared" si="12"/>
        <v>1344.0827413550016</v>
      </c>
      <c r="W57" s="42">
        <f t="shared" si="13"/>
        <v>188.30687487028098</v>
      </c>
      <c r="X57" s="42">
        <f t="shared" si="14"/>
        <v>98.339712763133946</v>
      </c>
      <c r="Y57" s="42">
        <f t="shared" si="15"/>
        <v>50.414465119265714</v>
      </c>
      <c r="Z57" s="42">
        <f t="shared" si="16"/>
        <v>47.952490591108514</v>
      </c>
      <c r="AA57" s="42">
        <f t="shared" si="17"/>
        <v>23071.940777304764</v>
      </c>
      <c r="AC57" s="19"/>
    </row>
    <row r="58" spans="2:29"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-0.42501632778470139</v>
      </c>
      <c r="L58" s="112">
        <v>0</v>
      </c>
      <c r="M58" s="112">
        <v>0</v>
      </c>
      <c r="Q58" s="108">
        <v>56</v>
      </c>
      <c r="R58" s="27">
        <f t="shared" si="0"/>
        <v>4.666666666666667</v>
      </c>
      <c r="S58" s="18">
        <f t="shared" si="1"/>
        <v>147168000</v>
      </c>
      <c r="T58" s="42">
        <f t="shared" si="10"/>
        <v>20.824675578112014</v>
      </c>
      <c r="U58" s="42">
        <f t="shared" si="11"/>
        <v>3113.9634706726392</v>
      </c>
      <c r="V58" s="42">
        <f t="shared" si="12"/>
        <v>1346.2501336725215</v>
      </c>
      <c r="W58" s="42">
        <f t="shared" si="13"/>
        <v>188.12819998171295</v>
      </c>
      <c r="X58" s="42">
        <f t="shared" si="14"/>
        <v>98.5250402747115</v>
      </c>
      <c r="Y58" s="42">
        <f t="shared" si="15"/>
        <v>50.341594671592219</v>
      </c>
      <c r="Z58" s="42">
        <f t="shared" si="16"/>
        <v>47.033683443436125</v>
      </c>
      <c r="AA58" s="42">
        <f t="shared" si="17"/>
        <v>23012.53734826915</v>
      </c>
      <c r="AC58" s="19"/>
    </row>
    <row r="59" spans="2:29">
      <c r="F59" s="112">
        <v>0</v>
      </c>
      <c r="G59" s="112">
        <v>0</v>
      </c>
      <c r="H59" s="112">
        <v>0</v>
      </c>
      <c r="I59" s="112">
        <v>0</v>
      </c>
      <c r="J59" s="112">
        <v>0</v>
      </c>
      <c r="K59" s="112">
        <v>-2.6436832705078489E-2</v>
      </c>
      <c r="L59" s="112">
        <v>0</v>
      </c>
      <c r="M59" s="112">
        <v>0</v>
      </c>
      <c r="Q59" s="108">
        <v>57</v>
      </c>
      <c r="R59" s="27">
        <f t="shared" si="0"/>
        <v>4.75</v>
      </c>
      <c r="S59" s="18">
        <f t="shared" si="1"/>
        <v>149796000</v>
      </c>
      <c r="T59" s="42">
        <f t="shared" si="10"/>
        <v>20.709313653687893</v>
      </c>
      <c r="U59" s="42">
        <f t="shared" si="11"/>
        <v>3107.2473326212271</v>
      </c>
      <c r="V59" s="42">
        <f t="shared" si="12"/>
        <v>1348.3768122355877</v>
      </c>
      <c r="W59" s="42">
        <f t="shared" si="13"/>
        <v>187.96235667490237</v>
      </c>
      <c r="X59" s="42">
        <f t="shared" si="14"/>
        <v>98.708461799806003</v>
      </c>
      <c r="Y59" s="42">
        <f t="shared" si="15"/>
        <v>50.269228884512962</v>
      </c>
      <c r="Z59" s="42">
        <f t="shared" si="16"/>
        <v>46.13248135786182</v>
      </c>
      <c r="AA59" s="42">
        <f t="shared" si="17"/>
        <v>22953.286865507773</v>
      </c>
      <c r="AC59" s="19"/>
    </row>
    <row r="60" spans="2:29">
      <c r="F60" s="112">
        <v>0</v>
      </c>
      <c r="G60" s="112">
        <v>0</v>
      </c>
      <c r="H60" s="112">
        <v>0</v>
      </c>
      <c r="I60" s="112">
        <v>0</v>
      </c>
      <c r="J60" s="112">
        <v>0</v>
      </c>
      <c r="K60" s="112">
        <v>1</v>
      </c>
      <c r="L60" s="112">
        <v>0</v>
      </c>
      <c r="M60" s="112">
        <v>0</v>
      </c>
      <c r="Q60" s="108">
        <v>58</v>
      </c>
      <c r="R60" s="27">
        <f t="shared" si="0"/>
        <v>4.833333333333333</v>
      </c>
      <c r="S60" s="18">
        <f t="shared" si="1"/>
        <v>152424000</v>
      </c>
      <c r="T60" s="42">
        <f t="shared" si="10"/>
        <v>20.591912863763213</v>
      </c>
      <c r="U60" s="42">
        <f t="shared" si="11"/>
        <v>3100.5247273322348</v>
      </c>
      <c r="V60" s="42">
        <f t="shared" si="12"/>
        <v>1350.4630417963576</v>
      </c>
      <c r="W60" s="42">
        <f t="shared" si="13"/>
        <v>187.80884363285728</v>
      </c>
      <c r="X60" s="42">
        <f t="shared" si="14"/>
        <v>98.890036312976974</v>
      </c>
      <c r="Y60" s="42">
        <f t="shared" si="15"/>
        <v>50.197409799239786</v>
      </c>
      <c r="Z60" s="42">
        <f t="shared" si="16"/>
        <v>45.248547007654665</v>
      </c>
      <c r="AA60" s="42">
        <f t="shared" si="17"/>
        <v>22894.188935229173</v>
      </c>
      <c r="AC60" s="19"/>
    </row>
    <row r="61" spans="2:29">
      <c r="F61" s="112">
        <v>0</v>
      </c>
      <c r="G61" s="112">
        <v>0</v>
      </c>
      <c r="H61" s="112">
        <v>0</v>
      </c>
      <c r="I61" s="112">
        <v>0</v>
      </c>
      <c r="J61" s="112">
        <v>0</v>
      </c>
      <c r="K61" s="112">
        <v>0</v>
      </c>
      <c r="L61" s="112">
        <v>0</v>
      </c>
      <c r="M61" s="112">
        <v>0</v>
      </c>
      <c r="Q61" s="108">
        <v>59</v>
      </c>
      <c r="R61" s="27">
        <f t="shared" si="0"/>
        <v>4.916666666666667</v>
      </c>
      <c r="S61" s="18">
        <f t="shared" si="1"/>
        <v>155052000</v>
      </c>
      <c r="T61" s="42">
        <f t="shared" si="10"/>
        <v>20.4725759310003</v>
      </c>
      <c r="U61" s="42">
        <f t="shared" si="11"/>
        <v>3093.7960912499489</v>
      </c>
      <c r="V61" s="42">
        <f t="shared" si="12"/>
        <v>1352.509086880993</v>
      </c>
      <c r="W61" s="42">
        <f t="shared" si="13"/>
        <v>187.66717423913633</v>
      </c>
      <c r="X61" s="42">
        <f t="shared" si="14"/>
        <v>99.069820685871832</v>
      </c>
      <c r="Y61" s="42">
        <f t="shared" si="15"/>
        <v>50.12617679328909</v>
      </c>
      <c r="Z61" s="42">
        <f t="shared" si="16"/>
        <v>44.38154952952717</v>
      </c>
      <c r="AA61" s="42">
        <f t="shared" si="17"/>
        <v>22835.243164655785</v>
      </c>
      <c r="AC61" s="19"/>
    </row>
    <row r="62" spans="2:29">
      <c r="F62" s="112">
        <v>0</v>
      </c>
      <c r="G62" s="112">
        <v>0</v>
      </c>
      <c r="H62" s="112">
        <v>0</v>
      </c>
      <c r="I62" s="112">
        <v>0</v>
      </c>
      <c r="J62" s="112">
        <v>0</v>
      </c>
      <c r="K62" s="112">
        <v>0</v>
      </c>
      <c r="L62" s="112">
        <v>0</v>
      </c>
      <c r="M62" s="112">
        <v>0</v>
      </c>
      <c r="Q62" s="108">
        <v>60</v>
      </c>
      <c r="R62" s="27">
        <f t="shared" si="0"/>
        <v>5</v>
      </c>
      <c r="S62" s="18">
        <f t="shared" si="1"/>
        <v>157680000</v>
      </c>
      <c r="T62" s="42">
        <f t="shared" si="10"/>
        <v>20.351402656211391</v>
      </c>
      <c r="U62" s="42">
        <f t="shared" si="11"/>
        <v>3087.0618525044956</v>
      </c>
      <c r="V62" s="42">
        <f t="shared" si="12"/>
        <v>1354.5152117596974</v>
      </c>
      <c r="W62" s="42">
        <f t="shared" si="13"/>
        <v>187.53687617458385</v>
      </c>
      <c r="X62" s="42">
        <f t="shared" si="14"/>
        <v>99.247869748559026</v>
      </c>
      <c r="Y62" s="42">
        <f t="shared" si="15"/>
        <v>50.055566682080183</v>
      </c>
      <c r="Z62" s="42">
        <f t="shared" si="16"/>
        <v>43.531164399790732</v>
      </c>
      <c r="AA62" s="42">
        <f t="shared" si="17"/>
        <v>22776.449162021341</v>
      </c>
      <c r="AC62" s="19"/>
    </row>
    <row r="63" spans="2:29">
      <c r="Q63" s="108">
        <v>61</v>
      </c>
      <c r="R63" s="27">
        <f t="shared" si="0"/>
        <v>5.083333333333333</v>
      </c>
      <c r="S63" s="18">
        <f t="shared" si="1"/>
        <v>160308000</v>
      </c>
      <c r="T63" s="42">
        <f t="shared" si="10"/>
        <v>20.228489988629242</v>
      </c>
      <c r="U63" s="42">
        <f t="shared" si="11"/>
        <v>3080.3224310524283</v>
      </c>
      <c r="V63" s="42">
        <f t="shared" si="12"/>
        <v>1356.4816804174914</v>
      </c>
      <c r="W63" s="42">
        <f t="shared" si="13"/>
        <v>187.41749102499313</v>
      </c>
      <c r="X63" s="42">
        <f t="shared" si="14"/>
        <v>99.424236349210389</v>
      </c>
      <c r="Y63" s="42">
        <f t="shared" si="15"/>
        <v>49.985613817278079</v>
      </c>
      <c r="Z63" s="42">
        <f t="shared" si="16"/>
        <v>42.697073312883852</v>
      </c>
      <c r="AA63" s="42">
        <f t="shared" si="17"/>
        <v>22717.806536568256</v>
      </c>
      <c r="AC63" s="19"/>
    </row>
    <row r="64" spans="2:29">
      <c r="F64" s="114" t="s">
        <v>168</v>
      </c>
      <c r="I64" s="19"/>
      <c r="J64" s="19"/>
      <c r="K64" s="19"/>
      <c r="L64" s="19"/>
      <c r="M64" s="19"/>
      <c r="Q64" s="108">
        <v>62</v>
      </c>
      <c r="R64" s="27">
        <f t="shared" si="0"/>
        <v>5.166666666666667</v>
      </c>
      <c r="S64" s="18">
        <f t="shared" si="1"/>
        <v>162936000</v>
      </c>
      <c r="T64" s="42">
        <f t="shared" si="10"/>
        <v>20.103932094616773</v>
      </c>
      <c r="U64" s="42">
        <f t="shared" si="11"/>
        <v>3073.5782388150474</v>
      </c>
      <c r="V64" s="42">
        <f t="shared" si="12"/>
        <v>1358.4087565257237</v>
      </c>
      <c r="W64" s="42">
        <f t="shared" si="13"/>
        <v>187.30857389940209</v>
      </c>
      <c r="X64" s="42">
        <f t="shared" si="14"/>
        <v>99.598971412172375</v>
      </c>
      <c r="Y64" s="42">
        <f t="shared" si="15"/>
        <v>49.916350181978899</v>
      </c>
      <c r="Z64" s="42">
        <f t="shared" si="16"/>
        <v>41.878964062228086</v>
      </c>
      <c r="AA64" s="42">
        <f t="shared" si="17"/>
        <v>22659.31489854501</v>
      </c>
      <c r="AC64" s="19"/>
    </row>
    <row r="65" spans="1:29">
      <c r="F65" s="112">
        <f t="array" ref="F65:M72">[2]!SYSLINSING(F$29:M$36-H42*[2]!M_ID(),,0.0001)</f>
        <v>0</v>
      </c>
      <c r="G65" s="112">
        <v>0</v>
      </c>
      <c r="H65" s="112">
        <v>0</v>
      </c>
      <c r="I65" s="112">
        <v>0</v>
      </c>
      <c r="J65" s="112">
        <v>0</v>
      </c>
      <c r="K65" s="112">
        <v>0</v>
      </c>
      <c r="L65" s="112">
        <v>0</v>
      </c>
      <c r="M65" s="112">
        <v>0</v>
      </c>
      <c r="Q65" s="108">
        <v>63</v>
      </c>
      <c r="R65" s="27">
        <f t="shared" si="0"/>
        <v>5.25</v>
      </c>
      <c r="S65" s="18">
        <f t="shared" si="1"/>
        <v>165564000</v>
      </c>
      <c r="T65" s="42">
        <f t="shared" si="10"/>
        <v>19.977820424849902</v>
      </c>
      <c r="U65" s="42">
        <f t="shared" si="11"/>
        <v>3066.8296798145011</v>
      </c>
      <c r="V65" s="42">
        <f t="shared" si="12"/>
        <v>1360.2967034143078</v>
      </c>
      <c r="W65" s="42">
        <f t="shared" si="13"/>
        <v>187.20969305873237</v>
      </c>
      <c r="X65" s="42">
        <f t="shared" si="14"/>
        <v>99.772123994475976</v>
      </c>
      <c r="Y65" s="42">
        <f t="shared" si="15"/>
        <v>49.84780548283085</v>
      </c>
      <c r="Z65" s="42">
        <f t="shared" si="16"/>
        <v>41.076530423366691</v>
      </c>
      <c r="AA65" s="42">
        <f t="shared" si="17"/>
        <v>22600.973859203608</v>
      </c>
      <c r="AC65" s="19"/>
    </row>
    <row r="66" spans="1:29">
      <c r="F66" s="112">
        <v>0</v>
      </c>
      <c r="G66" s="112">
        <v>0</v>
      </c>
      <c r="H66" s="112">
        <v>0</v>
      </c>
      <c r="I66" s="112">
        <v>0</v>
      </c>
      <c r="J66" s="112">
        <v>0</v>
      </c>
      <c r="K66" s="112">
        <v>0</v>
      </c>
      <c r="L66" s="112">
        <v>0</v>
      </c>
      <c r="M66" s="112">
        <v>0</v>
      </c>
      <c r="Q66" s="108">
        <v>64</v>
      </c>
      <c r="R66" s="27">
        <f t="shared" ref="R66:R129" si="18">S66/(3600*365*24)</f>
        <v>5.333333333333333</v>
      </c>
      <c r="S66" s="18">
        <f t="shared" ref="S66:S129" si="19">Q66*D$5</f>
        <v>168192000</v>
      </c>
      <c r="T66" s="42">
        <f t="shared" ref="T66:T97" si="20">$F$148*EXP($F$24*$S66)+$G$148*EXP($G$24*$S66)+$H$148*EXP($H$24*$S66)+$I$148*EXP($I$24*$S66)+$J$148*EXP($J$24*$S66)+$K$148*EXP($K$24*$S66)+$L$148*EXP($L$24*$S66)+$M$148*EXP($M$24*$S66)</f>
        <v>19.850243780005115</v>
      </c>
      <c r="U66" s="42">
        <f t="shared" ref="U66:U97" si="21">$F$149*EXP($F$24*$S66)+$G$149*EXP($G$24*$S66)+$H$149*EXP($H$24*$S66)+$I$149*EXP($I$24*$S66)+$J$149*EXP($J$24*$S66)+$K$149*EXP($K$24*$S66)+$L$149*EXP($L$24*$S66)+$M$149*EXP($M$24*$S66)</f>
        <v>3060.077150307684</v>
      </c>
      <c r="V66" s="42">
        <f t="shared" ref="V66:V97" si="22">$F$150*EXP($F$24*$S66)+$G$150*EXP($G$24*$S66)+$H$150*EXP($H$24*$S66)+$I$150*EXP($I$24*$S66)+$J$150*EXP($J$24*$S66)+$K$150*EXP($K$24*$S66)+$L$150*EXP($L$24*$S66)+$M$150*EXP($M$24*$S66)</f>
        <v>1362.1457840446551</v>
      </c>
      <c r="W66" s="42">
        <f t="shared" ref="W66:W97" si="23">$F$151*EXP($F$24*$S66)+$G$151*EXP($G$24*$S66)+$H$151*EXP($H$24*$S66)+$I$151*EXP($I$24*$S66)+$J$151*EXP($J$24*$S66)+$K$151*EXP($K$24*$S66)+$L$151*EXP($L$24*$S66)+$M$151*EXP($M$24*$S66)</f>
        <v>187.12042955449198</v>
      </c>
      <c r="X66" s="42">
        <f t="shared" ref="X66:X97" si="24">$F$152*EXP($F$24*$S66)+$G$152*EXP($G$24*$S66)+$H$152*EXP($H$24*$S66)+$I$152*EXP($I$24*$S66)+$J$152*EXP($J$24*$S66)+$K$152*EXP($K$24*$S66)+$L$152*EXP($L$24*$S66)+$M$152*EXP($M$24*$S66)</f>
        <v>99.943741340820281</v>
      </c>
      <c r="Y66" s="42">
        <f t="shared" ref="Y66:Y97" si="25">$F$153*EXP($F$24*$S66)+$G$153*EXP($G$24*$S66)+$H$153*EXP($H$24*$S66)+$I$153*EXP($I$24*$S66)+$J$153*EXP($J$24*$S66)+$K$153*EXP($K$24*$S66)+$L$153*EXP($L$24*$S66)+$M$153*EXP($M$24*$S66)</f>
        <v>49.780007239181657</v>
      </c>
      <c r="Z66" s="42">
        <f t="shared" ref="Z66:Z97" si="26">$F$154*EXP($F$24*$S66)+$G$154*EXP($G$24*$S66)+$H$154*EXP($H$24*$S66)+$I$154*EXP($I$24*$S66)+$J$154*EXP($J$24*$S66)+$K$154*EXP($K$24*$S66)+$L$154*EXP($L$24*$S66)+$M$154*EXP($M$24*$S66)</f>
        <v>40.289472039342535</v>
      </c>
      <c r="AA66" s="42">
        <f t="shared" ref="AA66:AA97" si="27">$F$155*EXP($F$24*$S66)+$G$155*EXP($G$24*$S66)+$H$155*EXP($H$24*$S66)+$I$155*EXP($I$24*$S66)+$J$155*EXP($J$24*$S66)+$K$155*EXP($K$24*$S66)+$L$155*EXP($L$24*$S66)+$M$155*EXP($M$24*$S66)</f>
        <v>22542.783030796942</v>
      </c>
      <c r="AC66" s="19"/>
    </row>
    <row r="67" spans="1:29">
      <c r="F67" s="112">
        <v>0</v>
      </c>
      <c r="G67" s="112">
        <v>0</v>
      </c>
      <c r="H67" s="112">
        <v>0</v>
      </c>
      <c r="I67" s="112">
        <v>0</v>
      </c>
      <c r="J67" s="112">
        <v>0</v>
      </c>
      <c r="K67" s="112">
        <v>12.760061351198786</v>
      </c>
      <c r="L67" s="112">
        <v>0</v>
      </c>
      <c r="M67" s="112">
        <v>0</v>
      </c>
      <c r="Q67" s="108">
        <v>65</v>
      </c>
      <c r="R67" s="27">
        <f t="shared" si="18"/>
        <v>5.416666666666667</v>
      </c>
      <c r="S67" s="18">
        <f t="shared" si="19"/>
        <v>170820000</v>
      </c>
      <c r="T67" s="42">
        <f t="shared" si="20"/>
        <v>19.721288374983985</v>
      </c>
      <c r="U67" s="42">
        <f t="shared" si="21"/>
        <v>3053.3210389179831</v>
      </c>
      <c r="V67" s="42">
        <f t="shared" si="22"/>
        <v>1363.9562609833085</v>
      </c>
      <c r="W67" s="42">
        <f t="shared" si="23"/>
        <v>187.04037687726793</v>
      </c>
      <c r="X67" s="42">
        <f t="shared" si="24"/>
        <v>100.11386893707129</v>
      </c>
      <c r="Y67" s="42">
        <f t="shared" si="25"/>
        <v>49.712980869340996</v>
      </c>
      <c r="Z67" s="42">
        <f t="shared" si="26"/>
        <v>39.517494308272219</v>
      </c>
      <c r="AA67" s="42">
        <f t="shared" si="27"/>
        <v>22484.742026576252</v>
      </c>
      <c r="AC67" s="19"/>
    </row>
    <row r="68" spans="1:29">
      <c r="F68" s="112">
        <v>0</v>
      </c>
      <c r="G68" s="112">
        <v>0</v>
      </c>
      <c r="H68" s="112">
        <v>0</v>
      </c>
      <c r="I68" s="112">
        <v>0</v>
      </c>
      <c r="J68" s="112">
        <v>0</v>
      </c>
      <c r="K68" s="112">
        <v>2.3223789066452465</v>
      </c>
      <c r="L68" s="112">
        <v>0</v>
      </c>
      <c r="M68" s="112">
        <v>0</v>
      </c>
      <c r="Q68" s="108">
        <v>66</v>
      </c>
      <c r="R68" s="27">
        <f t="shared" si="18"/>
        <v>5.5</v>
      </c>
      <c r="S68" s="18">
        <f t="shared" si="19"/>
        <v>173448000</v>
      </c>
      <c r="T68" s="42">
        <f t="shared" si="20"/>
        <v>19.591037901705732</v>
      </c>
      <c r="U68" s="42">
        <f t="shared" si="21"/>
        <v>3046.5617267648945</v>
      </c>
      <c r="V68" s="42">
        <f t="shared" si="22"/>
        <v>1365.7283963762518</v>
      </c>
      <c r="W68" s="42">
        <f t="shared" si="23"/>
        <v>186.96914061474408</v>
      </c>
      <c r="X68" s="42">
        <f t="shared" si="24"/>
        <v>100.28255056232024</v>
      </c>
      <c r="Y68" s="42">
        <f t="shared" si="25"/>
        <v>49.646749774043833</v>
      </c>
      <c r="Z68" s="42">
        <f t="shared" si="26"/>
        <v>38.760308273074379</v>
      </c>
      <c r="AA68" s="42">
        <f t="shared" si="27"/>
        <v>22426.85046078853</v>
      </c>
      <c r="AC68" s="19"/>
    </row>
    <row r="69" spans="1:29">
      <c r="F69" s="112">
        <v>0</v>
      </c>
      <c r="G69" s="112">
        <v>0</v>
      </c>
      <c r="H69" s="112">
        <v>0</v>
      </c>
      <c r="I69" s="112">
        <v>0</v>
      </c>
      <c r="J69" s="112">
        <v>0</v>
      </c>
      <c r="K69" s="112">
        <v>-10.440985179543148</v>
      </c>
      <c r="L69" s="112">
        <v>0</v>
      </c>
      <c r="M69" s="112">
        <v>0</v>
      </c>
      <c r="Q69" s="108">
        <v>67</v>
      </c>
      <c r="R69" s="27">
        <f t="shared" si="18"/>
        <v>5.583333333333333</v>
      </c>
      <c r="S69" s="18">
        <f t="shared" si="19"/>
        <v>176076000</v>
      </c>
      <c r="T69" s="42">
        <f t="shared" si="20"/>
        <v>19.459573590497989</v>
      </c>
      <c r="U69" s="42">
        <f t="shared" si="21"/>
        <v>3039.7995875915458</v>
      </c>
      <c r="V69" s="42">
        <f t="shared" si="22"/>
        <v>1367.4624519238894</v>
      </c>
      <c r="W69" s="42">
        <f t="shared" si="23"/>
        <v>186.9063381189859</v>
      </c>
      <c r="X69" s="42">
        <f t="shared" si="24"/>
        <v>100.44982833953185</v>
      </c>
      <c r="Y69" s="42">
        <f t="shared" si="25"/>
        <v>49.581335417197799</v>
      </c>
      <c r="Z69" s="42">
        <f t="shared" si="26"/>
        <v>38.017630513310856</v>
      </c>
      <c r="AA69" s="42">
        <f t="shared" si="27"/>
        <v>22369.10794867398</v>
      </c>
      <c r="AC69" s="19"/>
    </row>
    <row r="70" spans="1:29">
      <c r="F70" s="112">
        <v>0</v>
      </c>
      <c r="G70" s="112">
        <v>0</v>
      </c>
      <c r="H70" s="112">
        <v>0</v>
      </c>
      <c r="I70" s="112">
        <v>0</v>
      </c>
      <c r="J70" s="112">
        <v>0</v>
      </c>
      <c r="K70" s="112">
        <v>1</v>
      </c>
      <c r="L70" s="112">
        <v>0</v>
      </c>
      <c r="M70" s="112">
        <v>0</v>
      </c>
      <c r="Q70" s="108">
        <v>68</v>
      </c>
      <c r="R70" s="27">
        <f t="shared" si="18"/>
        <v>5.666666666666667</v>
      </c>
      <c r="S70" s="18">
        <f t="shared" si="19"/>
        <v>178704000</v>
      </c>
      <c r="T70" s="42">
        <f t="shared" si="20"/>
        <v>19.326974270115969</v>
      </c>
      <c r="U70" s="42">
        <f t="shared" si="21"/>
        <v>3033.0349878901566</v>
      </c>
      <c r="V70" s="42">
        <f t="shared" si="22"/>
        <v>1369.1586888566762</v>
      </c>
      <c r="W70" s="42">
        <f t="shared" si="23"/>
        <v>186.85159818274025</v>
      </c>
      <c r="X70" s="42">
        <f t="shared" si="24"/>
        <v>100.61574278482516</v>
      </c>
      <c r="Y70" s="42">
        <f t="shared" si="25"/>
        <v>49.516757403996124</v>
      </c>
      <c r="Z70" s="42">
        <f t="shared" si="26"/>
        <v>37.289183039100308</v>
      </c>
      <c r="AA70" s="42">
        <f t="shared" si="27"/>
        <v>22311.514106463441</v>
      </c>
      <c r="AC70" s="19"/>
    </row>
    <row r="71" spans="1:29">
      <c r="F71" s="112">
        <v>0</v>
      </c>
      <c r="G71" s="112">
        <v>0</v>
      </c>
      <c r="H71" s="112">
        <v>0</v>
      </c>
      <c r="I71" s="112">
        <v>0</v>
      </c>
      <c r="J71" s="112">
        <v>0</v>
      </c>
      <c r="K71" s="112">
        <v>0</v>
      </c>
      <c r="L71" s="112">
        <v>0</v>
      </c>
      <c r="M71" s="112">
        <v>0</v>
      </c>
      <c r="Q71" s="108">
        <v>69</v>
      </c>
      <c r="R71" s="27">
        <f t="shared" si="18"/>
        <v>5.75</v>
      </c>
      <c r="S71" s="18">
        <f t="shared" si="19"/>
        <v>181332000</v>
      </c>
      <c r="T71" s="42">
        <f t="shared" si="20"/>
        <v>19.193316426419031</v>
      </c>
      <c r="U71" s="42">
        <f t="shared" si="21"/>
        <v>3026.2682870254712</v>
      </c>
      <c r="V71" s="42">
        <f t="shared" si="22"/>
        <v>1370.8173679113934</v>
      </c>
      <c r="W71" s="42">
        <f t="shared" si="23"/>
        <v>186.80456072450633</v>
      </c>
      <c r="X71" s="42">
        <f t="shared" si="24"/>
        <v>100.78033285542386</v>
      </c>
      <c r="Y71" s="42">
        <f t="shared" si="25"/>
        <v>49.453033556474281</v>
      </c>
      <c r="Z71" s="42">
        <f t="shared" si="26"/>
        <v>36.574693187064518</v>
      </c>
      <c r="AA71" s="42">
        <f t="shared" si="27"/>
        <v>22254.068551375851</v>
      </c>
      <c r="AC71" s="19"/>
    </row>
    <row r="72" spans="1:29">
      <c r="F72" s="112">
        <v>0</v>
      </c>
      <c r="G72" s="112">
        <v>0</v>
      </c>
      <c r="H72" s="112">
        <v>0</v>
      </c>
      <c r="I72" s="112">
        <v>0</v>
      </c>
      <c r="J72" s="112">
        <v>0</v>
      </c>
      <c r="K72" s="112">
        <v>0</v>
      </c>
      <c r="L72" s="112">
        <v>0</v>
      </c>
      <c r="M72" s="112">
        <v>0</v>
      </c>
      <c r="Q72" s="108">
        <v>70</v>
      </c>
      <c r="R72" s="27">
        <f t="shared" si="18"/>
        <v>5.833333333333333</v>
      </c>
      <c r="S72" s="18">
        <f t="shared" si="19"/>
        <v>183960000</v>
      </c>
      <c r="T72" s="42">
        <f t="shared" si="20"/>
        <v>19.058674259733245</v>
      </c>
      <c r="U72" s="42">
        <f t="shared" si="21"/>
        <v>3019.4998373561907</v>
      </c>
      <c r="V72" s="42">
        <f t="shared" si="22"/>
        <v>1372.4387493080542</v>
      </c>
      <c r="W72" s="42">
        <f t="shared" si="23"/>
        <v>186.76487648214086</v>
      </c>
      <c r="X72" s="42">
        <f t="shared" si="24"/>
        <v>100.94363599630543</v>
      </c>
      <c r="Y72" s="42">
        <f t="shared" si="25"/>
        <v>49.390179986587249</v>
      </c>
      <c r="Z72" s="42">
        <f t="shared" si="26"/>
        <v>35.87389351826836</v>
      </c>
      <c r="AA72" s="42">
        <f t="shared" si="27"/>
        <v>22196.770901615684</v>
      </c>
      <c r="AC72" s="19"/>
    </row>
    <row r="73" spans="1:29">
      <c r="D73" s="24"/>
      <c r="F73" s="111"/>
      <c r="P73" s="24"/>
      <c r="Q73" s="108">
        <v>71</v>
      </c>
      <c r="R73" s="27">
        <f t="shared" si="18"/>
        <v>5.916666666666667</v>
      </c>
      <c r="S73" s="18">
        <f t="shared" si="19"/>
        <v>186588000</v>
      </c>
      <c r="T73" s="42">
        <f t="shared" si="20"/>
        <v>18.923119740928023</v>
      </c>
      <c r="U73" s="42">
        <f t="shared" si="21"/>
        <v>3012.7299843544401</v>
      </c>
      <c r="V73" s="42">
        <f t="shared" si="22"/>
        <v>1374.0230927274245</v>
      </c>
      <c r="W73" s="42">
        <f t="shared" si="23"/>
        <v>186.73220671476457</v>
      </c>
      <c r="X73" s="42">
        <f t="shared" si="24"/>
        <v>101.10568818558994</v>
      </c>
      <c r="Y73" s="42">
        <f t="shared" si="25"/>
        <v>49.328211166881538</v>
      </c>
      <c r="Z73" s="42">
        <f t="shared" si="26"/>
        <v>35.186521718115515</v>
      </c>
      <c r="AA73" s="42">
        <f t="shared" si="27"/>
        <v>22139.620776370441</v>
      </c>
      <c r="AC73" s="19"/>
    </row>
    <row r="74" spans="1:29">
      <c r="F74" s="114" t="s">
        <v>169</v>
      </c>
      <c r="I74" s="19"/>
      <c r="J74" s="19"/>
      <c r="K74" s="19"/>
      <c r="L74" s="19"/>
      <c r="M74" s="19"/>
      <c r="Q74" s="108">
        <v>72</v>
      </c>
      <c r="R74" s="27">
        <f t="shared" si="18"/>
        <v>6</v>
      </c>
      <c r="S74" s="18">
        <f t="shared" si="19"/>
        <v>189216000</v>
      </c>
      <c r="T74" s="42">
        <f t="shared" si="20"/>
        <v>18.786722666234326</v>
      </c>
      <c r="U74" s="42">
        <f t="shared" si="21"/>
        <v>3005.9590667232901</v>
      </c>
      <c r="V74" s="42">
        <f t="shared" si="22"/>
        <v>1375.5706572891513</v>
      </c>
      <c r="W74" s="42">
        <f t="shared" si="23"/>
        <v>186.70622291274589</v>
      </c>
      <c r="X74" s="42">
        <f t="shared" si="24"/>
        <v>101.26652397869873</v>
      </c>
      <c r="Y74" s="42">
        <f t="shared" si="25"/>
        <v>49.267139998833599</v>
      </c>
      <c r="Z74" s="42">
        <f t="shared" si="26"/>
        <v>34.512320498162005</v>
      </c>
      <c r="AA74" s="42">
        <f t="shared" si="27"/>
        <v>22082.617795808084</v>
      </c>
      <c r="AC74" s="19"/>
    </row>
    <row r="75" spans="1:29">
      <c r="F75" s="112">
        <f t="array" ref="F75:M82">[2]!SYSLINSING(F$29:M$36-I42*[2]!M_ID(),,0.0001)</f>
        <v>0</v>
      </c>
      <c r="G75" s="112">
        <v>0</v>
      </c>
      <c r="H75" s="112">
        <v>0</v>
      </c>
      <c r="I75" s="112">
        <v>0</v>
      </c>
      <c r="J75" s="112">
        <v>0</v>
      </c>
      <c r="K75" s="112">
        <v>0</v>
      </c>
      <c r="L75" s="112">
        <v>0</v>
      </c>
      <c r="M75" s="112">
        <v>0</v>
      </c>
      <c r="Q75" s="108">
        <v>73</v>
      </c>
      <c r="R75" s="27">
        <f t="shared" si="18"/>
        <v>6.083333333333333</v>
      </c>
      <c r="S75" s="18">
        <f t="shared" si="19"/>
        <v>191844000</v>
      </c>
      <c r="T75" s="42">
        <f t="shared" si="20"/>
        <v>18.649550710831228</v>
      </c>
      <c r="U75" s="42">
        <f t="shared" si="21"/>
        <v>2999.1874165123832</v>
      </c>
      <c r="V75" s="42">
        <f t="shared" si="22"/>
        <v>1377.0817015304892</v>
      </c>
      <c r="W75" s="42">
        <f t="shared" si="23"/>
        <v>186.68660651554387</v>
      </c>
      <c r="X75" s="42">
        <f t="shared" si="24"/>
        <v>101.42617655131517</v>
      </c>
      <c r="Y75" s="42">
        <f t="shared" si="25"/>
        <v>49.206977878925727</v>
      </c>
      <c r="Z75" s="42">
        <f t="shared" si="26"/>
        <v>33.851037499811319</v>
      </c>
      <c r="AA75" s="42">
        <f t="shared" si="27"/>
        <v>22025.761581074556</v>
      </c>
      <c r="AC75" s="19"/>
    </row>
    <row r="76" spans="1:29">
      <c r="F76" s="112">
        <v>0</v>
      </c>
      <c r="G76" s="112">
        <v>0</v>
      </c>
      <c r="H76" s="112">
        <v>0</v>
      </c>
      <c r="I76" s="112">
        <v>0</v>
      </c>
      <c r="J76" s="112">
        <v>0</v>
      </c>
      <c r="K76" s="112">
        <v>0</v>
      </c>
      <c r="L76" s="112">
        <v>0</v>
      </c>
      <c r="M76" s="112">
        <v>0</v>
      </c>
      <c r="Q76" s="108">
        <v>74</v>
      </c>
      <c r="R76" s="27">
        <f t="shared" si="18"/>
        <v>6.166666666666667</v>
      </c>
      <c r="S76" s="18">
        <f t="shared" si="19"/>
        <v>194472000</v>
      </c>
      <c r="T76" s="42">
        <f t="shared" si="20"/>
        <v>18.511669481227131</v>
      </c>
      <c r="U76" s="42">
        <f t="shared" si="21"/>
        <v>2992.4153592316711</v>
      </c>
      <c r="V76" s="42">
        <f t="shared" si="22"/>
        <v>1378.5564833856047</v>
      </c>
      <c r="W76" s="42">
        <f t="shared" si="23"/>
        <v>186.67304863719508</v>
      </c>
      <c r="X76" s="42">
        <f t="shared" si="24"/>
        <v>101.58467774118174</v>
      </c>
      <c r="Y76" s="42">
        <f t="shared" si="25"/>
        <v>49.147734762526653</v>
      </c>
      <c r="Z76" s="42">
        <f t="shared" si="26"/>
        <v>33.202425199854588</v>
      </c>
      <c r="AA76" s="42">
        <f t="shared" si="27"/>
        <v>21969.051754291202</v>
      </c>
      <c r="AC76" s="19"/>
    </row>
    <row r="77" spans="1:29">
      <c r="F77" s="112">
        <v>0</v>
      </c>
      <c r="G77" s="112">
        <v>0</v>
      </c>
      <c r="H77" s="112">
        <v>0</v>
      </c>
      <c r="I77" s="112">
        <v>0</v>
      </c>
      <c r="J77" s="112">
        <v>0</v>
      </c>
      <c r="K77" s="112">
        <v>0</v>
      </c>
      <c r="L77" s="112">
        <v>0</v>
      </c>
      <c r="M77" s="112">
        <v>0</v>
      </c>
      <c r="Q77" s="108">
        <v>75</v>
      </c>
      <c r="R77" s="27">
        <f t="shared" si="18"/>
        <v>6.25</v>
      </c>
      <c r="S77" s="18">
        <f t="shared" si="19"/>
        <v>197100000</v>
      </c>
      <c r="T77" s="42">
        <f t="shared" si="20"/>
        <v>18.373142566461468</v>
      </c>
      <c r="U77" s="42">
        <f t="shared" si="21"/>
        <v>2985.6432139633107</v>
      </c>
      <c r="V77" s="42">
        <f t="shared" si="22"/>
        <v>1379.9952601654572</v>
      </c>
      <c r="W77" s="42">
        <f t="shared" si="23"/>
        <v>186.66524979924071</v>
      </c>
      <c r="X77" s="42">
        <f t="shared" si="24"/>
        <v>101.74205808876104</v>
      </c>
      <c r="Y77" s="42">
        <f t="shared" si="25"/>
        <v>49.089419225643027</v>
      </c>
      <c r="Z77" s="42">
        <f t="shared" si="26"/>
        <v>32.566240817820827</v>
      </c>
      <c r="AA77" s="42">
        <f t="shared" si="27"/>
        <v>21912.487938552331</v>
      </c>
      <c r="AC77" s="19"/>
    </row>
    <row r="78" spans="1:29">
      <c r="A78" s="4"/>
      <c r="B78" s="4"/>
      <c r="D78" s="4"/>
      <c r="F78" s="112">
        <v>0</v>
      </c>
      <c r="G78" s="112">
        <v>0</v>
      </c>
      <c r="H78" s="112">
        <v>0</v>
      </c>
      <c r="I78" s="112">
        <v>0</v>
      </c>
      <c r="J78" s="112">
        <v>0</v>
      </c>
      <c r="K78" s="112">
        <v>-2.7878824382448801</v>
      </c>
      <c r="L78" s="112">
        <v>0</v>
      </c>
      <c r="M78" s="112">
        <v>0</v>
      </c>
      <c r="Q78" s="108">
        <v>76</v>
      </c>
      <c r="R78" s="27">
        <f t="shared" si="18"/>
        <v>6.333333333333333</v>
      </c>
      <c r="S78" s="18">
        <f t="shared" si="19"/>
        <v>199728000</v>
      </c>
      <c r="T78" s="42">
        <f t="shared" si="20"/>
        <v>18.234031588152035</v>
      </c>
      <c r="U78" s="42">
        <f t="shared" si="21"/>
        <v>2978.8712934717337</v>
      </c>
      <c r="V78" s="42">
        <f t="shared" si="22"/>
        <v>1381.3982885382366</v>
      </c>
      <c r="W78" s="42">
        <f t="shared" si="23"/>
        <v>186.66291967088802</v>
      </c>
      <c r="X78" s="42">
        <f t="shared" si="24"/>
        <v>101.89834687679161</v>
      </c>
      <c r="Y78" s="42">
        <f t="shared" si="25"/>
        <v>49.032038524606591</v>
      </c>
      <c r="Z78" s="42">
        <f t="shared" si="26"/>
        <v>31.94224622510238</v>
      </c>
      <c r="AA78" s="42">
        <f t="shared" si="27"/>
        <v>21856.06975792264</v>
      </c>
      <c r="AC78" s="19"/>
    </row>
    <row r="79" spans="1:29">
      <c r="A79" s="4"/>
      <c r="B79" s="4"/>
      <c r="D79" s="4"/>
      <c r="F79" s="112">
        <v>0</v>
      </c>
      <c r="G79" s="112">
        <v>0</v>
      </c>
      <c r="H79" s="112">
        <v>0</v>
      </c>
      <c r="I79" s="112">
        <v>0</v>
      </c>
      <c r="J79" s="112">
        <v>0</v>
      </c>
      <c r="K79" s="112">
        <v>0.38900847987452802</v>
      </c>
      <c r="L79" s="112">
        <v>0</v>
      </c>
      <c r="M79" s="112">
        <v>0</v>
      </c>
      <c r="Q79" s="108">
        <v>77</v>
      </c>
      <c r="R79" s="27">
        <f t="shared" si="18"/>
        <v>6.416666666666667</v>
      </c>
      <c r="S79" s="18">
        <f t="shared" si="19"/>
        <v>202356000</v>
      </c>
      <c r="T79" s="42">
        <f t="shared" si="20"/>
        <v>18.094396249412952</v>
      </c>
      <c r="U79" s="42">
        <f t="shared" si="21"/>
        <v>2972.0999043119309</v>
      </c>
      <c r="V79" s="42">
        <f t="shared" si="22"/>
        <v>1382.7658245103576</v>
      </c>
      <c r="W79" s="42">
        <f t="shared" si="23"/>
        <v>186.6657768162149</v>
      </c>
      <c r="X79" s="42">
        <f t="shared" si="24"/>
        <v>102.05357216877178</v>
      </c>
      <c r="Y79" s="42">
        <f t="shared" si="25"/>
        <v>48.975598653758652</v>
      </c>
      <c r="Z79" s="42">
        <f t="shared" si="26"/>
        <v>31.330207855821573</v>
      </c>
      <c r="AA79" s="42">
        <f t="shared" si="27"/>
        <v>21799.796837434769</v>
      </c>
      <c r="AC79" s="19"/>
    </row>
    <row r="80" spans="1:29">
      <c r="A80" s="4"/>
      <c r="B80" s="4"/>
      <c r="D80" s="4"/>
      <c r="F80" s="112">
        <v>0</v>
      </c>
      <c r="G80" s="112">
        <v>0</v>
      </c>
      <c r="H80" s="112">
        <v>0</v>
      </c>
      <c r="I80" s="112">
        <v>0</v>
      </c>
      <c r="J80" s="112">
        <v>0</v>
      </c>
      <c r="K80" s="112">
        <v>1</v>
      </c>
      <c r="L80" s="112">
        <v>0</v>
      </c>
      <c r="M80" s="112">
        <v>0</v>
      </c>
      <c r="Q80" s="108">
        <v>78</v>
      </c>
      <c r="R80" s="27">
        <f t="shared" si="18"/>
        <v>6.5</v>
      </c>
      <c r="S80" s="18">
        <f t="shared" si="19"/>
        <v>204984000</v>
      </c>
      <c r="T80" s="42">
        <f t="shared" si="20"/>
        <v>17.954294382666902</v>
      </c>
      <c r="U80" s="42">
        <f t="shared" si="21"/>
        <v>2965.3293469359646</v>
      </c>
      <c r="V80" s="42">
        <f t="shared" si="22"/>
        <v>1384.0981234079879</v>
      </c>
      <c r="W80" s="42">
        <f t="shared" si="23"/>
        <v>186.67354844822304</v>
      </c>
      <c r="X80" s="42">
        <f t="shared" si="24"/>
        <v>102.20776084639243</v>
      </c>
      <c r="Y80" s="42">
        <f t="shared" si="25"/>
        <v>48.920104401192674</v>
      </c>
      <c r="Z80" s="42">
        <f t="shared" si="26"/>
        <v>30.729896619405249</v>
      </c>
      <c r="AA80" s="42">
        <f t="shared" si="27"/>
        <v>21743.668803086784</v>
      </c>
      <c r="AC80" s="19"/>
    </row>
    <row r="81" spans="1:29">
      <c r="A81" s="4"/>
      <c r="B81" s="4"/>
      <c r="D81" s="4"/>
      <c r="F81" s="112">
        <v>0</v>
      </c>
      <c r="G81" s="112">
        <v>0</v>
      </c>
      <c r="H81" s="112">
        <v>0</v>
      </c>
      <c r="I81" s="112">
        <v>0</v>
      </c>
      <c r="J81" s="112">
        <v>0</v>
      </c>
      <c r="K81" s="112">
        <v>0</v>
      </c>
      <c r="L81" s="112">
        <v>0</v>
      </c>
      <c r="M81" s="112">
        <v>0</v>
      </c>
      <c r="Q81" s="108">
        <v>79</v>
      </c>
      <c r="R81" s="27">
        <f t="shared" si="18"/>
        <v>6.583333333333333</v>
      </c>
      <c r="S81" s="18">
        <f t="shared" si="19"/>
        <v>207612000</v>
      </c>
      <c r="T81" s="42">
        <f t="shared" si="20"/>
        <v>17.81378199637593</v>
      </c>
      <c r="U81" s="42">
        <f t="shared" si="21"/>
        <v>2958.5599157977517</v>
      </c>
      <c r="V81" s="42">
        <f t="shared" si="22"/>
        <v>1385.39543985911</v>
      </c>
      <c r="W81" s="42">
        <f t="shared" si="23"/>
        <v>186.68597018955617</v>
      </c>
      <c r="X81" s="42">
        <f t="shared" si="24"/>
        <v>102.36093864595324</v>
      </c>
      <c r="Y81" s="42">
        <f t="shared" si="25"/>
        <v>48.86555940261438</v>
      </c>
      <c r="Z81" s="42">
        <f t="shared" si="26"/>
        <v>30.141087814834457</v>
      </c>
      <c r="AA81" s="42">
        <f t="shared" si="27"/>
        <v>21687.685281839687</v>
      </c>
      <c r="AC81" s="19"/>
    </row>
    <row r="82" spans="1:29">
      <c r="A82" s="4"/>
      <c r="B82" s="4"/>
      <c r="D82" s="4"/>
      <c r="F82" s="112">
        <v>0</v>
      </c>
      <c r="G82" s="112">
        <v>0</v>
      </c>
      <c r="H82" s="112">
        <v>0</v>
      </c>
      <c r="I82" s="112">
        <v>0</v>
      </c>
      <c r="J82" s="112">
        <v>0</v>
      </c>
      <c r="K82" s="112">
        <v>0</v>
      </c>
      <c r="L82" s="112">
        <v>0</v>
      </c>
      <c r="M82" s="112">
        <v>0</v>
      </c>
      <c r="Q82" s="108">
        <v>80</v>
      </c>
      <c r="R82" s="27">
        <f t="shared" si="18"/>
        <v>6.666666666666667</v>
      </c>
      <c r="S82" s="18">
        <f t="shared" si="19"/>
        <v>210240000</v>
      </c>
      <c r="T82" s="42">
        <f t="shared" si="20"/>
        <v>17.6729133207137</v>
      </c>
      <c r="U82" s="42">
        <f t="shared" si="21"/>
        <v>2951.7918994561305</v>
      </c>
      <c r="V82" s="42">
        <f t="shared" si="22"/>
        <v>1386.6580277760979</v>
      </c>
      <c r="W82" s="42">
        <f t="shared" si="23"/>
        <v>186.70278583970236</v>
      </c>
      <c r="X82" s="42">
        <f t="shared" si="24"/>
        <v>102.51313019378665</v>
      </c>
      <c r="Y82" s="42">
        <f t="shared" si="25"/>
        <v>48.811966193375255</v>
      </c>
      <c r="Z82" s="42">
        <f t="shared" si="26"/>
        <v>29.563561046537121</v>
      </c>
      <c r="AA82" s="42">
        <f t="shared" si="27"/>
        <v>21631.845901614954</v>
      </c>
      <c r="AC82" s="19"/>
    </row>
    <row r="83" spans="1:29">
      <c r="A83" s="4"/>
      <c r="B83" s="4"/>
      <c r="D83" s="4"/>
      <c r="Q83" s="108">
        <v>81</v>
      </c>
      <c r="R83" s="27">
        <f t="shared" si="18"/>
        <v>6.75</v>
      </c>
      <c r="S83" s="18">
        <f t="shared" si="19"/>
        <v>212868000</v>
      </c>
      <c r="T83" s="42">
        <f t="shared" si="20"/>
        <v>17.53174085220186</v>
      </c>
      <c r="U83" s="42">
        <f t="shared" si="21"/>
        <v>2945.0255806762493</v>
      </c>
      <c r="V83" s="42">
        <f t="shared" si="22"/>
        <v>1387.8861403388078</v>
      </c>
      <c r="W83" s="42">
        <f t="shared" si="23"/>
        <v>186.72374714850434</v>
      </c>
      <c r="X83" s="42">
        <f t="shared" si="24"/>
        <v>102.66435904071318</v>
      </c>
      <c r="Y83" s="42">
        <f t="shared" si="25"/>
        <v>48.759326258736564</v>
      </c>
      <c r="Z83" s="42">
        <f t="shared" si="26"/>
        <v>28.997100141892396</v>
      </c>
      <c r="AA83" s="42">
        <f t="shared" si="27"/>
        <v>21576.150291292051</v>
      </c>
      <c r="AC83" s="19"/>
    </row>
    <row r="84" spans="1:29">
      <c r="A84" s="4"/>
      <c r="B84" s="4"/>
      <c r="D84" s="4"/>
      <c r="F84" s="114" t="s">
        <v>170</v>
      </c>
      <c r="I84" s="19"/>
      <c r="J84" s="19"/>
      <c r="K84" s="19"/>
      <c r="L84" s="19"/>
      <c r="M84" s="19"/>
      <c r="Q84" s="108">
        <v>82</v>
      </c>
      <c r="R84" s="27">
        <f t="shared" si="18"/>
        <v>6.833333333333333</v>
      </c>
      <c r="S84" s="18">
        <f t="shared" si="19"/>
        <v>215496000</v>
      </c>
      <c r="T84" s="42">
        <f t="shared" si="20"/>
        <v>17.390315397333165</v>
      </c>
      <c r="U84" s="42">
        <f t="shared" si="21"/>
        <v>2938.261236529298</v>
      </c>
      <c r="V84" s="42">
        <f t="shared" si="22"/>
        <v>1389.0800299781629</v>
      </c>
      <c r="W84" s="42">
        <f t="shared" si="23"/>
        <v>186.74861359580848</v>
      </c>
      <c r="X84" s="42">
        <f t="shared" si="24"/>
        <v>102.81464769556095</v>
      </c>
      <c r="Y84" s="42">
        <f t="shared" si="25"/>
        <v>48.707640082415836</v>
      </c>
      <c r="Z84" s="42">
        <f t="shared" si="26"/>
        <v>28.441493070315541</v>
      </c>
      <c r="AA84" s="42">
        <f t="shared" si="27"/>
        <v>21520.598080705971</v>
      </c>
    </row>
    <row r="85" spans="1:29">
      <c r="A85" s="4"/>
      <c r="B85" s="4"/>
      <c r="D85" s="4"/>
      <c r="F85" s="112">
        <f t="array" ref="F85:M92">[2]!SYSLINSING(F$29:M$36-J42*[2]!M_ID(),,0.0001)</f>
        <v>0</v>
      </c>
      <c r="G85" s="112">
        <v>0</v>
      </c>
      <c r="H85" s="112">
        <v>0</v>
      </c>
      <c r="I85" s="112">
        <v>0</v>
      </c>
      <c r="J85" s="112">
        <v>0</v>
      </c>
      <c r="K85" s="112">
        <v>0</v>
      </c>
      <c r="L85" s="112">
        <v>0</v>
      </c>
      <c r="M85" s="112">
        <v>0</v>
      </c>
      <c r="Q85" s="108">
        <v>83</v>
      </c>
      <c r="R85" s="27">
        <f t="shared" si="18"/>
        <v>6.916666666666667</v>
      </c>
      <c r="S85" s="18">
        <f t="shared" si="19"/>
        <v>218124000</v>
      </c>
      <c r="T85" s="42">
        <f t="shared" si="20"/>
        <v>17.24868611520256</v>
      </c>
      <c r="U85" s="42">
        <f t="shared" si="21"/>
        <v>2931.4991384906007</v>
      </c>
      <c r="V85" s="42">
        <f t="shared" si="22"/>
        <v>1390.2399483602308</v>
      </c>
      <c r="W85" s="42">
        <f t="shared" si="23"/>
        <v>186.77715217708405</v>
      </c>
      <c r="X85" s="42">
        <f t="shared" si="24"/>
        <v>102.96401765776375</v>
      </c>
      <c r="Y85" s="42">
        <f t="shared" si="25"/>
        <v>48.656907193470119</v>
      </c>
      <c r="Z85" s="42">
        <f t="shared" si="26"/>
        <v>27.896531863893316</v>
      </c>
      <c r="AA85" s="42">
        <f t="shared" si="27"/>
        <v>21465.188900644767</v>
      </c>
    </row>
    <row r="86" spans="1:29">
      <c r="A86" s="4"/>
      <c r="B86" s="4"/>
      <c r="D86" s="4"/>
      <c r="F86" s="112">
        <v>0</v>
      </c>
      <c r="G86" s="112">
        <v>0</v>
      </c>
      <c r="H86" s="112">
        <v>0</v>
      </c>
      <c r="I86" s="112">
        <v>0</v>
      </c>
      <c r="J86" s="112">
        <v>0</v>
      </c>
      <c r="K86" s="112">
        <v>0</v>
      </c>
      <c r="L86" s="112">
        <v>0</v>
      </c>
      <c r="M86" s="112">
        <v>0</v>
      </c>
      <c r="Q86" s="108">
        <v>84</v>
      </c>
      <c r="R86" s="27">
        <f t="shared" si="18"/>
        <v>7</v>
      </c>
      <c r="S86" s="18">
        <f t="shared" si="19"/>
        <v>220752000</v>
      </c>
      <c r="T86" s="42">
        <f t="shared" si="20"/>
        <v>17.106900559168096</v>
      </c>
      <c r="U86" s="42">
        <f t="shared" si="21"/>
        <v>2924.7395525361162</v>
      </c>
      <c r="V86" s="42">
        <f t="shared" si="22"/>
        <v>1391.3661463707815</v>
      </c>
      <c r="W86" s="42">
        <f t="shared" si="23"/>
        <v>186.80913719485349</v>
      </c>
      <c r="X86" s="42">
        <f t="shared" si="24"/>
        <v>103.11248944907408</v>
      </c>
      <c r="Y86" s="42">
        <f t="shared" si="25"/>
        <v>48.607126211565003</v>
      </c>
      <c r="Z86" s="42">
        <f t="shared" si="26"/>
        <v>27.362012539540057</v>
      </c>
      <c r="AA86" s="42">
        <f t="shared" si="27"/>
        <v>21409.922382847108</v>
      </c>
    </row>
    <row r="87" spans="1:29">
      <c r="A87" s="4"/>
      <c r="B87" s="4"/>
      <c r="D87" s="4"/>
      <c r="F87" s="112">
        <v>0</v>
      </c>
      <c r="G87" s="112">
        <v>0</v>
      </c>
      <c r="H87" s="112">
        <v>0</v>
      </c>
      <c r="I87" s="112">
        <v>0</v>
      </c>
      <c r="J87" s="112">
        <v>0</v>
      </c>
      <c r="K87" s="112">
        <v>0</v>
      </c>
      <c r="L87" s="112">
        <v>0</v>
      </c>
      <c r="M87" s="112">
        <v>0</v>
      </c>
      <c r="Q87" s="108">
        <v>85</v>
      </c>
      <c r="R87" s="27">
        <f t="shared" si="18"/>
        <v>7.083333333333333</v>
      </c>
      <c r="S87" s="18">
        <f t="shared" si="19"/>
        <v>223380000</v>
      </c>
      <c r="T87" s="42">
        <f t="shared" si="20"/>
        <v>16.96500471756233</v>
      </c>
      <c r="U87" s="42">
        <f t="shared" si="21"/>
        <v>2917.9827392373486</v>
      </c>
      <c r="V87" s="42">
        <f t="shared" si="22"/>
        <v>1392.4588741003133</v>
      </c>
      <c r="W87" s="42">
        <f t="shared" si="23"/>
        <v>186.84435005577464</v>
      </c>
      <c r="X87" s="42">
        <f t="shared" si="24"/>
        <v>103.26008264440236</v>
      </c>
      <c r="Y87" s="42">
        <f t="shared" si="25"/>
        <v>48.558294890680529</v>
      </c>
      <c r="Z87" s="42">
        <f t="shared" si="26"/>
        <v>26.837735022645191</v>
      </c>
      <c r="AA87" s="42">
        <f t="shared" si="27"/>
        <v>21354.798159999831</v>
      </c>
    </row>
    <row r="88" spans="1:29">
      <c r="A88" s="4"/>
      <c r="B88" s="4"/>
      <c r="D88" s="4"/>
      <c r="F88" s="112">
        <v>0</v>
      </c>
      <c r="G88" s="112">
        <v>0</v>
      </c>
      <c r="H88" s="112">
        <v>0</v>
      </c>
      <c r="I88" s="112">
        <v>0</v>
      </c>
      <c r="J88" s="112">
        <v>0</v>
      </c>
      <c r="K88" s="112">
        <v>0</v>
      </c>
      <c r="L88" s="112">
        <v>0</v>
      </c>
      <c r="M88" s="112">
        <v>0</v>
      </c>
      <c r="Q88" s="108">
        <v>86</v>
      </c>
      <c r="R88" s="27">
        <f t="shared" si="18"/>
        <v>7.166666666666667</v>
      </c>
      <c r="S88" s="18">
        <f t="shared" si="19"/>
        <v>226008000</v>
      </c>
      <c r="T88" s="42">
        <f t="shared" si="20"/>
        <v>16.823043053474645</v>
      </c>
      <c r="U88" s="42">
        <f t="shared" si="21"/>
        <v>2911.2289538547006</v>
      </c>
      <c r="V88" s="42">
        <f t="shared" si="22"/>
        <v>1393.5183808295378</v>
      </c>
      <c r="W88" s="42">
        <f t="shared" si="23"/>
        <v>186.8825790732223</v>
      </c>
      <c r="X88" s="42">
        <f t="shared" si="24"/>
        <v>103.40681590181487</v>
      </c>
      <c r="Y88" s="42">
        <f t="shared" si="25"/>
        <v>48.510410161299845</v>
      </c>
      <c r="Z88" s="42">
        <f t="shared" si="26"/>
        <v>26.323503072183868</v>
      </c>
      <c r="AA88" s="42">
        <f t="shared" si="27"/>
        <v>21299.815865735483</v>
      </c>
    </row>
    <row r="89" spans="1:29">
      <c r="A89" s="4"/>
      <c r="B89" s="4"/>
      <c r="D89" s="4"/>
      <c r="F89" s="112">
        <v>0</v>
      </c>
      <c r="G89" s="112">
        <v>0</v>
      </c>
      <c r="H89" s="112">
        <v>0</v>
      </c>
      <c r="I89" s="112">
        <v>0</v>
      </c>
      <c r="J89" s="112">
        <v>1</v>
      </c>
      <c r="K89" s="112">
        <v>0</v>
      </c>
      <c r="L89" s="112">
        <v>0</v>
      </c>
      <c r="M89" s="112">
        <v>0</v>
      </c>
      <c r="Q89" s="108">
        <v>87</v>
      </c>
      <c r="R89" s="27">
        <f t="shared" si="18"/>
        <v>7.25</v>
      </c>
      <c r="S89" s="18">
        <f t="shared" si="19"/>
        <v>228636000</v>
      </c>
      <c r="T89" s="42">
        <f t="shared" si="20"/>
        <v>16.68105854362457</v>
      </c>
      <c r="U89" s="42">
        <f t="shared" si="21"/>
        <v>2904.4784464293061</v>
      </c>
      <c r="V89" s="42">
        <f t="shared" si="22"/>
        <v>1394.5449150153238</v>
      </c>
      <c r="W89" s="42">
        <f t="shared" si="23"/>
        <v>186.92361927522145</v>
      </c>
      <c r="X89" s="42">
        <f t="shared" si="24"/>
        <v>103.55270699170927</v>
      </c>
      <c r="Y89" s="42">
        <f t="shared" si="25"/>
        <v>48.463468171129385</v>
      </c>
      <c r="Z89" s="42">
        <f t="shared" si="26"/>
        <v>25.819124207262444</v>
      </c>
      <c r="AA89" s="42">
        <f t="shared" si="27"/>
        <v>21244.975134629913</v>
      </c>
    </row>
    <row r="90" spans="1:29">
      <c r="A90" s="4"/>
      <c r="B90" s="4"/>
      <c r="D90" s="4"/>
      <c r="F90" s="112">
        <v>0</v>
      </c>
      <c r="G90" s="112">
        <v>0</v>
      </c>
      <c r="H90" s="112">
        <v>0</v>
      </c>
      <c r="I90" s="112">
        <v>0</v>
      </c>
      <c r="J90" s="112">
        <v>0</v>
      </c>
      <c r="K90" s="112">
        <v>0</v>
      </c>
      <c r="L90" s="112">
        <v>0</v>
      </c>
      <c r="M90" s="112">
        <v>0</v>
      </c>
      <c r="Q90" s="108">
        <v>88</v>
      </c>
      <c r="R90" s="27">
        <f t="shared" si="18"/>
        <v>7.333333333333333</v>
      </c>
      <c r="S90" s="18">
        <f t="shared" si="19"/>
        <v>231264000</v>
      </c>
      <c r="T90" s="42">
        <f t="shared" si="20"/>
        <v>16.539092716345735</v>
      </c>
      <c r="U90" s="42">
        <f t="shared" si="21"/>
        <v>2897.7314618733426</v>
      </c>
      <c r="V90" s="42">
        <f t="shared" si="22"/>
        <v>1395.5387242770778</v>
      </c>
      <c r="W90" s="42">
        <f t="shared" si="23"/>
        <v>186.96727221758567</v>
      </c>
      <c r="X90" s="42">
        <f t="shared" si="24"/>
        <v>103.69777282518726</v>
      </c>
      <c r="Y90" s="42">
        <f t="shared" si="25"/>
        <v>48.417464324393627</v>
      </c>
      <c r="Z90" s="42">
        <f t="shared" si="26"/>
        <v>25.324409635071436</v>
      </c>
      <c r="AA90" s="42">
        <f t="shared" si="27"/>
        <v>21190.275602199821</v>
      </c>
    </row>
    <row r="91" spans="1:29">
      <c r="A91" s="4"/>
      <c r="B91" s="4"/>
      <c r="D91" s="4"/>
      <c r="F91" s="112">
        <v>0</v>
      </c>
      <c r="G91" s="112">
        <v>0</v>
      </c>
      <c r="H91" s="112">
        <v>0</v>
      </c>
      <c r="I91" s="112">
        <v>0</v>
      </c>
      <c r="J91" s="112">
        <v>0</v>
      </c>
      <c r="K91" s="112">
        <v>0</v>
      </c>
      <c r="L91" s="112">
        <v>0</v>
      </c>
      <c r="M91" s="112">
        <v>0</v>
      </c>
      <c r="Q91" s="108">
        <v>89</v>
      </c>
      <c r="R91" s="27">
        <f t="shared" si="18"/>
        <v>7.416666666666667</v>
      </c>
      <c r="S91" s="18">
        <f t="shared" si="19"/>
        <v>233892000</v>
      </c>
      <c r="T91" s="42">
        <f t="shared" si="20"/>
        <v>16.3971856886997</v>
      </c>
      <c r="U91" s="42">
        <f t="shared" si="21"/>
        <v>2890.9882400588704</v>
      </c>
      <c r="V91" s="42">
        <f t="shared" si="22"/>
        <v>1396.500055383563</v>
      </c>
      <c r="W91" s="42">
        <f t="shared" si="23"/>
        <v>187.01334580212085</v>
      </c>
      <c r="X91" s="42">
        <f t="shared" si="24"/>
        <v>103.84202948164841</v>
      </c>
      <c r="Y91" s="42">
        <f t="shared" si="25"/>
        <v>48.372393319750188</v>
      </c>
      <c r="Z91" s="42">
        <f t="shared" si="26"/>
        <v>24.839174180218926</v>
      </c>
      <c r="AA91" s="42">
        <f t="shared" si="27"/>
        <v>21135.71690490035</v>
      </c>
    </row>
    <row r="92" spans="1:29">
      <c r="A92" s="4"/>
      <c r="B92" s="4"/>
      <c r="D92" s="4"/>
      <c r="F92" s="112">
        <v>0</v>
      </c>
      <c r="G92" s="112">
        <v>0</v>
      </c>
      <c r="H92" s="112">
        <v>0</v>
      </c>
      <c r="I92" s="112">
        <v>0</v>
      </c>
      <c r="J92" s="112">
        <v>0</v>
      </c>
      <c r="K92" s="112">
        <v>0</v>
      </c>
      <c r="L92" s="112">
        <v>0</v>
      </c>
      <c r="M92" s="112">
        <v>0</v>
      </c>
      <c r="Q92" s="108">
        <v>90</v>
      </c>
      <c r="R92" s="27">
        <f t="shared" si="18"/>
        <v>7.5</v>
      </c>
      <c r="S92" s="18">
        <f t="shared" si="19"/>
        <v>236520000</v>
      </c>
      <c r="T92" s="42">
        <f t="shared" si="20"/>
        <v>16.255376202738315</v>
      </c>
      <c r="U92" s="42">
        <f t="shared" si="21"/>
        <v>2884.2490159052049</v>
      </c>
      <c r="V92" s="42">
        <f t="shared" si="22"/>
        <v>1397.42915424014</v>
      </c>
      <c r="W92" s="42">
        <f t="shared" si="23"/>
        <v>187.06165409975679</v>
      </c>
      <c r="X92" s="42">
        <f t="shared" si="24"/>
        <v>103.985492235626</v>
      </c>
      <c r="Y92" s="42">
        <f t="shared" si="25"/>
        <v>48.328249186865982</v>
      </c>
      <c r="Z92" s="42">
        <f t="shared" si="26"/>
        <v>24.36323621541807</v>
      </c>
      <c r="AA92" s="42">
        <f t="shared" si="27"/>
        <v>21081.298680122658</v>
      </c>
    </row>
    <row r="93" spans="1:29">
      <c r="A93" s="4"/>
      <c r="B93" s="4"/>
      <c r="D93" s="4"/>
      <c r="Q93" s="108">
        <v>91</v>
      </c>
      <c r="R93" s="27">
        <f t="shared" si="18"/>
        <v>7.583333333333333</v>
      </c>
      <c r="S93" s="18">
        <f t="shared" si="19"/>
        <v>239148000</v>
      </c>
      <c r="T93" s="42">
        <f t="shared" si="20"/>
        <v>16.113701660933216</v>
      </c>
      <c r="U93" s="42">
        <f t="shared" si="21"/>
        <v>2877.5140194648543</v>
      </c>
      <c r="V93" s="42">
        <f t="shared" si="22"/>
        <v>1398.3262658764279</v>
      </c>
      <c r="W93" s="42">
        <f t="shared" si="23"/>
        <v>187.11201717847433</v>
      </c>
      <c r="X93" s="42">
        <f t="shared" si="24"/>
        <v>104.1281755828827</v>
      </c>
      <c r="Y93" s="42">
        <f t="shared" si="25"/>
        <v>48.285025321697553</v>
      </c>
      <c r="Z93" s="42">
        <f t="shared" si="26"/>
        <v>23.896417593502576</v>
      </c>
      <c r="AA93" s="42">
        <f t="shared" si="27"/>
        <v>21027.020566191513</v>
      </c>
    </row>
    <row r="94" spans="1:29">
      <c r="A94" s="4"/>
      <c r="B94" s="4"/>
      <c r="D94" s="4"/>
      <c r="F94" s="114" t="s">
        <v>171</v>
      </c>
      <c r="I94" s="19"/>
      <c r="J94" s="19"/>
      <c r="K94" s="19"/>
      <c r="L94" s="19"/>
      <c r="M94" s="19"/>
      <c r="Q94" s="108">
        <v>92</v>
      </c>
      <c r="R94" s="27">
        <f t="shared" si="18"/>
        <v>7.666666666666667</v>
      </c>
      <c r="S94" s="18">
        <f t="shared" si="19"/>
        <v>241776000</v>
      </c>
      <c r="T94" s="42">
        <f t="shared" si="20"/>
        <v>15.97219816079031</v>
      </c>
      <c r="U94" s="42">
        <f t="shared" si="21"/>
        <v>2870.7834760080432</v>
      </c>
      <c r="V94" s="42">
        <f t="shared" si="22"/>
        <v>1399.1916344343745</v>
      </c>
      <c r="W94" s="42">
        <f t="shared" si="23"/>
        <v>187.1642609358957</v>
      </c>
      <c r="X94" s="42">
        <f t="shared" si="24"/>
        <v>104.27009326578639</v>
      </c>
      <c r="Y94" s="42">
        <f t="shared" si="25"/>
        <v>48.242714520514411</v>
      </c>
      <c r="Z94" s="42">
        <f t="shared" si="26"/>
        <v>23.438543580744927</v>
      </c>
      <c r="AA94" s="42">
        <f t="shared" si="27"/>
        <v>20972.882202362893</v>
      </c>
    </row>
    <row r="95" spans="1:29" s="4" customFormat="1">
      <c r="C95" s="2"/>
      <c r="E95" s="19"/>
      <c r="F95" s="112">
        <f t="array" ref="F95:M102">[2]!SYSLINSING(F$29:M$36-K42*[2]!M_ID(),,0.001)</f>
        <v>0</v>
      </c>
      <c r="G95" s="112">
        <v>0</v>
      </c>
      <c r="H95" s="112">
        <v>0</v>
      </c>
      <c r="I95" s="112">
        <v>0</v>
      </c>
      <c r="J95" s="112">
        <v>0</v>
      </c>
      <c r="K95" s="112">
        <v>0</v>
      </c>
      <c r="L95" s="112">
        <v>0</v>
      </c>
      <c r="M95" s="112">
        <v>0</v>
      </c>
      <c r="Q95" s="108">
        <v>93</v>
      </c>
      <c r="R95" s="27">
        <f t="shared" si="18"/>
        <v>7.75</v>
      </c>
      <c r="S95" s="18">
        <f t="shared" si="19"/>
        <v>244404000</v>
      </c>
      <c r="T95" s="42">
        <f t="shared" si="20"/>
        <v>15.830900528667076</v>
      </c>
      <c r="U95" s="42">
        <f t="shared" si="21"/>
        <v>2864.0576061058409</v>
      </c>
      <c r="V95" s="42">
        <f t="shared" si="22"/>
        <v>1400.0255031567237</v>
      </c>
      <c r="W95" s="42">
        <f t="shared" si="23"/>
        <v>187.21821693641604</v>
      </c>
      <c r="X95" s="42">
        <f t="shared" si="24"/>
        <v>104.41125829798818</v>
      </c>
      <c r="Y95" s="42">
        <f t="shared" si="25"/>
        <v>48.20130901270511</v>
      </c>
      <c r="Z95" s="42">
        <f t="shared" si="26"/>
        <v>22.989442791452198</v>
      </c>
      <c r="AA95" s="42">
        <f t="shared" si="27"/>
        <v>20918.883228821585</v>
      </c>
    </row>
    <row r="96" spans="1:29" s="4" customFormat="1">
      <c r="C96" s="2"/>
      <c r="E96" s="19"/>
      <c r="F96" s="112">
        <v>0</v>
      </c>
      <c r="G96" s="112">
        <v>0</v>
      </c>
      <c r="H96" s="112">
        <v>0</v>
      </c>
      <c r="I96" s="112">
        <v>0</v>
      </c>
      <c r="J96" s="112">
        <v>0</v>
      </c>
      <c r="K96" s="112">
        <v>0</v>
      </c>
      <c r="L96" s="112">
        <v>0</v>
      </c>
      <c r="M96" s="112">
        <v>0</v>
      </c>
      <c r="Q96" s="108">
        <v>94</v>
      </c>
      <c r="R96" s="27">
        <f t="shared" si="18"/>
        <v>7.833333333333333</v>
      </c>
      <c r="S96" s="18">
        <f t="shared" si="19"/>
        <v>247032000</v>
      </c>
      <c r="T96" s="42">
        <f t="shared" si="20"/>
        <v>15.689842352809826</v>
      </c>
      <c r="U96" s="42">
        <f t="shared" si="21"/>
        <v>2857.3366257119214</v>
      </c>
      <c r="V96" s="42">
        <f t="shared" si="22"/>
        <v>1400.8281143758779</v>
      </c>
      <c r="W96" s="42">
        <f t="shared" si="23"/>
        <v>187.27372225274868</v>
      </c>
      <c r="X96" s="42">
        <f t="shared" si="24"/>
        <v>104.55168298841465</v>
      </c>
      <c r="Y96" s="42">
        <f t="shared" si="25"/>
        <v>48.160800492403482</v>
      </c>
      <c r="Z96" s="42">
        <f t="shared" si="26"/>
        <v>22.548947123815104</v>
      </c>
      <c r="AA96" s="42">
        <f t="shared" si="27"/>
        <v>20865.023286678796</v>
      </c>
    </row>
    <row r="97" spans="3:27" s="4" customFormat="1">
      <c r="C97" s="2"/>
      <c r="E97" s="19"/>
      <c r="F97" s="112">
        <v>0</v>
      </c>
      <c r="G97" s="112">
        <v>0</v>
      </c>
      <c r="H97" s="112">
        <v>0</v>
      </c>
      <c r="I97" s="112">
        <v>0</v>
      </c>
      <c r="J97" s="112">
        <v>0</v>
      </c>
      <c r="K97" s="112">
        <v>0</v>
      </c>
      <c r="L97" s="112">
        <v>0</v>
      </c>
      <c r="M97" s="112">
        <v>0</v>
      </c>
      <c r="Q97" s="108">
        <v>95</v>
      </c>
      <c r="R97" s="27">
        <f t="shared" si="18"/>
        <v>7.916666666666667</v>
      </c>
      <c r="S97" s="18">
        <f t="shared" si="19"/>
        <v>249660000</v>
      </c>
      <c r="T97" s="42">
        <f t="shared" si="20"/>
        <v>15.549056015627844</v>
      </c>
      <c r="U97" s="42">
        <f t="shared" si="21"/>
        <v>2850.6207462429747</v>
      </c>
      <c r="V97" s="42">
        <f t="shared" si="22"/>
        <v>1401.5997095031466</v>
      </c>
      <c r="W97" s="42">
        <f t="shared" si="23"/>
        <v>187.33061931176857</v>
      </c>
      <c r="X97" s="42">
        <f t="shared" si="24"/>
        <v>104.69137896460012</v>
      </c>
      <c r="Y97" s="42">
        <f t="shared" si="25"/>
        <v>48.121180148972201</v>
      </c>
      <c r="Z97" s="42">
        <f t="shared" si="26"/>
        <v>22.116891696986251</v>
      </c>
      <c r="AA97" s="42">
        <f t="shared" si="27"/>
        <v>20811.30201796976</v>
      </c>
    </row>
    <row r="98" spans="3:27" s="4" customFormat="1">
      <c r="C98" s="2"/>
      <c r="E98" s="19"/>
      <c r="F98" s="112">
        <v>0</v>
      </c>
      <c r="G98" s="112">
        <v>0</v>
      </c>
      <c r="H98" s="112">
        <v>0</v>
      </c>
      <c r="I98" s="112">
        <v>0</v>
      </c>
      <c r="J98" s="112">
        <v>0</v>
      </c>
      <c r="K98" s="112">
        <v>0</v>
      </c>
      <c r="L98" s="112">
        <v>0</v>
      </c>
      <c r="M98" s="112">
        <v>0</v>
      </c>
      <c r="Q98" s="108">
        <v>96</v>
      </c>
      <c r="R98" s="27">
        <f t="shared" si="18"/>
        <v>8</v>
      </c>
      <c r="S98" s="18">
        <f t="shared" si="19"/>
        <v>252288000</v>
      </c>
      <c r="T98" s="42">
        <f t="shared" ref="T98:T129" si="28">$F$148*EXP($F$24*$S98)+$G$148*EXP($G$24*$S98)+$H$148*EXP($H$24*$S98)+$I$148*EXP($I$24*$S98)+$J$148*EXP($J$24*$S98)+$K$148*EXP($K$24*$S98)+$L$148*EXP($L$24*$S98)+$M$148*EXP($M$24*$S98)</f>
        <v>15.408572725221177</v>
      </c>
      <c r="U98" s="42">
        <f t="shared" ref="U98:U129" si="29">$F$149*EXP($F$24*$S98)+$G$149*EXP($G$24*$S98)+$H$149*EXP($H$24*$S98)+$I$149*EXP($I$24*$S98)+$J$149*EXP($J$24*$S98)+$K$149*EXP($K$24*$S98)+$L$149*EXP($L$24*$S98)+$M$149*EXP($M$24*$S98)</f>
        <v>2843.910174657789</v>
      </c>
      <c r="V98" s="42">
        <f t="shared" ref="V98:V129" si="30">$F$150*EXP($F$24*$S98)+$G$150*EXP($G$24*$S98)+$H$150*EXP($H$24*$S98)+$I$150*EXP($I$24*$S98)+$J$150*EXP($J$24*$S98)+$K$150*EXP($K$24*$S98)+$L$150*EXP($L$24*$S98)+$M$150*EXP($M$24*$S98)</f>
        <v>1402.3405290183673</v>
      </c>
      <c r="W98" s="42">
        <f t="shared" ref="W98:W129" si="31">$F$151*EXP($F$24*$S98)+$G$151*EXP($G$24*$S98)+$H$151*EXP($H$24*$S98)+$I$151*EXP($I$24*$S98)+$J$151*EXP($J$24*$S98)+$K$151*EXP($K$24*$S98)+$L$151*EXP($L$24*$S98)+$M$151*EXP($M$24*$S98)</f>
        <v>187.38875574453553</v>
      </c>
      <c r="X98" s="42">
        <f t="shared" ref="X98:X129" si="32">$F$152*EXP($F$24*$S98)+$G$152*EXP($G$24*$S98)+$H$152*EXP($H$24*$S98)+$I$152*EXP($I$24*$S98)+$J$152*EXP($J$24*$S98)+$K$152*EXP($K$24*$S98)+$L$152*EXP($L$24*$S98)+$M$152*EXP($M$24*$S98)</f>
        <v>104.830357195369</v>
      </c>
      <c r="Y98" s="42">
        <f t="shared" ref="Y98:Y129" si="33">$F$153*EXP($F$24*$S98)+$G$153*EXP($G$24*$S98)+$H$153*EXP($H$24*$S98)+$I$153*EXP($I$24*$S98)+$J$153*EXP($J$24*$S98)+$K$153*EXP($K$24*$S98)+$L$153*EXP($L$24*$S98)+$M$153*EXP($M$24*$S98)</f>
        <v>48.082438696378588</v>
      </c>
      <c r="Z98" s="42">
        <f t="shared" ref="Z98:Z129" si="34">$F$154*EXP($F$24*$S98)+$G$154*EXP($G$24*$S98)+$H$154*EXP($H$24*$S98)+$I$154*EXP($I$24*$S98)+$J$154*EXP($J$24*$S98)+$K$154*EXP($K$24*$S98)+$L$154*EXP($L$24*$S98)+$M$154*EXP($M$24*$S98)</f>
        <v>21.69311478936396</v>
      </c>
      <c r="AA98" s="42">
        <f t="shared" ref="AA98:AA129" si="35">$F$155*EXP($F$24*$S98)+$G$155*EXP($G$24*$S98)+$H$155*EXP($H$24*$S98)+$I$155*EXP($I$24*$S98)+$J$155*EXP($J$24*$S98)+$K$155*EXP($K$24*$S98)+$L$155*EXP($L$24*$S98)+$M$155*EXP($M$24*$S98)</f>
        <v>20757.719065651363</v>
      </c>
    </row>
    <row r="99" spans="3:27" s="4" customFormat="1">
      <c r="C99" s="2"/>
      <c r="E99" s="19"/>
      <c r="F99" s="112">
        <v>0</v>
      </c>
      <c r="G99" s="112">
        <v>0</v>
      </c>
      <c r="H99" s="112">
        <v>0</v>
      </c>
      <c r="I99" s="112">
        <v>0</v>
      </c>
      <c r="J99" s="112">
        <v>0</v>
      </c>
      <c r="K99" s="112">
        <v>-0.1821976544735206</v>
      </c>
      <c r="L99" s="112">
        <v>0</v>
      </c>
      <c r="M99" s="112">
        <v>0</v>
      </c>
      <c r="Q99" s="108">
        <v>97</v>
      </c>
      <c r="R99" s="27">
        <f t="shared" si="18"/>
        <v>8.0833333333333339</v>
      </c>
      <c r="S99" s="18">
        <f t="shared" si="19"/>
        <v>254916000</v>
      </c>
      <c r="T99" s="42">
        <f t="shared" si="28"/>
        <v>15.268422546177998</v>
      </c>
      <c r="U99" s="42">
        <f t="shared" si="29"/>
        <v>2837.2051135350262</v>
      </c>
      <c r="V99" s="42">
        <f t="shared" si="30"/>
        <v>1403.0508124599012</v>
      </c>
      <c r="W99" s="42">
        <f t="shared" si="31"/>
        <v>187.44798424038498</v>
      </c>
      <c r="X99" s="42">
        <f t="shared" si="32"/>
        <v>104.96862801289132</v>
      </c>
      <c r="Y99" s="42">
        <f t="shared" si="33"/>
        <v>48.044566401498365</v>
      </c>
      <c r="Z99" s="42">
        <f t="shared" si="34"/>
        <v>21.277457778058672</v>
      </c>
      <c r="AA99" s="42">
        <f t="shared" si="35"/>
        <v>20704.274073599783</v>
      </c>
    </row>
    <row r="100" spans="3:27" s="4" customFormat="1">
      <c r="C100" s="2"/>
      <c r="E100" s="19"/>
      <c r="F100" s="112">
        <v>0</v>
      </c>
      <c r="G100" s="112">
        <v>0</v>
      </c>
      <c r="H100" s="112">
        <v>0</v>
      </c>
      <c r="I100" s="112">
        <v>0</v>
      </c>
      <c r="J100" s="112">
        <v>0</v>
      </c>
      <c r="K100" s="112">
        <v>1</v>
      </c>
      <c r="L100" s="112">
        <v>0</v>
      </c>
      <c r="M100" s="112">
        <v>0</v>
      </c>
      <c r="Q100" s="108">
        <v>98</v>
      </c>
      <c r="R100" s="27">
        <f t="shared" si="18"/>
        <v>8.1666666666666661</v>
      </c>
      <c r="S100" s="18">
        <f t="shared" si="19"/>
        <v>257544000</v>
      </c>
      <c r="T100" s="42">
        <f t="shared" si="28"/>
        <v>15.128634429657691</v>
      </c>
      <c r="U100" s="42">
        <f t="shared" si="29"/>
        <v>2830.5057611497155</v>
      </c>
      <c r="V100" s="42">
        <f t="shared" si="30"/>
        <v>1403.7307984149859</v>
      </c>
      <c r="W100" s="42">
        <f t="shared" si="31"/>
        <v>187.50816240497562</v>
      </c>
      <c r="X100" s="42">
        <f t="shared" si="32"/>
        <v>105.10620113412637</v>
      </c>
      <c r="Y100" s="42">
        <f t="shared" si="33"/>
        <v>48.007553111380034</v>
      </c>
      <c r="Z100" s="42">
        <f t="shared" si="34"/>
        <v>20.869765079519201</v>
      </c>
      <c r="AA100" s="42">
        <f t="shared" si="35"/>
        <v>20650.966686608102</v>
      </c>
    </row>
    <row r="101" spans="3:27" s="4" customFormat="1">
      <c r="C101" s="2"/>
      <c r="E101" s="19"/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Q101" s="108">
        <v>99</v>
      </c>
      <c r="R101" s="27">
        <f t="shared" si="18"/>
        <v>8.25</v>
      </c>
      <c r="S101" s="18">
        <f t="shared" si="19"/>
        <v>260172000</v>
      </c>
      <c r="T101" s="42">
        <f t="shared" si="28"/>
        <v>14.989236242774975</v>
      </c>
      <c r="U101" s="42">
        <f t="shared" si="29"/>
        <v>2823.8123115484741</v>
      </c>
      <c r="V101" s="42">
        <f t="shared" si="30"/>
        <v>1404.3807245104431</v>
      </c>
      <c r="W101" s="42">
        <f t="shared" si="31"/>
        <v>187.56915262218854</v>
      </c>
      <c r="X101" s="42">
        <f t="shared" si="32"/>
        <v>105.24308568166606</v>
      </c>
      <c r="Y101" s="42">
        <f t="shared" si="33"/>
        <v>47.971388279502662</v>
      </c>
      <c r="Z101" s="42">
        <f t="shared" si="34"/>
        <v>20.469884091296635</v>
      </c>
      <c r="AA101" s="42">
        <f t="shared" si="35"/>
        <v>20597.796550383959</v>
      </c>
    </row>
    <row r="102" spans="3:27" s="4" customFormat="1">
      <c r="C102" s="2"/>
      <c r="E102" s="19"/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Q102" s="108">
        <v>100</v>
      </c>
      <c r="R102" s="27">
        <f t="shared" si="18"/>
        <v>8.3333333333333339</v>
      </c>
      <c r="S102" s="18">
        <f t="shared" si="19"/>
        <v>262800000</v>
      </c>
      <c r="T102" s="42">
        <f t="shared" si="28"/>
        <v>14.850254797300543</v>
      </c>
      <c r="U102" s="42">
        <f t="shared" si="29"/>
        <v>2817.1249546234885</v>
      </c>
      <c r="V102" s="42">
        <f t="shared" si="30"/>
        <v>1405.0008274037389</v>
      </c>
      <c r="W102" s="42">
        <f t="shared" si="31"/>
        <v>187.63082191977136</v>
      </c>
      <c r="X102" s="42">
        <f t="shared" si="32"/>
        <v>105.37929020400162</v>
      </c>
      <c r="Y102" s="42">
        <f t="shared" si="33"/>
        <v>47.936060991059549</v>
      </c>
      <c r="Z102" s="42">
        <f t="shared" si="34"/>
        <v>20.077665134924096</v>
      </c>
      <c r="AA102" s="42">
        <f t="shared" si="35"/>
        <v>20544.763311547187</v>
      </c>
    </row>
    <row r="103" spans="3:27" s="4" customFormat="1">
      <c r="C103" s="2"/>
      <c r="E103" s="19"/>
      <c r="F103" s="19"/>
      <c r="G103" s="111"/>
      <c r="H103" s="111"/>
      <c r="I103" s="111"/>
      <c r="J103" s="111"/>
      <c r="K103" s="111"/>
      <c r="L103" s="111"/>
      <c r="M103" s="111"/>
      <c r="N103" s="111"/>
      <c r="O103" s="111"/>
      <c r="P103" s="19"/>
      <c r="Q103" s="108">
        <v>101</v>
      </c>
      <c r="R103" s="27">
        <f t="shared" si="18"/>
        <v>8.4166666666666661</v>
      </c>
      <c r="S103" s="18">
        <f t="shared" si="19"/>
        <v>265428000</v>
      </c>
      <c r="T103" s="42">
        <f t="shared" si="28"/>
        <v>14.711715877692928</v>
      </c>
      <c r="U103" s="42">
        <f t="shared" si="29"/>
        <v>2810.4438761852703</v>
      </c>
      <c r="V103" s="42">
        <f t="shared" si="30"/>
        <v>1405.5913427743753</v>
      </c>
      <c r="W103" s="42">
        <f t="shared" si="31"/>
        <v>187.69304183862849</v>
      </c>
      <c r="X103" s="42">
        <f t="shared" si="32"/>
        <v>105.51482269522359</v>
      </c>
      <c r="Y103" s="42">
        <f t="shared" si="33"/>
        <v>47.901559987297141</v>
      </c>
      <c r="Z103" s="42">
        <f t="shared" si="34"/>
        <v>19.692961399890958</v>
      </c>
      <c r="AA103" s="42">
        <f t="shared" si="35"/>
        <v>20491.866617627467</v>
      </c>
    </row>
    <row r="104" spans="3:27" s="4" customFormat="1">
      <c r="C104" s="2"/>
      <c r="E104" s="19"/>
      <c r="F104" s="114" t="s">
        <v>172</v>
      </c>
      <c r="G104" s="111"/>
      <c r="H104" s="111"/>
      <c r="I104" s="19"/>
      <c r="J104" s="19"/>
      <c r="K104" s="19"/>
      <c r="L104" s="19"/>
      <c r="M104" s="19"/>
      <c r="N104" s="111"/>
      <c r="O104" s="111"/>
      <c r="P104" s="19"/>
      <c r="Q104" s="108">
        <v>102</v>
      </c>
      <c r="R104" s="27">
        <f t="shared" si="18"/>
        <v>8.5</v>
      </c>
      <c r="S104" s="18">
        <f t="shared" si="19"/>
        <v>268056000</v>
      </c>
      <c r="T104" s="42">
        <f t="shared" si="28"/>
        <v>14.573644268476212</v>
      </c>
      <c r="U104" s="42">
        <f t="shared" si="29"/>
        <v>2803.7692580341995</v>
      </c>
      <c r="V104" s="42">
        <f t="shared" si="30"/>
        <v>1406.1525053156224</v>
      </c>
      <c r="W104" s="42">
        <f t="shared" si="31"/>
        <v>187.75568830565712</v>
      </c>
      <c r="X104" s="42">
        <f t="shared" si="32"/>
        <v>105.64969061417065</v>
      </c>
      <c r="Y104" s="42">
        <f t="shared" si="33"/>
        <v>47.867873688940435</v>
      </c>
      <c r="Z104" s="42">
        <f t="shared" si="34"/>
        <v>19.315628888690561</v>
      </c>
      <c r="AA104" s="42">
        <f t="shared" si="35"/>
        <v>20439.106117062005</v>
      </c>
    </row>
    <row r="105" spans="3:27" s="4" customFormat="1">
      <c r="C105" s="2"/>
      <c r="E105" s="19"/>
      <c r="F105" s="112">
        <f t="array" ref="F105:M112">[2]!SYSLINSING(F$29:M$36-L42*[2]!M_ID(),,0.001)</f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-0.99993307475784654</v>
      </c>
      <c r="M105" s="112">
        <v>0</v>
      </c>
      <c r="P105" s="19"/>
      <c r="Q105" s="108">
        <v>103</v>
      </c>
      <c r="R105" s="27">
        <f t="shared" si="18"/>
        <v>8.5833333333333339</v>
      </c>
      <c r="S105" s="18">
        <f t="shared" si="19"/>
        <v>270684000</v>
      </c>
      <c r="T105" s="42">
        <f t="shared" si="28"/>
        <v>14.436063780977918</v>
      </c>
      <c r="U105" s="42">
        <f t="shared" si="29"/>
        <v>2797.1012780308865</v>
      </c>
      <c r="V105" s="42">
        <f t="shared" si="30"/>
        <v>1406.68454872657</v>
      </c>
      <c r="W105" s="42">
        <f t="shared" si="31"/>
        <v>187.81864151003427</v>
      </c>
      <c r="X105" s="42">
        <f t="shared" si="32"/>
        <v>105.78390090304401</v>
      </c>
      <c r="Y105" s="42">
        <f t="shared" si="33"/>
        <v>47.834990218732614</v>
      </c>
      <c r="Z105" s="42">
        <f t="shared" si="34"/>
        <v>18.945526362920884</v>
      </c>
      <c r="AA105" s="42">
        <f t="shared" si="35"/>
        <v>20386.481459193146</v>
      </c>
    </row>
    <row r="106" spans="3:27" s="4" customFormat="1">
      <c r="C106" s="2"/>
      <c r="E106" s="19"/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3.659726904337941</v>
      </c>
      <c r="M106" s="112">
        <v>0</v>
      </c>
      <c r="P106" s="19"/>
      <c r="Q106" s="108">
        <v>104</v>
      </c>
      <c r="R106" s="27">
        <f t="shared" si="18"/>
        <v>8.6666666666666661</v>
      </c>
      <c r="S106" s="18">
        <f t="shared" si="19"/>
        <v>273312000</v>
      </c>
      <c r="T106" s="42">
        <f t="shared" si="28"/>
        <v>14.298997279441156</v>
      </c>
      <c r="U106" s="42">
        <f t="shared" si="29"/>
        <v>2790.4401101653643</v>
      </c>
      <c r="V106" s="42">
        <f t="shared" si="30"/>
        <v>1407.1877057045062</v>
      </c>
      <c r="W106" s="42">
        <f t="shared" si="31"/>
        <v>187.88178578286113</v>
      </c>
      <c r="X106" s="42">
        <f t="shared" si="32"/>
        <v>105.91746000549949</v>
      </c>
      <c r="Y106" s="42">
        <f t="shared" si="33"/>
        <v>47.802897423118125</v>
      </c>
      <c r="Z106" s="42">
        <f t="shared" si="34"/>
        <v>18.582515290417906</v>
      </c>
      <c r="AA106" s="42">
        <f t="shared" si="35"/>
        <v>20333.9922942661</v>
      </c>
    </row>
    <row r="107" spans="3:27" s="4" customFormat="1">
      <c r="C107" s="2"/>
      <c r="E107" s="19"/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-1.1337162110195833</v>
      </c>
      <c r="M107" s="112">
        <v>0</v>
      </c>
      <c r="P107" s="19"/>
      <c r="Q107" s="108">
        <v>105</v>
      </c>
      <c r="R107" s="27">
        <f t="shared" si="18"/>
        <v>8.75</v>
      </c>
      <c r="S107" s="18">
        <f t="shared" si="19"/>
        <v>275940000</v>
      </c>
      <c r="T107" s="42">
        <f t="shared" si="28"/>
        <v>14.162466706524462</v>
      </c>
      <c r="U107" s="42">
        <f t="shared" si="29"/>
        <v>2783.785924625131</v>
      </c>
      <c r="V107" s="42">
        <f t="shared" si="30"/>
        <v>1407.662207937602</v>
      </c>
      <c r="W107" s="42">
        <f t="shared" si="31"/>
        <v>187.94500948007433</v>
      </c>
      <c r="X107" s="42">
        <f t="shared" si="32"/>
        <v>106.05037388423165</v>
      </c>
      <c r="Y107" s="42">
        <f t="shared" si="33"/>
        <v>47.771582893095605</v>
      </c>
      <c r="Z107" s="42">
        <f t="shared" si="34"/>
        <v>18.226459793402011</v>
      </c>
      <c r="AA107" s="42">
        <f t="shared" si="35"/>
        <v>20281.638273426586</v>
      </c>
    </row>
    <row r="108" spans="3:27" s="4" customFormat="1">
      <c r="C108" s="2"/>
      <c r="E108" s="19"/>
      <c r="F108" s="112">
        <v>0</v>
      </c>
      <c r="G108" s="112">
        <v>0</v>
      </c>
      <c r="H108" s="112">
        <v>0</v>
      </c>
      <c r="I108" s="112">
        <v>0</v>
      </c>
      <c r="J108" s="112">
        <v>0</v>
      </c>
      <c r="K108" s="112">
        <v>0</v>
      </c>
      <c r="L108" s="112">
        <v>-0.5058020532040437</v>
      </c>
      <c r="M108" s="112">
        <v>0</v>
      </c>
      <c r="P108" s="19"/>
      <c r="Q108" s="108">
        <v>106</v>
      </c>
      <c r="R108" s="27">
        <f t="shared" si="18"/>
        <v>8.8333333333333339</v>
      </c>
      <c r="S108" s="18">
        <f t="shared" si="19"/>
        <v>278568000</v>
      </c>
      <c r="T108" s="42">
        <f t="shared" si="28"/>
        <v>14.026493108202992</v>
      </c>
      <c r="U108" s="42">
        <f t="shared" si="29"/>
        <v>2777.1388878620587</v>
      </c>
      <c r="V108" s="42">
        <f t="shared" si="30"/>
        <v>1408.1082860979027</v>
      </c>
      <c r="W108" s="42">
        <f t="shared" si="31"/>
        <v>188.00820486853451</v>
      </c>
      <c r="X108" s="42">
        <f t="shared" si="32"/>
        <v>106.18264803806449</v>
      </c>
      <c r="Y108" s="42">
        <f t="shared" si="33"/>
        <v>47.741033984267304</v>
      </c>
      <c r="Z108" s="42">
        <f t="shared" si="34"/>
        <v>17.877226597617877</v>
      </c>
      <c r="AA108" s="42">
        <f t="shared" si="35"/>
        <v>20229.419048718508</v>
      </c>
    </row>
    <row r="109" spans="3:27" s="4" customFormat="1">
      <c r="C109" s="2"/>
      <c r="E109" s="19"/>
      <c r="F109" s="112">
        <v>0</v>
      </c>
      <c r="G109" s="112">
        <v>0</v>
      </c>
      <c r="H109" s="112">
        <v>0</v>
      </c>
      <c r="I109" s="112">
        <v>0</v>
      </c>
      <c r="J109" s="112">
        <v>0</v>
      </c>
      <c r="K109" s="112">
        <v>0</v>
      </c>
      <c r="L109" s="112">
        <v>3.8560814403092752E-2</v>
      </c>
      <c r="M109" s="112">
        <v>0</v>
      </c>
      <c r="P109" s="19"/>
      <c r="Q109" s="108">
        <v>107</v>
      </c>
      <c r="R109" s="27">
        <f t="shared" si="18"/>
        <v>8.9166666666666661</v>
      </c>
      <c r="S109" s="18">
        <f t="shared" si="19"/>
        <v>281196000</v>
      </c>
      <c r="T109" s="42">
        <f t="shared" si="28"/>
        <v>13.891096658084003</v>
      </c>
      <c r="U109" s="42">
        <f t="shared" si="29"/>
        <v>2770.4991626581946</v>
      </c>
      <c r="V109" s="42">
        <f t="shared" si="30"/>
        <v>1408.5261698346255</v>
      </c>
      <c r="W109" s="42">
        <f t="shared" si="31"/>
        <v>188.07126801520951</v>
      </c>
      <c r="X109" s="42">
        <f t="shared" si="32"/>
        <v>106.31428751855884</v>
      </c>
      <c r="Y109" s="42">
        <f t="shared" si="33"/>
        <v>47.711237836111486</v>
      </c>
      <c r="Z109" s="42">
        <f t="shared" si="34"/>
        <v>17.534684982448969</v>
      </c>
      <c r="AA109" s="42">
        <f t="shared" si="35"/>
        <v>20177.334273081677</v>
      </c>
    </row>
    <row r="110" spans="3:27" s="4" customFormat="1">
      <c r="C110" s="2"/>
      <c r="E110" s="19"/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0.71932198075968568</v>
      </c>
      <c r="M110" s="112">
        <v>0</v>
      </c>
      <c r="P110" s="19"/>
      <c r="Q110" s="108">
        <v>108</v>
      </c>
      <c r="R110" s="27">
        <f t="shared" si="18"/>
        <v>9</v>
      </c>
      <c r="S110" s="18">
        <f t="shared" si="19"/>
        <v>283824000</v>
      </c>
      <c r="T110" s="42">
        <f t="shared" si="28"/>
        <v>13.756296681149681</v>
      </c>
      <c r="U110" s="42">
        <f t="shared" si="29"/>
        <v>2763.86690819046</v>
      </c>
      <c r="V110" s="42">
        <f t="shared" si="30"/>
        <v>1408.9160877677443</v>
      </c>
      <c r="W110" s="42">
        <f t="shared" si="31"/>
        <v>188.13409867936417</v>
      </c>
      <c r="X110" s="42">
        <f t="shared" si="32"/>
        <v>106.4452969461546</v>
      </c>
      <c r="Y110" s="42">
        <f t="shared" si="33"/>
        <v>47.682181390501604</v>
      </c>
      <c r="Z110" s="42">
        <f t="shared" si="34"/>
        <v>17.198706731987773</v>
      </c>
      <c r="AA110" s="42">
        <f t="shared" si="35"/>
        <v>20125.383600349465</v>
      </c>
    </row>
    <row r="111" spans="3:27" s="4" customFormat="1">
      <c r="C111" s="2"/>
      <c r="E111" s="19"/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1</v>
      </c>
      <c r="M111" s="112">
        <v>0</v>
      </c>
      <c r="P111" s="19"/>
      <c r="Q111" s="108">
        <v>109</v>
      </c>
      <c r="R111" s="27">
        <f t="shared" si="18"/>
        <v>9.0833333333333339</v>
      </c>
      <c r="S111" s="18">
        <f t="shared" si="19"/>
        <v>286452000</v>
      </c>
      <c r="T111" s="42">
        <f t="shared" si="28"/>
        <v>13.622111676939635</v>
      </c>
      <c r="U111" s="42">
        <f t="shared" si="29"/>
        <v>2757.242280094275</v>
      </c>
      <c r="V111" s="42">
        <f t="shared" si="30"/>
        <v>1409.2782674818584</v>
      </c>
      <c r="W111" s="42">
        <f t="shared" si="31"/>
        <v>188.19660020767944</v>
      </c>
      <c r="X111" s="42">
        <f t="shared" si="32"/>
        <v>106.57568052585327</v>
      </c>
      <c r="Y111" s="42">
        <f t="shared" si="33"/>
        <v>47.653851409496639</v>
      </c>
      <c r="Z111" s="42">
        <f t="shared" si="34"/>
        <v>16.869166087043638</v>
      </c>
      <c r="AA111" s="42">
        <f t="shared" si="35"/>
        <v>20073.566685246518</v>
      </c>
    </row>
    <row r="112" spans="3:27" s="4" customFormat="1">
      <c r="C112" s="2"/>
      <c r="E112" s="19"/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P112" s="19"/>
      <c r="Q112" s="108">
        <v>110</v>
      </c>
      <c r="R112" s="27">
        <f t="shared" si="18"/>
        <v>9.1666666666666661</v>
      </c>
      <c r="S112" s="18">
        <f t="shared" si="19"/>
        <v>289080000</v>
      </c>
      <c r="T112" s="42">
        <f t="shared" si="28"/>
        <v>13.488559342185557</v>
      </c>
      <c r="U112" s="42">
        <f t="shared" si="29"/>
        <v>2750.6254305261227</v>
      </c>
      <c r="V112" s="42">
        <f t="shared" si="30"/>
        <v>1409.6129355203575</v>
      </c>
      <c r="W112" s="42">
        <f t="shared" si="31"/>
        <v>188.25867943221959</v>
      </c>
      <c r="X112" s="42">
        <f t="shared" si="32"/>
        <v>106.70544206245779</v>
      </c>
      <c r="Y112" s="42">
        <f t="shared" si="33"/>
        <v>47.626234492427656</v>
      </c>
      <c r="Z112" s="42">
        <f t="shared" si="34"/>
        <v>16.545939698070168</v>
      </c>
      <c r="AA112" s="42">
        <f t="shared" si="35"/>
        <v>20021.883183386475</v>
      </c>
    </row>
    <row r="113" spans="1:27" s="4" customFormat="1">
      <c r="C113" s="2"/>
      <c r="E113" s="19"/>
      <c r="F113" s="19"/>
      <c r="G113" s="111"/>
      <c r="H113" s="111"/>
      <c r="I113" s="111"/>
      <c r="J113" s="111"/>
      <c r="K113" s="111"/>
      <c r="L113" s="111"/>
      <c r="M113" s="111"/>
      <c r="N113" s="111"/>
      <c r="O113" s="111"/>
      <c r="P113" s="19"/>
      <c r="Q113" s="108">
        <v>111</v>
      </c>
      <c r="R113" s="27">
        <f t="shared" si="18"/>
        <v>9.25</v>
      </c>
      <c r="S113" s="18">
        <f t="shared" si="19"/>
        <v>291708000</v>
      </c>
      <c r="T113" s="42">
        <f t="shared" si="28"/>
        <v>13.355656592910034</v>
      </c>
      <c r="U113" s="42">
        <f t="shared" si="29"/>
        <v>2744.0165082250664</v>
      </c>
      <c r="V113" s="42">
        <f t="shared" si="30"/>
        <v>1409.920317379841</v>
      </c>
      <c r="W113" s="42">
        <f t="shared" si="31"/>
        <v>188.32024657117086</v>
      </c>
      <c r="X113" s="42">
        <f t="shared" si="32"/>
        <v>106.83458497538112</v>
      </c>
      <c r="Y113" s="42">
        <f t="shared" si="33"/>
        <v>47.599317092300588</v>
      </c>
      <c r="Z113" s="42">
        <f t="shared" si="34"/>
        <v>16.228906578994557</v>
      </c>
      <c r="AA113" s="42">
        <f t="shared" si="35"/>
        <v>19970.33275126966</v>
      </c>
    </row>
    <row r="114" spans="1:27" s="4" customFormat="1">
      <c r="C114" s="2"/>
      <c r="E114" s="19"/>
      <c r="F114" s="114" t="s">
        <v>173</v>
      </c>
      <c r="G114" s="111"/>
      <c r="H114" s="111"/>
      <c r="I114" s="19"/>
      <c r="J114" s="19"/>
      <c r="K114" s="19"/>
      <c r="L114" s="19"/>
      <c r="M114" s="19"/>
      <c r="N114" s="111"/>
      <c r="O114" s="111"/>
      <c r="P114" s="19"/>
      <c r="Q114" s="108">
        <v>112</v>
      </c>
      <c r="R114" s="27">
        <f t="shared" si="18"/>
        <v>9.3333333333333339</v>
      </c>
      <c r="S114" s="18">
        <f t="shared" si="19"/>
        <v>294336000</v>
      </c>
      <c r="T114" s="42">
        <f t="shared" si="28"/>
        <v>13.223419586001324</v>
      </c>
      <c r="U114" s="42">
        <f t="shared" si="29"/>
        <v>2737.4156585732467</v>
      </c>
      <c r="V114" s="42">
        <f t="shared" si="30"/>
        <v>1410.2006375048277</v>
      </c>
      <c r="W114" s="42">
        <f t="shared" si="31"/>
        <v>188.38121513227733</v>
      </c>
      <c r="X114" s="42">
        <f t="shared" si="32"/>
        <v>106.96311231303292</v>
      </c>
      <c r="Y114" s="42">
        <f t="shared" si="33"/>
        <v>47.573085531539895</v>
      </c>
      <c r="Z114" s="42">
        <f t="shared" si="34"/>
        <v>15.917948061931572</v>
      </c>
      <c r="AA114" s="42">
        <f t="shared" si="35"/>
        <v>19918.915046280814</v>
      </c>
    </row>
    <row r="115" spans="1:27" s="4" customFormat="1">
      <c r="C115" s="2"/>
      <c r="E115" s="19"/>
      <c r="F115" s="112">
        <f t="array" ref="F115:M122">[2]!SYSLINSING(F$29:M$36-M42*[2]!M_ID(),,0.0001)</f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O115" s="111"/>
      <c r="P115" s="19"/>
      <c r="Q115" s="108">
        <v>113</v>
      </c>
      <c r="R115" s="27">
        <f t="shared" si="18"/>
        <v>9.4166666666666661</v>
      </c>
      <c r="S115" s="18">
        <f t="shared" si="19"/>
        <v>296964000</v>
      </c>
      <c r="T115" s="42">
        <f t="shared" si="28"/>
        <v>13.091863740275612</v>
      </c>
      <c r="U115" s="42">
        <f t="shared" si="29"/>
        <v>2730.8230236553572</v>
      </c>
      <c r="V115" s="42">
        <f t="shared" si="30"/>
        <v>1410.4541192827107</v>
      </c>
      <c r="W115" s="42">
        <f t="shared" si="31"/>
        <v>188.44150181890046</v>
      </c>
      <c r="X115" s="42">
        <f t="shared" si="32"/>
        <v>107.09102676679601</v>
      </c>
      <c r="Y115" s="42">
        <f t="shared" si="33"/>
        <v>47.54752601709329</v>
      </c>
      <c r="Z115" s="42">
        <f t="shared" si="34"/>
        <v>15.612947752765308</v>
      </c>
      <c r="AA115" s="42">
        <f t="shared" si="35"/>
        <v>19867.629726686806</v>
      </c>
    </row>
    <row r="116" spans="1:27" s="4" customFormat="1">
      <c r="A116" s="2"/>
      <c r="B116" s="2"/>
      <c r="C116" s="2"/>
      <c r="D116" s="2"/>
      <c r="E116" s="19"/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0.13873084536265776</v>
      </c>
      <c r="O116" s="111"/>
      <c r="P116" s="19"/>
      <c r="Q116" s="108">
        <v>114</v>
      </c>
      <c r="R116" s="27">
        <f t="shared" si="18"/>
        <v>9.5</v>
      </c>
      <c r="S116" s="18">
        <f t="shared" si="19"/>
        <v>299592000</v>
      </c>
      <c r="T116" s="42">
        <f t="shared" si="28"/>
        <v>12.961003757038061</v>
      </c>
      <c r="U116" s="42">
        <f t="shared" si="29"/>
        <v>2724.238742317134</v>
      </c>
      <c r="V116" s="42">
        <f t="shared" si="30"/>
        <v>1410.6809850389843</v>
      </c>
      <c r="W116" s="42">
        <f t="shared" si="31"/>
        <v>188.50102643863181</v>
      </c>
      <c r="X116" s="42">
        <f t="shared" si="32"/>
        <v>107.21833068460467</v>
      </c>
      <c r="Y116" s="42">
        <f t="shared" si="33"/>
        <v>47.522624654918097</v>
      </c>
      <c r="Z116" s="42">
        <f t="shared" si="34"/>
        <v>15.313791487581948</v>
      </c>
      <c r="AA116" s="42">
        <f t="shared" si="35"/>
        <v>19816.476451634371</v>
      </c>
    </row>
    <row r="117" spans="1:27" s="4" customFormat="1">
      <c r="A117" s="2"/>
      <c r="B117" s="2"/>
      <c r="C117" s="2"/>
      <c r="D117" s="2"/>
      <c r="E117" s="19"/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0.11475477065083464</v>
      </c>
      <c r="O117" s="111"/>
      <c r="P117" s="19"/>
      <c r="Q117" s="108">
        <v>115</v>
      </c>
      <c r="R117" s="27">
        <f t="shared" si="18"/>
        <v>9.5833333333333339</v>
      </c>
      <c r="S117" s="18">
        <f t="shared" si="19"/>
        <v>302220000</v>
      </c>
      <c r="T117" s="42">
        <f t="shared" si="28"/>
        <v>12.830853640153824</v>
      </c>
      <c r="U117" s="42">
        <f t="shared" si="29"/>
        <v>2717.6629502228648</v>
      </c>
      <c r="V117" s="42">
        <f t="shared" si="30"/>
        <v>1410.8814560327148</v>
      </c>
      <c r="W117" s="42">
        <f t="shared" si="31"/>
        <v>188.55971181439017</v>
      </c>
      <c r="X117" s="42">
        <f t="shared" si="32"/>
        <v>107.34502608413595</v>
      </c>
      <c r="Y117" s="42">
        <f t="shared" si="33"/>
        <v>47.498367463870714</v>
      </c>
      <c r="Z117" s="42">
        <f t="shared" si="34"/>
        <v>15.020367289937379</v>
      </c>
      <c r="AA117" s="42">
        <f t="shared" si="35"/>
        <v>19765.454881147831</v>
      </c>
    </row>
    <row r="118" spans="1:27" s="4" customFormat="1">
      <c r="A118" s="2"/>
      <c r="B118" s="2"/>
      <c r="C118" s="2"/>
      <c r="D118" s="2"/>
      <c r="E118" s="19"/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1.7095308482883372E-2</v>
      </c>
      <c r="O118" s="111"/>
      <c r="P118" s="19"/>
      <c r="Q118" s="108">
        <v>116</v>
      </c>
      <c r="R118" s="27">
        <f t="shared" si="18"/>
        <v>9.6666666666666661</v>
      </c>
      <c r="S118" s="18">
        <f t="shared" si="19"/>
        <v>304848000</v>
      </c>
      <c r="T118" s="42">
        <f t="shared" si="28"/>
        <v>12.701426715639643</v>
      </c>
      <c r="U118" s="42">
        <f t="shared" si="29"/>
        <v>2711.0957799119337</v>
      </c>
      <c r="V118" s="42">
        <f t="shared" si="30"/>
        <v>1411.0557524522628</v>
      </c>
      <c r="W118" s="42">
        <f t="shared" si="31"/>
        <v>188.61748369793546</v>
      </c>
      <c r="X118" s="42">
        <f t="shared" si="32"/>
        <v>107.4711146656191</v>
      </c>
      <c r="Y118" s="42">
        <f t="shared" si="33"/>
        <v>47.474740389017242</v>
      </c>
      <c r="Z118" s="42">
        <f t="shared" si="34"/>
        <v>14.732565328943556</v>
      </c>
      <c r="AA118" s="42">
        <f t="shared" si="35"/>
        <v>19714.564676126858</v>
      </c>
    </row>
    <row r="119" spans="1:27" s="4" customFormat="1">
      <c r="A119" s="2"/>
      <c r="B119" s="2"/>
      <c r="C119" s="2"/>
      <c r="D119" s="2"/>
      <c r="E119" s="19"/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2.0319011878743982E-2</v>
      </c>
      <c r="O119" s="111"/>
      <c r="P119" s="19"/>
      <c r="Q119" s="108">
        <v>117</v>
      </c>
      <c r="R119" s="27">
        <f t="shared" si="18"/>
        <v>9.75</v>
      </c>
      <c r="S119" s="18">
        <f t="shared" si="19"/>
        <v>307476000</v>
      </c>
      <c r="T119" s="42">
        <f t="shared" si="28"/>
        <v>12.572735650786836</v>
      </c>
      <c r="U119" s="42">
        <f t="shared" si="29"/>
        <v>2704.5373608544201</v>
      </c>
      <c r="V119" s="42">
        <f t="shared" si="30"/>
        <v>1411.2040934112438</v>
      </c>
      <c r="W119" s="42">
        <f t="shared" si="31"/>
        <v>188.67427068573457</v>
      </c>
      <c r="X119" s="42">
        <f t="shared" si="32"/>
        <v>107.59659782428156</v>
      </c>
      <c r="Y119" s="42">
        <f t="shared" si="33"/>
        <v>47.451729314385481</v>
      </c>
      <c r="Z119" s="42">
        <f t="shared" si="34"/>
        <v>14.450277878157967</v>
      </c>
      <c r="AA119" s="42">
        <f t="shared" si="35"/>
        <v>19663.805498344194</v>
      </c>
    </row>
    <row r="120" spans="1:27" s="4" customFormat="1">
      <c r="A120" s="2"/>
      <c r="B120" s="2"/>
      <c r="C120" s="2"/>
      <c r="D120" s="2"/>
      <c r="E120" s="19"/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4.9473305795479138E-3</v>
      </c>
      <c r="O120" s="111"/>
      <c r="P120" s="19"/>
      <c r="Q120" s="108">
        <v>118</v>
      </c>
      <c r="R120" s="27">
        <f t="shared" si="18"/>
        <v>9.8333333333333339</v>
      </c>
      <c r="S120" s="18">
        <f t="shared" si="19"/>
        <v>310104000</v>
      </c>
      <c r="T120" s="42">
        <f t="shared" si="28"/>
        <v>12.444792472825908</v>
      </c>
      <c r="U120" s="42">
        <f t="shared" si="29"/>
        <v>2697.9878195057654</v>
      </c>
      <c r="V120" s="42">
        <f t="shared" si="30"/>
        <v>1411.3266969447293</v>
      </c>
      <c r="W120" s="42">
        <f t="shared" si="31"/>
        <v>188.730004137116</v>
      </c>
      <c r="X120" s="42">
        <f t="shared" si="32"/>
        <v>107.72147666243444</v>
      </c>
      <c r="Y120" s="42">
        <f t="shared" si="33"/>
        <v>47.429320075176093</v>
      </c>
      <c r="Z120" s="42">
        <f t="shared" si="34"/>
        <v>14.173399275260843</v>
      </c>
      <c r="AA120" s="42">
        <f t="shared" si="35"/>
        <v>19613.177010443429</v>
      </c>
    </row>
    <row r="121" spans="1:27" s="4" customFormat="1">
      <c r="A121" s="2"/>
      <c r="B121" s="2"/>
      <c r="C121" s="2"/>
      <c r="D121" s="2"/>
      <c r="E121" s="19"/>
      <c r="F121" s="112">
        <v>0</v>
      </c>
      <c r="G121" s="112">
        <v>0</v>
      </c>
      <c r="H121" s="112">
        <v>0</v>
      </c>
      <c r="I121" s="112">
        <v>0</v>
      </c>
      <c r="J121" s="112">
        <v>0</v>
      </c>
      <c r="K121" s="112">
        <v>0</v>
      </c>
      <c r="L121" s="112">
        <v>0</v>
      </c>
      <c r="M121" s="112">
        <v>0</v>
      </c>
      <c r="O121" s="111"/>
      <c r="P121" s="19"/>
      <c r="Q121" s="108">
        <v>119</v>
      </c>
      <c r="R121" s="27">
        <f t="shared" si="18"/>
        <v>9.9166666666666661</v>
      </c>
      <c r="S121" s="18">
        <f t="shared" si="19"/>
        <v>312732000</v>
      </c>
      <c r="T121" s="42">
        <f t="shared" si="28"/>
        <v>12.317608587143107</v>
      </c>
      <c r="U121" s="42">
        <f t="shared" si="29"/>
        <v>2691.44727936052</v>
      </c>
      <c r="V121" s="42">
        <f t="shared" si="30"/>
        <v>1411.4237800056733</v>
      </c>
      <c r="W121" s="42">
        <f t="shared" si="31"/>
        <v>188.78461809465037</v>
      </c>
      <c r="X121" s="42">
        <f t="shared" si="32"/>
        <v>107.84575200120867</v>
      </c>
      <c r="Y121" s="42">
        <f t="shared" si="33"/>
        <v>47.407498469450722</v>
      </c>
      <c r="Z121" s="42">
        <f t="shared" si="34"/>
        <v>13.901825882504911</v>
      </c>
      <c r="AA121" s="42">
        <f t="shared" si="35"/>
        <v>19562.678875936737</v>
      </c>
    </row>
    <row r="122" spans="1:27" s="4" customFormat="1">
      <c r="A122" s="2"/>
      <c r="B122" s="2"/>
      <c r="C122" s="2"/>
      <c r="D122" s="2"/>
      <c r="E122" s="19"/>
      <c r="F122" s="112">
        <v>0</v>
      </c>
      <c r="G122" s="112">
        <v>0</v>
      </c>
      <c r="H122" s="112">
        <v>0</v>
      </c>
      <c r="I122" s="112">
        <v>0</v>
      </c>
      <c r="J122" s="112">
        <v>0</v>
      </c>
      <c r="K122" s="112">
        <v>0</v>
      </c>
      <c r="L122" s="112">
        <v>0</v>
      </c>
      <c r="M122" s="112">
        <v>1</v>
      </c>
      <c r="O122" s="111"/>
      <c r="P122" s="19"/>
      <c r="Q122" s="108">
        <v>120</v>
      </c>
      <c r="R122" s="27">
        <f t="shared" si="18"/>
        <v>10</v>
      </c>
      <c r="S122" s="18">
        <f t="shared" si="19"/>
        <v>315360000</v>
      </c>
      <c r="T122" s="42">
        <f t="shared" si="28"/>
        <v>12.191194795058655</v>
      </c>
      <c r="U122" s="42">
        <f t="shared" si="29"/>
        <v>2684.9158610051932</v>
      </c>
      <c r="V122" s="42">
        <f t="shared" si="30"/>
        <v>1411.4955584615723</v>
      </c>
      <c r="W122" s="42">
        <f t="shared" si="31"/>
        <v>188.83804920669795</v>
      </c>
      <c r="X122" s="42">
        <f t="shared" si="32"/>
        <v>107.96942439195271</v>
      </c>
      <c r="Y122" s="42">
        <f t="shared" si="33"/>
        <v>47.38625026931517</v>
      </c>
      <c r="Z122" s="42">
        <f t="shared" si="34"/>
        <v>13.635456047923039</v>
      </c>
      <c r="AA122" s="42">
        <f t="shared" si="35"/>
        <v>19512.310759202654</v>
      </c>
    </row>
    <row r="123" spans="1:27" s="4" customFormat="1">
      <c r="A123" s="2"/>
      <c r="B123" s="2"/>
      <c r="C123" s="2"/>
      <c r="D123" s="2"/>
      <c r="E123" s="19"/>
      <c r="F123" s="19"/>
      <c r="G123" s="111"/>
      <c r="H123" s="111"/>
      <c r="I123" s="111"/>
      <c r="J123" s="111"/>
      <c r="K123" s="111"/>
      <c r="L123" s="111"/>
      <c r="M123" s="111"/>
      <c r="N123" s="111"/>
      <c r="O123" s="111"/>
      <c r="P123" s="19"/>
      <c r="Q123" s="108">
        <v>121</v>
      </c>
      <c r="R123" s="27">
        <f t="shared" si="18"/>
        <v>10.083333333333334</v>
      </c>
      <c r="S123" s="18">
        <f t="shared" si="19"/>
        <v>317988000</v>
      </c>
      <c r="T123" s="42">
        <f t="shared" si="28"/>
        <v>12.065561311176584</v>
      </c>
      <c r="U123" s="42">
        <f t="shared" si="29"/>
        <v>2678.3936821702096</v>
      </c>
      <c r="V123" s="42">
        <f t="shared" si="30"/>
        <v>1411.542247091339</v>
      </c>
      <c r="W123" s="42">
        <f t="shared" si="31"/>
        <v>188.89023665206398</v>
      </c>
      <c r="X123" s="42">
        <f t="shared" si="32"/>
        <v>108.09249412730122</v>
      </c>
      <c r="Y123" s="42">
        <f t="shared" si="33"/>
        <v>47.365561231613384</v>
      </c>
      <c r="Z123" s="42">
        <f t="shared" si="34"/>
        <v>13.37419006727912</v>
      </c>
      <c r="AA123" s="42">
        <f t="shared" si="35"/>
        <v>19462.072325483838</v>
      </c>
    </row>
    <row r="124" spans="1:27" s="4" customFormat="1">
      <c r="A124" s="2"/>
      <c r="B124" s="2"/>
      <c r="C124" s="2"/>
      <c r="D124" s="2"/>
      <c r="E124" s="19"/>
      <c r="F124" s="19"/>
      <c r="G124" s="111"/>
      <c r="H124" s="111"/>
      <c r="I124" s="111"/>
      <c r="J124" s="111"/>
      <c r="K124" s="111"/>
      <c r="L124" s="111"/>
      <c r="M124" s="111"/>
      <c r="N124" s="111"/>
      <c r="O124" s="111"/>
      <c r="P124" s="19"/>
      <c r="Q124" s="108">
        <v>122</v>
      </c>
      <c r="R124" s="27">
        <f t="shared" si="18"/>
        <v>10.166666666666666</v>
      </c>
      <c r="S124" s="18">
        <f t="shared" si="19"/>
        <v>320616000</v>
      </c>
      <c r="T124" s="42">
        <f t="shared" si="28"/>
        <v>11.940717780315518</v>
      </c>
      <c r="U124" s="42">
        <f t="shared" si="29"/>
        <v>2671.880857780995</v>
      </c>
      <c r="V124" s="42">
        <f t="shared" si="30"/>
        <v>1411.5640595823975</v>
      </c>
      <c r="W124" s="42">
        <f t="shared" si="31"/>
        <v>188.9411220667053</v>
      </c>
      <c r="X124" s="42">
        <f t="shared" si="32"/>
        <v>108.21496125191788</v>
      </c>
      <c r="Y124" s="42">
        <f t="shared" si="33"/>
        <v>47.345417108149633</v>
      </c>
      <c r="Z124" s="42">
        <f t="shared" si="34"/>
        <v>13.11793014674803</v>
      </c>
      <c r="AA124" s="42">
        <f t="shared" si="35"/>
        <v>19411.963240884852</v>
      </c>
    </row>
    <row r="125" spans="1:27" s="4" customFormat="1" ht="15">
      <c r="A125" s="2"/>
      <c r="B125" s="2"/>
      <c r="C125" s="2"/>
      <c r="D125" s="2"/>
      <c r="E125" s="110" t="s">
        <v>182</v>
      </c>
      <c r="F125" s="110" t="s">
        <v>155</v>
      </c>
      <c r="G125" s="110" t="s">
        <v>167</v>
      </c>
      <c r="H125" s="110" t="s">
        <v>168</v>
      </c>
      <c r="I125" s="110" t="s">
        <v>169</v>
      </c>
      <c r="J125" s="110" t="s">
        <v>170</v>
      </c>
      <c r="K125" s="110" t="s">
        <v>171</v>
      </c>
      <c r="L125" s="110" t="s">
        <v>172</v>
      </c>
      <c r="M125" s="110" t="s">
        <v>173</v>
      </c>
      <c r="N125" s="111"/>
      <c r="O125" s="111"/>
      <c r="P125" s="19"/>
      <c r="Q125" s="108">
        <v>123</v>
      </c>
      <c r="R125" s="27">
        <f t="shared" si="18"/>
        <v>10.25</v>
      </c>
      <c r="S125" s="18">
        <f t="shared" si="19"/>
        <v>323244000</v>
      </c>
      <c r="T125" s="42">
        <f t="shared" si="28"/>
        <v>11.816673294029954</v>
      </c>
      <c r="U125" s="42">
        <f t="shared" si="29"/>
        <v>2665.3775000082064</v>
      </c>
      <c r="V125" s="42">
        <f t="shared" si="30"/>
        <v>1411.5612085279865</v>
      </c>
      <c r="W125" s="42">
        <f t="shared" si="31"/>
        <v>188.99064947243252</v>
      </c>
      <c r="X125" s="42">
        <f t="shared" si="32"/>
        <v>108.33682557293059</v>
      </c>
      <c r="Y125" s="42">
        <f t="shared" si="33"/>
        <v>47.325803655453839</v>
      </c>
      <c r="Z125" s="42">
        <f t="shared" si="34"/>
        <v>12.866580366310684</v>
      </c>
      <c r="AA125" s="42">
        <f t="shared" si="35"/>
        <v>19361.983172369935</v>
      </c>
    </row>
    <row r="126" spans="1:27" s="4" customFormat="1">
      <c r="A126" s="2"/>
      <c r="B126" s="2"/>
      <c r="C126" s="2"/>
      <c r="D126" s="2"/>
      <c r="E126" s="19"/>
      <c r="F126" s="112">
        <f>SUM(F45:M45)/SUM(F45:M52)</f>
        <v>0.8587273724249368</v>
      </c>
      <c r="G126" s="112">
        <f>SUM(F55:M55)/SUM(F55:M62)</f>
        <v>0</v>
      </c>
      <c r="H126" s="112">
        <f>SUM(F65:M65)/SUM(F65:M72)</f>
        <v>0</v>
      </c>
      <c r="I126" s="112">
        <f>SUM(F75:M75)/SUM(F75:M82)</f>
        <v>0</v>
      </c>
      <c r="J126" s="112">
        <f>SUM(F85:M85)/SUM(F85:M92)</f>
        <v>0</v>
      </c>
      <c r="K126" s="112">
        <f>SUM(F95:M95)/SUM(F95:M102)</f>
        <v>0</v>
      </c>
      <c r="L126" s="112">
        <f>SUM(F105:M105)/SUM(F105:M112)</f>
        <v>-0.35992659344694666</v>
      </c>
      <c r="M126" s="112">
        <f>SUM(F115:M115)/SUM(F115:M122)</f>
        <v>0</v>
      </c>
      <c r="N126" s="111"/>
      <c r="O126" s="111"/>
      <c r="P126" s="19"/>
      <c r="Q126" s="108">
        <v>124</v>
      </c>
      <c r="R126" s="27">
        <f t="shared" si="18"/>
        <v>10.333333333333334</v>
      </c>
      <c r="S126" s="18">
        <f t="shared" si="19"/>
        <v>325872000</v>
      </c>
      <c r="T126" s="42">
        <f t="shared" si="28"/>
        <v>11.693436406730955</v>
      </c>
      <c r="U126" s="42">
        <f t="shared" si="29"/>
        <v>2658.8837183171058</v>
      </c>
      <c r="V126" s="42">
        <f t="shared" si="30"/>
        <v>1411.5339054246751</v>
      </c>
      <c r="W126" s="42">
        <f t="shared" si="31"/>
        <v>189.03876520755432</v>
      </c>
      <c r="X126" s="42">
        <f t="shared" si="32"/>
        <v>108.45808667005622</v>
      </c>
      <c r="Y126" s="42">
        <f t="shared" si="33"/>
        <v>47.306706644106001</v>
      </c>
      <c r="Z126" s="42">
        <f t="shared" si="34"/>
        <v>12.620046643850406</v>
      </c>
      <c r="AA126" s="42">
        <f t="shared" si="35"/>
        <v>19312.131787760798</v>
      </c>
    </row>
    <row r="127" spans="1:27" s="4" customFormat="1">
      <c r="A127" s="2"/>
      <c r="B127" s="2"/>
      <c r="C127" s="2"/>
      <c r="D127" s="2"/>
      <c r="E127" s="19"/>
      <c r="F127" s="112">
        <f>SUM(F46:M46)/SUM(F45:M52)</f>
        <v>1.1257192771040918</v>
      </c>
      <c r="G127" s="112">
        <f>SUM(F56:M56)/SUM(F55:M62)</f>
        <v>1.2016797007266222</v>
      </c>
      <c r="H127" s="112">
        <f>SUM(F66:M66)/SUM(F65:M72)</f>
        <v>0</v>
      </c>
      <c r="I127" s="112">
        <f>SUM(F76:M76)/SUM(F75:M82)</f>
        <v>0</v>
      </c>
      <c r="J127" s="112">
        <f>SUM(F86:M86)/SUM(F85:M92)</f>
        <v>0</v>
      </c>
      <c r="K127" s="112">
        <f>SUM(F96:M96)/SUM(F95:M102)</f>
        <v>0</v>
      </c>
      <c r="L127" s="112">
        <f>SUM(F106:M106)/SUM(F105:M112)</f>
        <v>1.3173211996647762</v>
      </c>
      <c r="M127" s="112">
        <f>SUM(F116:M116)/SUM(F115:M122)</f>
        <v>0.10705802211450814</v>
      </c>
      <c r="N127" s="111"/>
      <c r="O127" s="111"/>
      <c r="P127" s="19"/>
      <c r="Q127" s="108">
        <v>125</v>
      </c>
      <c r="R127" s="27">
        <f t="shared" si="18"/>
        <v>10.416666666666666</v>
      </c>
      <c r="S127" s="18">
        <f t="shared" si="19"/>
        <v>328500000</v>
      </c>
      <c r="T127" s="42">
        <f t="shared" si="28"/>
        <v>11.571015151415269</v>
      </c>
      <c r="U127" s="42">
        <f t="shared" si="29"/>
        <v>2652.3996195161167</v>
      </c>
      <c r="V127" s="42">
        <f t="shared" si="30"/>
        <v>1411.4823606700704</v>
      </c>
      <c r="W127" s="42">
        <f t="shared" si="31"/>
        <v>189.08541785941139</v>
      </c>
      <c r="X127" s="42">
        <f t="shared" si="32"/>
        <v>108.57874390543321</v>
      </c>
      <c r="Y127" s="42">
        <f t="shared" si="33"/>
        <v>47.288111867634214</v>
      </c>
      <c r="Z127" s="42">
        <f t="shared" si="34"/>
        <v>12.378236699937322</v>
      </c>
      <c r="AA127" s="42">
        <f t="shared" si="35"/>
        <v>19262.408755734425</v>
      </c>
    </row>
    <row r="128" spans="1:27" s="4" customFormat="1">
      <c r="A128" s="2"/>
      <c r="B128" s="2"/>
      <c r="C128" s="2"/>
      <c r="D128" s="2"/>
      <c r="E128" s="19"/>
      <c r="F128" s="112">
        <f>SUM(F47:M47)/SUM(F45:M52)</f>
        <v>-0.53535378302622805</v>
      </c>
      <c r="G128" s="112">
        <f>SUM(F57:M57)/SUM(F55:M62)</f>
        <v>-0.40994606739108308</v>
      </c>
      <c r="H128" s="112">
        <f>SUM(F67:M67)/SUM(F65:M72)</f>
        <v>2.2618386877312351</v>
      </c>
      <c r="I128" s="112">
        <f>SUM(F77:M77)/SUM(F75:M82)</f>
        <v>0</v>
      </c>
      <c r="J128" s="112">
        <f>SUM(F87:M87)/SUM(F85:M92)</f>
        <v>0</v>
      </c>
      <c r="K128" s="112">
        <f>SUM(F97:M97)/SUM(F95:M102)</f>
        <v>0</v>
      </c>
      <c r="L128" s="112">
        <f>SUM(F107:M107)/SUM(F105:M112)</f>
        <v>-0.40808192474949068</v>
      </c>
      <c r="M128" s="112">
        <f>SUM(F117:M117)/SUM(F115:M122)</f>
        <v>8.855578398565167E-2</v>
      </c>
      <c r="N128" s="111"/>
      <c r="O128" s="111"/>
      <c r="P128" s="19"/>
      <c r="Q128" s="108">
        <v>126</v>
      </c>
      <c r="R128" s="27">
        <f t="shared" si="18"/>
        <v>10.5</v>
      </c>
      <c r="S128" s="18">
        <f t="shared" si="19"/>
        <v>331128000</v>
      </c>
      <c r="T128" s="42">
        <f t="shared" si="28"/>
        <v>11.449417055011622</v>
      </c>
      <c r="U128" s="42">
        <f t="shared" si="29"/>
        <v>2645.9253078045472</v>
      </c>
      <c r="V128" s="42">
        <f t="shared" si="30"/>
        <v>1411.4067835607332</v>
      </c>
      <c r="W128" s="42">
        <f t="shared" si="31"/>
        <v>189.13055819874828</v>
      </c>
      <c r="X128" s="42">
        <f t="shared" si="32"/>
        <v>108.69879643316364</v>
      </c>
      <c r="Y128" s="42">
        <f t="shared" si="33"/>
        <v>47.270005151000888</v>
      </c>
      <c r="Z128" s="42">
        <f t="shared" si="34"/>
        <v>12.14106002328746</v>
      </c>
      <c r="AA128" s="42">
        <f t="shared" si="35"/>
        <v>19212.813745820833</v>
      </c>
    </row>
    <row r="129" spans="1:27" s="4" customFormat="1">
      <c r="A129" s="2"/>
      <c r="B129" s="2"/>
      <c r="C129" s="2"/>
      <c r="D129" s="2"/>
      <c r="E129" s="19"/>
      <c r="F129" s="112">
        <f>SUM(F48:M48)/SUM(F45:M52)</f>
        <v>-0.15860351657786639</v>
      </c>
      <c r="G129" s="112">
        <f>SUM(F58:M58)/SUM(F55:M62)</f>
        <v>-0.16136563003411886</v>
      </c>
      <c r="H129" s="112">
        <f>SUM(F68:M68)/SUM(F65:M72)</f>
        <v>0.41166310365174613</v>
      </c>
      <c r="I129" s="112">
        <f>SUM(F78:M78)/SUM(F75:M82)</f>
        <v>1.9929475572571835</v>
      </c>
      <c r="J129" s="112">
        <f>SUM(F88:M88)/SUM(F85:M92)</f>
        <v>0</v>
      </c>
      <c r="K129" s="112">
        <f>SUM(F98:M98)/SUM(F95:M102)</f>
        <v>0</v>
      </c>
      <c r="L129" s="112">
        <f>SUM(F108:M108)/SUM(F105:M112)</f>
        <v>-0.18206379463174582</v>
      </c>
      <c r="M129" s="112">
        <f>SUM(F118:M118)/SUM(F115:M122)</f>
        <v>1.3192379162907487E-2</v>
      </c>
      <c r="N129" s="111"/>
      <c r="O129" s="111"/>
      <c r="P129" s="19"/>
      <c r="Q129" s="108">
        <v>127</v>
      </c>
      <c r="R129" s="27">
        <f t="shared" si="18"/>
        <v>10.583333333333334</v>
      </c>
      <c r="S129" s="18">
        <f t="shared" si="19"/>
        <v>333756000</v>
      </c>
      <c r="T129" s="42">
        <f t="shared" si="28"/>
        <v>11.328649153352796</v>
      </c>
      <c r="U129" s="42">
        <f t="shared" si="29"/>
        <v>2639.4608848195235</v>
      </c>
      <c r="V129" s="42">
        <f t="shared" si="30"/>
        <v>1411.3073822902811</v>
      </c>
      <c r="W129" s="42">
        <f t="shared" si="31"/>
        <v>189.17413911587539</v>
      </c>
      <c r="X129" s="42">
        <f t="shared" si="32"/>
        <v>108.81824320857243</v>
      </c>
      <c r="Y129" s="42">
        <f t="shared" si="33"/>
        <v>47.252372358691282</v>
      </c>
      <c r="Z129" s="42">
        <f t="shared" si="34"/>
        <v>11.908427836883686</v>
      </c>
      <c r="AA129" s="42">
        <f t="shared" si="35"/>
        <v>19163.346428400924</v>
      </c>
    </row>
    <row r="130" spans="1:27" s="4" customFormat="1">
      <c r="A130" s="2"/>
      <c r="B130" s="2"/>
      <c r="C130" s="2"/>
      <c r="D130" s="2"/>
      <c r="E130" s="19"/>
      <c r="F130" s="112">
        <f>SUM(F49:M49)/SUM(F45:M52)</f>
        <v>0.16066234400865798</v>
      </c>
      <c r="G130" s="112">
        <f>SUM(F59:M59)/SUM(F55:M62)</f>
        <v>-1.0037252422270692E-2</v>
      </c>
      <c r="H130" s="112">
        <f>SUM(F69:M69)/SUM(F65:M72)</f>
        <v>-1.850761024350442</v>
      </c>
      <c r="I130" s="112">
        <f>SUM(F79:M79)/SUM(F75:M82)</f>
        <v>-0.2780868694758688</v>
      </c>
      <c r="J130" s="112">
        <f>SUM(F89:M89)/SUM(F85:M92)</f>
        <v>1</v>
      </c>
      <c r="K130" s="112">
        <f>SUM(F99:M99)/SUM(F95:M102)</f>
        <v>-0.22278935181608781</v>
      </c>
      <c r="L130" s="112">
        <f>SUM(F109:M109)/SUM(F105:M112)</f>
        <v>1.3879991490436717E-2</v>
      </c>
      <c r="M130" s="112">
        <f>SUM(F119:M119)/SUM(F115:M122)</f>
        <v>1.5680097799253064E-2</v>
      </c>
      <c r="N130" s="111"/>
      <c r="O130" s="111"/>
      <c r="P130" s="19"/>
      <c r="Q130" s="108">
        <v>128</v>
      </c>
      <c r="R130" s="27">
        <f t="shared" ref="R130:R136" si="36">S130/(3600*365*24)</f>
        <v>10.666666666666666</v>
      </c>
      <c r="S130" s="18">
        <f t="shared" ref="S130:S136" si="37">Q130*D$5</f>
        <v>336384000</v>
      </c>
      <c r="T130" s="42">
        <f t="shared" ref="T130:T136" si="38">$F$148*EXP($F$24*$S130)+$G$148*EXP($G$24*$S130)+$H$148*EXP($H$24*$S130)+$I$148*EXP($I$24*$S130)+$J$148*EXP($J$24*$S130)+$K$148*EXP($K$24*$S130)+$L$148*EXP($L$24*$S130)+$M$148*EXP($M$24*$S130)</f>
        <v>11.208718005781702</v>
      </c>
      <c r="U130" s="42">
        <f t="shared" ref="U130:U136" si="39">$F$149*EXP($F$24*$S130)+$G$149*EXP($G$24*$S130)+$H$149*EXP($H$24*$S130)+$I$149*EXP($I$24*$S130)+$J$149*EXP($J$24*$S130)+$K$149*EXP($K$24*$S130)+$L$149*EXP($L$24*$S130)+$M$149*EXP($M$24*$S130)</f>
        <v>2633.0064496821169</v>
      </c>
      <c r="V130" s="42">
        <f t="shared" ref="V130:V136" si="40">$F$150*EXP($F$24*$S130)+$G$150*EXP($G$24*$S130)+$H$150*EXP($H$24*$S130)+$I$150*EXP($I$24*$S130)+$J$150*EXP($J$24*$S130)+$K$150*EXP($K$24*$S130)+$L$150*EXP($L$24*$S130)+$M$150*EXP($M$24*$S130)</f>
        <v>1411.184363947681</v>
      </c>
      <c r="W130" s="42">
        <f t="shared" ref="W130:W136" si="41">$F$151*EXP($F$24*$S130)+$G$151*EXP($G$24*$S130)+$H$151*EXP($H$24*$S130)+$I$151*EXP($I$24*$S130)+$J$151*EXP($J$24*$S130)+$K$151*EXP($K$24*$S130)+$L$151*EXP($L$24*$S130)+$M$151*EXP($M$24*$S130)</f>
        <v>189.21611555856992</v>
      </c>
      <c r="X130" s="42">
        <f t="shared" ref="X130:X136" si="42">$F$152*EXP($F$24*$S130)+$G$152*EXP($G$24*$S130)+$H$152*EXP($H$24*$S130)+$I$152*EXP($I$24*$S130)+$J$152*EXP($J$24*$S130)+$K$152*EXP($K$24*$S130)+$L$152*EXP($L$24*$S130)+$M$152*EXP($M$24*$S130)</f>
        <v>108.937082997196</v>
      </c>
      <c r="Y130" s="42">
        <f t="shared" ref="Y130:Y136" si="43">$F$153*EXP($F$24*$S130)+$G$153*EXP($G$24*$S130)+$H$153*EXP($H$24*$S130)+$I$153*EXP($I$24*$S130)+$J$153*EXP($J$24*$S130)+$K$153*EXP($K$24*$S130)+$L$153*EXP($L$24*$S130)+$M$153*EXP($M$24*$S130)</f>
        <v>47.235199402417621</v>
      </c>
      <c r="Z130" s="42">
        <f t="shared" ref="Z130:Z136" si="44">$F$154*EXP($F$24*$S130)+$G$154*EXP($G$24*$S130)+$H$154*EXP($H$24*$S130)+$I$154*EXP($I$24*$S130)+$J$154*EXP($J$24*$S130)+$K$154*EXP($K$24*$S130)+$L$154*EXP($L$24*$S130)+$M$154*EXP($M$24*$S130)</f>
        <v>11.680253064745813</v>
      </c>
      <c r="AA130" s="42">
        <f t="shared" ref="AA130:AA136" si="45">$F$155*EXP($F$24*$S130)+$G$155*EXP($G$24*$S130)+$H$155*EXP($H$24*$S130)+$I$155*EXP($I$24*$S130)+$J$155*EXP($J$24*$S130)+$K$155*EXP($K$24*$S130)+$L$155*EXP($L$24*$S130)+$M$155*EXP($M$24*$S130)</f>
        <v>19114.006474704263</v>
      </c>
    </row>
    <row r="131" spans="1:27" s="4" customFormat="1">
      <c r="A131" s="2"/>
      <c r="B131" s="2"/>
      <c r="C131" s="2"/>
      <c r="D131" s="2"/>
      <c r="E131" s="19"/>
      <c r="F131" s="112">
        <f>SUM(F50:M50)/SUM(F45:M52)</f>
        <v>-0.45115169393359195</v>
      </c>
      <c r="G131" s="112">
        <f>SUM(F60:M60)/SUM(F55:M62)</f>
        <v>0.37966924912085048</v>
      </c>
      <c r="H131" s="112">
        <f>SUM(F70:M70)/SUM(F65:M72)</f>
        <v>0.17725923296746057</v>
      </c>
      <c r="I131" s="112">
        <f>SUM(F80:M80)/SUM(F75:M82)</f>
        <v>-0.71486068778131473</v>
      </c>
      <c r="J131" s="112">
        <f>SUM(F90:M90)/SUM(F85:M92)</f>
        <v>0</v>
      </c>
      <c r="K131" s="112">
        <f>SUM(F100:M100)/SUM(F95:M102)</f>
        <v>1.2227893518160879</v>
      </c>
      <c r="L131" s="112">
        <f>SUM(F110:M110)/SUM(F105:M112)</f>
        <v>0.25892043843938484</v>
      </c>
      <c r="M131" s="112">
        <f>SUM(F120:M120)/SUM(F115:M122)</f>
        <v>3.8178346366192439E-3</v>
      </c>
      <c r="N131" s="111"/>
      <c r="O131" s="111"/>
      <c r="P131" s="19"/>
      <c r="Q131" s="108">
        <v>129</v>
      </c>
      <c r="R131" s="27">
        <f t="shared" si="36"/>
        <v>10.75</v>
      </c>
      <c r="S131" s="18">
        <f t="shared" si="37"/>
        <v>339012000</v>
      </c>
      <c r="T131" s="42">
        <f t="shared" si="38"/>
        <v>11.089629709399819</v>
      </c>
      <c r="U131" s="42">
        <f t="shared" si="39"/>
        <v>2626.5620990426996</v>
      </c>
      <c r="V131" s="42">
        <f t="shared" si="40"/>
        <v>1411.0379345157276</v>
      </c>
      <c r="W131" s="42">
        <f t="shared" si="41"/>
        <v>189.25644447167267</v>
      </c>
      <c r="X131" s="42">
        <f t="shared" si="42"/>
        <v>109.05531438350317</v>
      </c>
      <c r="Y131" s="42">
        <f t="shared" si="43"/>
        <v>47.218472248452173</v>
      </c>
      <c r="Z131" s="42">
        <f t="shared" si="44"/>
        <v>11.456450299337405</v>
      </c>
      <c r="AA131" s="42">
        <f t="shared" si="45"/>
        <v>19064.793556806901</v>
      </c>
    </row>
    <row r="132" spans="1:27" s="4" customFormat="1">
      <c r="A132" s="2"/>
      <c r="B132" s="2"/>
      <c r="C132" s="2"/>
      <c r="D132" s="2"/>
      <c r="E132" s="19"/>
      <c r="F132" s="112">
        <f>SUM(F51:M51)/SUM(F45:M52)</f>
        <v>0</v>
      </c>
      <c r="G132" s="112">
        <f>SUM(F61:M61)/SUM(F55:M62)</f>
        <v>0</v>
      </c>
      <c r="H132" s="112">
        <f>SUM(F71:M71)/SUM(F65:M72)</f>
        <v>0</v>
      </c>
      <c r="I132" s="112">
        <f>SUM(F81:M81)/SUM(F75:M82)</f>
        <v>0</v>
      </c>
      <c r="J132" s="112">
        <f>SUM(F91:M91)/SUM(F85:M92)</f>
        <v>0</v>
      </c>
      <c r="K132" s="112">
        <f>SUM(F101:M101)/SUM(F95:M102)</f>
        <v>0</v>
      </c>
      <c r="L132" s="112">
        <f>SUM(F111:M111)/SUM(F105:M112)</f>
        <v>0.35995068323358537</v>
      </c>
      <c r="M132" s="112">
        <f>SUM(F121:M121)/SUM(F115:M122)</f>
        <v>0</v>
      </c>
      <c r="N132" s="111"/>
      <c r="O132" s="111"/>
      <c r="P132" s="19"/>
      <c r="Q132" s="108">
        <v>130</v>
      </c>
      <c r="R132" s="27">
        <f t="shared" si="36"/>
        <v>10.833333333333334</v>
      </c>
      <c r="S132" s="18">
        <f t="shared" si="37"/>
        <v>341640000</v>
      </c>
      <c r="T132" s="42">
        <f t="shared" si="38"/>
        <v>10.971389912965906</v>
      </c>
      <c r="U132" s="42">
        <f t="shared" si="39"/>
        <v>2620.1279271255362</v>
      </c>
      <c r="V132" s="42">
        <f t="shared" si="40"/>
        <v>1410.8682988697005</v>
      </c>
      <c r="W132" s="42">
        <f t="shared" si="41"/>
        <v>189.29508473833081</v>
      </c>
      <c r="X132" s="42">
        <f t="shared" si="42"/>
        <v>109.17293577935573</v>
      </c>
      <c r="Y132" s="42">
        <f t="shared" si="43"/>
        <v>47.202176924602121</v>
      </c>
      <c r="Z132" s="42">
        <f t="shared" si="44"/>
        <v>11.23693576959708</v>
      </c>
      <c r="AA132" s="42">
        <f t="shared" si="45"/>
        <v>19015.707347629199</v>
      </c>
    </row>
    <row r="133" spans="1:27">
      <c r="F133" s="112">
        <f>SUM(F52:M52)/SUM(F45:M52)</f>
        <v>0</v>
      </c>
      <c r="G133" s="112">
        <f>SUM(F62:M62)/SUM(F55:M62)</f>
        <v>0</v>
      </c>
      <c r="H133" s="112">
        <f>SUM(F72:M72)/SUM(F65:M72)</f>
        <v>0</v>
      </c>
      <c r="I133" s="112">
        <f>SUM(F82:M82)/SUM(F75:M82)</f>
        <v>0</v>
      </c>
      <c r="J133" s="112">
        <f>SUM(F92:M92)/SUM(F85:M92)</f>
        <v>0</v>
      </c>
      <c r="K133" s="112">
        <f>SUM(F102:M102)/SUM(F95:M102)</f>
        <v>0</v>
      </c>
      <c r="L133" s="112">
        <f>SUM(F112:M112)/SUM(F105:M112)</f>
        <v>0</v>
      </c>
      <c r="M133" s="112">
        <f>SUM(F122:M122)/SUM(F115:M122)</f>
        <v>0.77169588230106034</v>
      </c>
      <c r="Q133" s="108">
        <v>131</v>
      </c>
      <c r="R133" s="27">
        <f t="shared" si="36"/>
        <v>10.916666666666666</v>
      </c>
      <c r="S133" s="18">
        <f t="shared" si="37"/>
        <v>344268000</v>
      </c>
      <c r="T133" s="42">
        <f t="shared" si="38"/>
        <v>10.854003830452919</v>
      </c>
      <c r="U133" s="42">
        <f t="shared" si="39"/>
        <v>2613.7040257726112</v>
      </c>
      <c r="V133" s="42">
        <f t="shared" si="40"/>
        <v>1410.6756607761963</v>
      </c>
      <c r="W133" s="42">
        <f t="shared" si="41"/>
        <v>189.33199712284582</v>
      </c>
      <c r="X133" s="42">
        <f t="shared" si="42"/>
        <v>109.28994543221864</v>
      </c>
      <c r="Y133" s="42">
        <f t="shared" si="43"/>
        <v>47.186299526838198</v>
      </c>
      <c r="Z133" s="42">
        <f t="shared" si="44"/>
        <v>11.021627309582374</v>
      </c>
      <c r="AA133" s="42">
        <f t="shared" si="45"/>
        <v>18966.747520933644</v>
      </c>
    </row>
    <row r="134" spans="1:27">
      <c r="Q134" s="108">
        <v>132</v>
      </c>
      <c r="R134" s="27">
        <f t="shared" si="36"/>
        <v>11</v>
      </c>
      <c r="S134" s="18">
        <f t="shared" si="37"/>
        <v>346896000</v>
      </c>
      <c r="T134" s="42">
        <f t="shared" si="38"/>
        <v>10.737476254270716</v>
      </c>
      <c r="U134" s="42">
        <f t="shared" si="39"/>
        <v>2607.2904844867262</v>
      </c>
      <c r="V134" s="42">
        <f t="shared" si="40"/>
        <v>1410.4602228921387</v>
      </c>
      <c r="W134" s="42">
        <f t="shared" si="41"/>
        <v>189.36714421508111</v>
      </c>
      <c r="X134" s="42">
        <f t="shared" si="42"/>
        <v>109.40634143312207</v>
      </c>
      <c r="Y134" s="42">
        <f t="shared" si="43"/>
        <v>47.170826225589728</v>
      </c>
      <c r="Z134" s="42">
        <f t="shared" si="44"/>
        <v>10.810444327714418</v>
      </c>
      <c r="AA134" s="42">
        <f t="shared" si="45"/>
        <v>18917.913751322707</v>
      </c>
    </row>
    <row r="135" spans="1:27" ht="15">
      <c r="E135" s="110" t="s">
        <v>183</v>
      </c>
      <c r="Q135" s="108">
        <v>133</v>
      </c>
      <c r="R135" s="27">
        <f t="shared" si="36"/>
        <v>11.083333333333334</v>
      </c>
      <c r="S135" s="18">
        <f t="shared" si="37"/>
        <v>349524000</v>
      </c>
      <c r="T135" s="42">
        <f t="shared" si="38"/>
        <v>10.621811568162125</v>
      </c>
      <c r="U135" s="42">
        <f t="shared" si="39"/>
        <v>2600.887390473858</v>
      </c>
      <c r="V135" s="42">
        <f t="shared" si="40"/>
        <v>1410.2221867639475</v>
      </c>
      <c r="W135" s="42">
        <f t="shared" si="41"/>
        <v>189.40049037638767</v>
      </c>
      <c r="X135" s="42">
        <f t="shared" si="42"/>
        <v>109.52212172438789</v>
      </c>
      <c r="Y135" s="42">
        <f t="shared" si="43"/>
        <v>47.155743271716872</v>
      </c>
      <c r="Z135" s="42">
        <f t="shared" si="44"/>
        <v>10.60330777661189</v>
      </c>
      <c r="AA135" s="42">
        <f t="shared" si="45"/>
        <v>18869.205714236643</v>
      </c>
    </row>
    <row r="136" spans="1:27">
      <c r="F136" s="112">
        <f t="array" ref="F136:M143">MINVERSE(F126:M133)</f>
        <v>1.1645139448345838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1.1644360094568338</v>
      </c>
      <c r="M136" s="112">
        <v>-2.4655858862992929E-17</v>
      </c>
      <c r="Q136" s="108">
        <v>134</v>
      </c>
      <c r="R136" s="27">
        <f t="shared" si="36"/>
        <v>11.166666666666666</v>
      </c>
      <c r="S136" s="18">
        <f t="shared" si="37"/>
        <v>352152000</v>
      </c>
      <c r="T136" s="42">
        <f t="shared" si="38"/>
        <v>10.507013759779825</v>
      </c>
      <c r="U136" s="42">
        <f t="shared" si="39"/>
        <v>2594.4948286848053</v>
      </c>
      <c r="V136" s="42">
        <f t="shared" si="40"/>
        <v>1409.9617528268786</v>
      </c>
      <c r="W136" s="42">
        <f t="shared" si="41"/>
        <v>189.43200168700744</v>
      </c>
      <c r="X136" s="42">
        <f t="shared" si="42"/>
        <v>109.63728410712076</v>
      </c>
      <c r="Y136" s="42">
        <f t="shared" si="43"/>
        <v>47.141037002172176</v>
      </c>
      <c r="Z136" s="42">
        <f t="shared" si="44"/>
        <v>10.400140123503011</v>
      </c>
      <c r="AA136" s="42">
        <f t="shared" si="45"/>
        <v>18820.623085951353</v>
      </c>
    </row>
    <row r="137" spans="1:27">
      <c r="F137" s="112">
        <v>-1.0909028382223214</v>
      </c>
      <c r="G137" s="112">
        <v>0.8321685049646157</v>
      </c>
      <c r="H137" s="112">
        <v>0</v>
      </c>
      <c r="I137" s="112">
        <v>0</v>
      </c>
      <c r="J137" s="112">
        <v>0</v>
      </c>
      <c r="K137" s="112">
        <v>0</v>
      </c>
      <c r="L137" s="112">
        <v>-4.1363392958473923</v>
      </c>
      <c r="M137" s="112">
        <v>-0.11544744017792018</v>
      </c>
    </row>
    <row r="138" spans="1:27">
      <c r="F138" s="112">
        <v>7.7908127699298654E-2</v>
      </c>
      <c r="G138" s="112">
        <v>0.15082605486740083</v>
      </c>
      <c r="H138" s="112">
        <v>0.44211817819911031</v>
      </c>
      <c r="I138" s="112">
        <v>0</v>
      </c>
      <c r="J138" s="112">
        <v>0</v>
      </c>
      <c r="K138" s="112">
        <v>0</v>
      </c>
      <c r="L138" s="112">
        <v>2.7157288616385587E-2</v>
      </c>
      <c r="M138" s="112">
        <v>-7.1659396234272851E-2</v>
      </c>
    </row>
    <row r="139" spans="1:27">
      <c r="F139" s="112">
        <v>-1.1746480033640769E-2</v>
      </c>
      <c r="G139" s="112">
        <v>3.6224672835476326E-2</v>
      </c>
      <c r="H139" s="112">
        <v>-9.1323898993501962E-2</v>
      </c>
      <c r="I139" s="112">
        <v>0.50176934980479926</v>
      </c>
      <c r="J139" s="112">
        <v>0</v>
      </c>
      <c r="K139" s="112">
        <v>0</v>
      </c>
      <c r="L139" s="112">
        <v>5.9424789492247684E-3</v>
      </c>
      <c r="M139" s="112">
        <v>-3.1235282236808902E-3</v>
      </c>
    </row>
    <row r="140" spans="1:27">
      <c r="F140" s="112">
        <v>0.11001817074373335</v>
      </c>
      <c r="G140" s="112">
        <v>0.23985115195020412</v>
      </c>
      <c r="H140" s="112">
        <v>0.766685803672573</v>
      </c>
      <c r="I140" s="112">
        <v>0.20488888861025761</v>
      </c>
      <c r="J140" s="112">
        <v>1</v>
      </c>
      <c r="K140" s="112">
        <v>0.1821976544735206</v>
      </c>
      <c r="L140" s="112">
        <v>3.5438846733587354E-2</v>
      </c>
      <c r="M140" s="112">
        <v>-0.14597864929470625</v>
      </c>
    </row>
    <row r="141" spans="1:27">
      <c r="F141" s="112">
        <v>0.7502090749783461</v>
      </c>
      <c r="G141" s="112">
        <v>-0.25907038461769688</v>
      </c>
      <c r="H141" s="112">
        <v>-0.11748008287818118</v>
      </c>
      <c r="I141" s="112">
        <v>0.29334176158494307</v>
      </c>
      <c r="J141" s="112">
        <v>0</v>
      </c>
      <c r="K141" s="112">
        <v>0.81780234552647935</v>
      </c>
      <c r="L141" s="112">
        <v>1.125206311572114</v>
      </c>
      <c r="M141" s="112">
        <v>4.0361746975912507E-2</v>
      </c>
    </row>
    <row r="142" spans="1:27"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2.7781583605192459</v>
      </c>
      <c r="M142" s="112">
        <v>0</v>
      </c>
    </row>
    <row r="143" spans="1:27"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1.2958472669546677</v>
      </c>
    </row>
    <row r="146" spans="5:13" ht="15">
      <c r="E146" s="110" t="s">
        <v>184</v>
      </c>
      <c r="F146" s="111">
        <f t="array" ref="F146:M146">TRANSPOSE(MMULT(F136:M143,B2:B9))</f>
        <v>183.99967434082853</v>
      </c>
      <c r="G146" s="111">
        <v>-784.35183997573586</v>
      </c>
      <c r="H146" s="111">
        <v>-867.38945001500906</v>
      </c>
      <c r="I146" s="111">
        <v>58.708545554389161</v>
      </c>
      <c r="J146" s="111">
        <v>-2017.4737250839105</v>
      </c>
      <c r="K146" s="111">
        <v>324.78374538577737</v>
      </c>
      <c r="L146" s="111">
        <v>386.08941760976319</v>
      </c>
      <c r="M146" s="111">
        <v>34452.215132347374</v>
      </c>
    </row>
    <row r="147" spans="5:13" ht="15">
      <c r="F147" s="110" t="s">
        <v>174</v>
      </c>
      <c r="G147" s="110" t="s">
        <v>175</v>
      </c>
      <c r="H147" s="110" t="s">
        <v>176</v>
      </c>
      <c r="I147" s="110" t="s">
        <v>177</v>
      </c>
      <c r="J147" s="110" t="s">
        <v>178</v>
      </c>
      <c r="K147" s="110" t="s">
        <v>179</v>
      </c>
      <c r="L147" s="110" t="s">
        <v>180</v>
      </c>
      <c r="M147" s="110" t="s">
        <v>181</v>
      </c>
    </row>
    <row r="148" spans="5:13" ht="15">
      <c r="E148" s="105" t="s">
        <v>7</v>
      </c>
      <c r="F148" s="112">
        <f t="shared" ref="F148:M155" si="46">F$146*F126</f>
        <v>158.00555687374376</v>
      </c>
      <c r="G148" s="112">
        <f t="shared" si="46"/>
        <v>0</v>
      </c>
      <c r="H148" s="112">
        <f t="shared" si="46"/>
        <v>0</v>
      </c>
      <c r="I148" s="112">
        <f t="shared" si="46"/>
        <v>0</v>
      </c>
      <c r="J148" s="112">
        <f t="shared" si="46"/>
        <v>0</v>
      </c>
      <c r="K148" s="112">
        <f t="shared" si="46"/>
        <v>0</v>
      </c>
      <c r="L148" s="112">
        <f t="shared" si="46"/>
        <v>-138.96384884619764</v>
      </c>
      <c r="M148" s="112">
        <f t="shared" si="46"/>
        <v>0</v>
      </c>
    </row>
    <row r="149" spans="5:13" ht="15">
      <c r="E149" s="105" t="s">
        <v>9</v>
      </c>
      <c r="F149" s="112">
        <f t="shared" si="46"/>
        <v>207.13198038634582</v>
      </c>
      <c r="G149" s="112">
        <f t="shared" si="46"/>
        <v>-942.53968432641773</v>
      </c>
      <c r="H149" s="112">
        <f t="shared" si="46"/>
        <v>0</v>
      </c>
      <c r="I149" s="112">
        <f t="shared" si="46"/>
        <v>0</v>
      </c>
      <c r="J149" s="112">
        <f t="shared" si="46"/>
        <v>0</v>
      </c>
      <c r="K149" s="112">
        <f t="shared" si="46"/>
        <v>0</v>
      </c>
      <c r="L149" s="112">
        <f t="shared" si="46"/>
        <v>508.60377478356804</v>
      </c>
      <c r="M149" s="112">
        <f t="shared" si="46"/>
        <v>3688.3860095326372</v>
      </c>
    </row>
    <row r="150" spans="5:13" ht="15">
      <c r="E150" s="105" t="s">
        <v>10</v>
      </c>
      <c r="F150" s="112">
        <f t="shared" si="46"/>
        <v>-98.504921733956536</v>
      </c>
      <c r="G150" s="112">
        <f t="shared" si="46"/>
        <v>321.54195224901304</v>
      </c>
      <c r="H150" s="112">
        <f t="shared" si="46"/>
        <v>-1961.8950153738658</v>
      </c>
      <c r="I150" s="112">
        <f t="shared" si="46"/>
        <v>0</v>
      </c>
      <c r="J150" s="112">
        <f t="shared" si="46"/>
        <v>0</v>
      </c>
      <c r="K150" s="112">
        <f t="shared" si="46"/>
        <v>0</v>
      </c>
      <c r="L150" s="112">
        <f t="shared" si="46"/>
        <v>-157.55611266360205</v>
      </c>
      <c r="M150" s="112">
        <f t="shared" si="46"/>
        <v>3050.9429210873536</v>
      </c>
    </row>
    <row r="151" spans="5:13" ht="15">
      <c r="E151" s="105" t="s">
        <v>11</v>
      </c>
      <c r="F151" s="112">
        <f t="shared" si="46"/>
        <v>-29.182995399637615</v>
      </c>
      <c r="G151" s="112">
        <f t="shared" si="46"/>
        <v>126.56742882610499</v>
      </c>
      <c r="H151" s="112">
        <f t="shared" si="46"/>
        <v>-357.07223306795976</v>
      </c>
      <c r="I151" s="112">
        <f t="shared" si="46"/>
        <v>117.00305245274195</v>
      </c>
      <c r="J151" s="112">
        <f t="shared" si="46"/>
        <v>0</v>
      </c>
      <c r="K151" s="112">
        <f t="shared" si="46"/>
        <v>0</v>
      </c>
      <c r="L151" s="112">
        <f t="shared" si="46"/>
        <v>-70.292904437194281</v>
      </c>
      <c r="M151" s="112">
        <f t="shared" si="46"/>
        <v>454.5066850279855</v>
      </c>
    </row>
    <row r="152" spans="5:13" ht="15">
      <c r="E152" s="105" t="s">
        <v>13</v>
      </c>
      <c r="F152" s="112">
        <f t="shared" si="46"/>
        <v>29.561818976427233</v>
      </c>
      <c r="G152" s="112">
        <f t="shared" si="46"/>
        <v>7.8727374057089294</v>
      </c>
      <c r="H152" s="112">
        <f t="shared" si="46"/>
        <v>1605.3305870205447</v>
      </c>
      <c r="I152" s="112">
        <f t="shared" si="46"/>
        <v>-16.326075644701515</v>
      </c>
      <c r="J152" s="112">
        <f t="shared" si="46"/>
        <v>-2017.4737250839105</v>
      </c>
      <c r="K152" s="112">
        <f t="shared" si="46"/>
        <v>-72.358360114898645</v>
      </c>
      <c r="L152" s="112">
        <f t="shared" si="46"/>
        <v>5.3589178309711807</v>
      </c>
      <c r="M152" s="112">
        <f t="shared" si="46"/>
        <v>540.21410267611316</v>
      </c>
    </row>
    <row r="153" spans="5:13" ht="15">
      <c r="E153" s="105" t="s">
        <v>14</v>
      </c>
      <c r="F153" s="112">
        <f t="shared" si="46"/>
        <v>-83.01176476209406</v>
      </c>
      <c r="G153" s="112">
        <f t="shared" si="46"/>
        <v>-297.79427413014508</v>
      </c>
      <c r="H153" s="112">
        <f t="shared" si="46"/>
        <v>-153.75278859372798</v>
      </c>
      <c r="I153" s="112">
        <f t="shared" si="46"/>
        <v>-41.968431253651282</v>
      </c>
      <c r="J153" s="112">
        <f t="shared" si="46"/>
        <v>0</v>
      </c>
      <c r="K153" s="112">
        <f t="shared" si="46"/>
        <v>397.14210550067605</v>
      </c>
      <c r="L153" s="112">
        <f t="shared" si="46"/>
        <v>99.966441284326635</v>
      </c>
      <c r="M153" s="112">
        <f t="shared" si="46"/>
        <v>131.53286024053344</v>
      </c>
    </row>
    <row r="154" spans="5:13" ht="15">
      <c r="E154" s="105" t="s">
        <v>15</v>
      </c>
      <c r="F154" s="112">
        <f t="shared" si="46"/>
        <v>0</v>
      </c>
      <c r="G154" s="112">
        <f t="shared" si="46"/>
        <v>0</v>
      </c>
      <c r="H154" s="112">
        <f t="shared" si="46"/>
        <v>0</v>
      </c>
      <c r="I154" s="112">
        <f t="shared" si="46"/>
        <v>0</v>
      </c>
      <c r="J154" s="112">
        <f t="shared" si="46"/>
        <v>0</v>
      </c>
      <c r="K154" s="112">
        <f t="shared" si="46"/>
        <v>0</v>
      </c>
      <c r="L154" s="112">
        <f t="shared" si="46"/>
        <v>138.97314965789133</v>
      </c>
      <c r="M154" s="112">
        <f t="shared" si="46"/>
        <v>0</v>
      </c>
    </row>
    <row r="155" spans="5:13" ht="15">
      <c r="E155" s="105" t="s">
        <v>16</v>
      </c>
      <c r="F155" s="112">
        <f t="shared" si="46"/>
        <v>0</v>
      </c>
      <c r="G155" s="112">
        <f t="shared" si="46"/>
        <v>0</v>
      </c>
      <c r="H155" s="112">
        <f t="shared" si="46"/>
        <v>0</v>
      </c>
      <c r="I155" s="112">
        <f t="shared" si="46"/>
        <v>0</v>
      </c>
      <c r="J155" s="112">
        <f t="shared" si="46"/>
        <v>0</v>
      </c>
      <c r="K155" s="112">
        <f t="shared" si="46"/>
        <v>0</v>
      </c>
      <c r="L155" s="112">
        <f t="shared" si="46"/>
        <v>0</v>
      </c>
      <c r="M155" s="112">
        <f t="shared" si="46"/>
        <v>26586.632553782751</v>
      </c>
    </row>
    <row r="157" spans="5:13">
      <c r="F157" s="111"/>
    </row>
    <row r="158" spans="5:13">
      <c r="F158" s="125">
        <v>-5.7434633429516339E-9</v>
      </c>
      <c r="G158" s="113">
        <v>0</v>
      </c>
      <c r="H158" s="113">
        <v>0</v>
      </c>
      <c r="I158" s="113">
        <v>0</v>
      </c>
      <c r="J158" s="113">
        <v>0</v>
      </c>
      <c r="K158" s="113">
        <v>0</v>
      </c>
      <c r="L158" s="113">
        <v>0</v>
      </c>
      <c r="M158" s="113">
        <v>0</v>
      </c>
    </row>
    <row r="159" spans="5:13">
      <c r="F159" s="112">
        <v>1.5619926534195389E-9</v>
      </c>
      <c r="G159" s="125">
        <v>-6.9349911725794344E-9</v>
      </c>
      <c r="H159" s="113">
        <v>0</v>
      </c>
      <c r="I159" s="113">
        <v>0</v>
      </c>
      <c r="J159" s="113">
        <v>0</v>
      </c>
      <c r="K159" s="113">
        <v>0</v>
      </c>
      <c r="L159" s="113">
        <v>0</v>
      </c>
      <c r="M159" s="112">
        <v>8.2599399375528609E-10</v>
      </c>
    </row>
    <row r="160" spans="5:13">
      <c r="F160" s="113">
        <v>0</v>
      </c>
      <c r="G160" s="112">
        <v>1.4380810506627284E-9</v>
      </c>
      <c r="H160" s="125">
        <v>-2.71952737369777E-9</v>
      </c>
      <c r="I160" s="113">
        <v>0</v>
      </c>
      <c r="J160" s="113">
        <v>0</v>
      </c>
      <c r="K160" s="113">
        <v>0</v>
      </c>
      <c r="L160" s="113">
        <v>0</v>
      </c>
      <c r="M160" s="113">
        <v>0</v>
      </c>
    </row>
    <row r="161" spans="4:15">
      <c r="F161" s="113">
        <v>0</v>
      </c>
      <c r="G161" s="113">
        <v>0</v>
      </c>
      <c r="H161" s="112">
        <v>1.427077800367472E-9</v>
      </c>
      <c r="I161" s="125">
        <v>-1.0560453001086941E-8</v>
      </c>
      <c r="J161" s="113">
        <v>0</v>
      </c>
      <c r="K161" s="113">
        <v>0</v>
      </c>
      <c r="L161" s="113">
        <v>0</v>
      </c>
      <c r="M161" s="113">
        <v>0</v>
      </c>
    </row>
    <row r="162" spans="4:15">
      <c r="F162" s="113">
        <v>0</v>
      </c>
      <c r="G162" s="113">
        <v>0</v>
      </c>
      <c r="H162" s="113">
        <v>0</v>
      </c>
      <c r="I162" s="112">
        <v>1.4051025590107522E-9</v>
      </c>
      <c r="J162" s="125">
        <v>-2.3381555221817427E-9</v>
      </c>
      <c r="K162" s="112">
        <v>7.1871730485394106E-10</v>
      </c>
      <c r="L162" s="113">
        <v>0</v>
      </c>
      <c r="M162" s="113">
        <v>0</v>
      </c>
    </row>
    <row r="163" spans="4:15">
      <c r="F163" s="113">
        <v>0</v>
      </c>
      <c r="G163" s="113">
        <v>0</v>
      </c>
      <c r="H163" s="113">
        <v>0</v>
      </c>
      <c r="I163" s="113">
        <v>1.5343492432592516E-9</v>
      </c>
      <c r="J163" s="113">
        <v>0</v>
      </c>
      <c r="K163" s="125">
        <v>-6.2828676916701522E-9</v>
      </c>
      <c r="L163" s="113">
        <v>0</v>
      </c>
      <c r="M163" s="113">
        <v>0</v>
      </c>
    </row>
    <row r="164" spans="4:15">
      <c r="F164" s="113">
        <v>0</v>
      </c>
      <c r="G164" s="112">
        <v>9.1163637120235491E-13</v>
      </c>
      <c r="H164" s="113">
        <v>0</v>
      </c>
      <c r="I164" s="113">
        <v>0</v>
      </c>
      <c r="J164" s="113">
        <v>0</v>
      </c>
      <c r="K164" s="113">
        <v>0</v>
      </c>
      <c r="L164" s="125">
        <v>-7.3617684041897035E-9</v>
      </c>
      <c r="M164" s="113">
        <v>0</v>
      </c>
    </row>
    <row r="165" spans="4:15">
      <c r="F165" s="113">
        <v>0</v>
      </c>
      <c r="G165" s="113">
        <v>0</v>
      </c>
      <c r="H165" s="113">
        <v>0</v>
      </c>
      <c r="I165" s="113">
        <v>0</v>
      </c>
      <c r="J165" s="112">
        <v>5.8612141092503409E-14</v>
      </c>
      <c r="K165" s="113">
        <v>0</v>
      </c>
      <c r="L165" s="113">
        <v>0</v>
      </c>
      <c r="M165" s="125">
        <v>-9.8098353166876458E-10</v>
      </c>
    </row>
    <row r="166" spans="4:15">
      <c r="F166" s="111"/>
    </row>
    <row r="167" spans="4:15">
      <c r="F167" s="111" t="s">
        <v>190</v>
      </c>
      <c r="G167" s="111" t="s">
        <v>191</v>
      </c>
    </row>
    <row r="168" spans="4:15">
      <c r="E168" s="19" t="s">
        <v>188</v>
      </c>
      <c r="F168" s="111"/>
      <c r="G168" s="111">
        <f>SUMPRODUCT(G158:M158,G2:M2)-G158</f>
        <v>0</v>
      </c>
    </row>
    <row r="169" spans="4:15">
      <c r="D169" s="2">
        <f>F146-G146</f>
        <v>968.35151431656436</v>
      </c>
      <c r="E169" s="19" t="s">
        <v>189</v>
      </c>
      <c r="F169" s="111">
        <f>(F149*F159+M149*M159)/F159</f>
        <v>2157.5794961639358</v>
      </c>
    </row>
    <row r="170" spans="4:15">
      <c r="F170" s="111"/>
    </row>
    <row r="171" spans="4:15">
      <c r="F171" s="126">
        <v>0</v>
      </c>
      <c r="G171" s="113">
        <f t="shared" ref="G171:L171" si="47">G158</f>
        <v>0</v>
      </c>
      <c r="H171" s="113">
        <f t="shared" si="47"/>
        <v>0</v>
      </c>
      <c r="I171" s="113">
        <f t="shared" si="47"/>
        <v>0</v>
      </c>
      <c r="J171" s="113">
        <f t="shared" si="47"/>
        <v>0</v>
      </c>
      <c r="K171" s="113">
        <f t="shared" si="47"/>
        <v>0</v>
      </c>
      <c r="L171" s="113">
        <f t="shared" si="47"/>
        <v>0</v>
      </c>
      <c r="M171" s="113">
        <f>M158</f>
        <v>0</v>
      </c>
      <c r="O171" s="111">
        <f t="array" ref="O171:O178">MMULT(F171:M178,M148:M155)</f>
        <v>0</v>
      </c>
    </row>
    <row r="172" spans="4:15">
      <c r="F172" s="112">
        <f t="shared" ref="F172:M172" si="48">F159</f>
        <v>1.5619926534195389E-9</v>
      </c>
      <c r="G172" s="126">
        <v>0</v>
      </c>
      <c r="H172" s="113">
        <f t="shared" si="48"/>
        <v>0</v>
      </c>
      <c r="I172" s="113">
        <f t="shared" si="48"/>
        <v>0</v>
      </c>
      <c r="J172" s="113">
        <f t="shared" si="48"/>
        <v>0</v>
      </c>
      <c r="K172" s="113">
        <f t="shared" si="48"/>
        <v>0</v>
      </c>
      <c r="L172" s="113">
        <f t="shared" si="48"/>
        <v>0</v>
      </c>
      <c r="M172" s="112">
        <f t="shared" si="48"/>
        <v>8.2599399375528609E-10</v>
      </c>
      <c r="O172" s="111">
        <v>2.1960398803603313E-5</v>
      </c>
    </row>
    <row r="173" spans="4:15">
      <c r="F173" s="113">
        <f t="shared" ref="F173:M173" si="49">F160</f>
        <v>0</v>
      </c>
      <c r="G173" s="112">
        <f t="shared" si="49"/>
        <v>1.4380810506627284E-9</v>
      </c>
      <c r="H173" s="126">
        <v>0</v>
      </c>
      <c r="I173" s="113">
        <f t="shared" si="49"/>
        <v>0</v>
      </c>
      <c r="J173" s="113">
        <f t="shared" si="49"/>
        <v>0</v>
      </c>
      <c r="K173" s="113">
        <f t="shared" si="49"/>
        <v>0</v>
      </c>
      <c r="L173" s="113">
        <f t="shared" si="49"/>
        <v>0</v>
      </c>
      <c r="M173" s="113">
        <f t="shared" si="49"/>
        <v>0</v>
      </c>
      <c r="O173" s="111">
        <v>5.3041980278384031E-6</v>
      </c>
    </row>
    <row r="174" spans="4:15">
      <c r="F174" s="113">
        <f t="shared" ref="F174:M174" si="50">F161</f>
        <v>0</v>
      </c>
      <c r="G174" s="113">
        <f t="shared" si="50"/>
        <v>0</v>
      </c>
      <c r="H174" s="112">
        <f t="shared" si="50"/>
        <v>1.427077800367472E-9</v>
      </c>
      <c r="I174" s="126">
        <v>0</v>
      </c>
      <c r="J174" s="113">
        <f t="shared" si="50"/>
        <v>0</v>
      </c>
      <c r="K174" s="113">
        <f t="shared" si="50"/>
        <v>0</v>
      </c>
      <c r="L174" s="113">
        <f t="shared" si="50"/>
        <v>0</v>
      </c>
      <c r="M174" s="113">
        <f t="shared" si="50"/>
        <v>0</v>
      </c>
      <c r="O174" s="111">
        <v>4.35393291287205E-6</v>
      </c>
    </row>
    <row r="175" spans="4:15">
      <c r="F175" s="113">
        <f t="shared" ref="F175:M175" si="51">F162</f>
        <v>0</v>
      </c>
      <c r="G175" s="113">
        <f t="shared" si="51"/>
        <v>0</v>
      </c>
      <c r="H175" s="113">
        <f t="shared" si="51"/>
        <v>0</v>
      </c>
      <c r="I175" s="112">
        <f t="shared" si="51"/>
        <v>1.4051025590107522E-9</v>
      </c>
      <c r="J175" s="126">
        <v>0</v>
      </c>
      <c r="K175" s="112">
        <f t="shared" si="51"/>
        <v>7.1871730485394106E-10</v>
      </c>
      <c r="L175" s="113">
        <f t="shared" si="51"/>
        <v>0</v>
      </c>
      <c r="M175" s="113">
        <f t="shared" si="51"/>
        <v>0</v>
      </c>
      <c r="O175" s="111">
        <v>7.3316344903212277E-7</v>
      </c>
    </row>
    <row r="176" spans="4:15">
      <c r="F176" s="113">
        <f t="shared" ref="F176:M176" si="52">F163</f>
        <v>0</v>
      </c>
      <c r="G176" s="113">
        <f t="shared" si="52"/>
        <v>0</v>
      </c>
      <c r="H176" s="113">
        <f t="shared" si="52"/>
        <v>0</v>
      </c>
      <c r="I176" s="113">
        <f t="shared" si="52"/>
        <v>1.5343492432592516E-9</v>
      </c>
      <c r="J176" s="113">
        <f t="shared" si="52"/>
        <v>0</v>
      </c>
      <c r="K176" s="126">
        <v>0</v>
      </c>
      <c r="L176" s="113">
        <f t="shared" si="52"/>
        <v>0</v>
      </c>
      <c r="M176" s="113">
        <f t="shared" si="52"/>
        <v>0</v>
      </c>
      <c r="O176" s="111">
        <v>6.9737198822896054E-7</v>
      </c>
    </row>
    <row r="177" spans="1:18">
      <c r="A177" s="111"/>
      <c r="B177" s="111"/>
      <c r="C177" s="111"/>
      <c r="D177" s="111"/>
      <c r="F177" s="113">
        <f t="shared" ref="F177:M177" si="53">F164</f>
        <v>0</v>
      </c>
      <c r="G177" s="112">
        <f t="shared" si="53"/>
        <v>9.1163637120235491E-13</v>
      </c>
      <c r="H177" s="113">
        <f t="shared" si="53"/>
        <v>0</v>
      </c>
      <c r="I177" s="113">
        <f t="shared" si="53"/>
        <v>0</v>
      </c>
      <c r="J177" s="113">
        <f t="shared" si="53"/>
        <v>0</v>
      </c>
      <c r="K177" s="113">
        <f t="shared" si="53"/>
        <v>0</v>
      </c>
      <c r="L177" s="126">
        <v>0</v>
      </c>
      <c r="M177" s="113">
        <f t="shared" si="53"/>
        <v>0</v>
      </c>
      <c r="O177" s="111">
        <v>3.3624668373238679E-9</v>
      </c>
      <c r="P177" s="111"/>
      <c r="Q177" s="111"/>
      <c r="R177" s="111"/>
    </row>
    <row r="178" spans="1:18">
      <c r="A178" s="111"/>
      <c r="B178" s="111"/>
      <c r="C178" s="111"/>
      <c r="D178" s="111"/>
      <c r="F178" s="113">
        <f t="shared" ref="F178:L178" si="54">F165</f>
        <v>0</v>
      </c>
      <c r="G178" s="113">
        <f t="shared" si="54"/>
        <v>0</v>
      </c>
      <c r="H178" s="113">
        <f t="shared" si="54"/>
        <v>0</v>
      </c>
      <c r="I178" s="113">
        <f t="shared" si="54"/>
        <v>0</v>
      </c>
      <c r="J178" s="112">
        <f t="shared" si="54"/>
        <v>5.8612141092503409E-14</v>
      </c>
      <c r="K178" s="113">
        <f t="shared" si="54"/>
        <v>0</v>
      </c>
      <c r="L178" s="113">
        <f t="shared" si="54"/>
        <v>0</v>
      </c>
      <c r="M178" s="126">
        <v>0</v>
      </c>
      <c r="O178" s="111">
        <v>3.1663105206212469E-11</v>
      </c>
      <c r="P178" s="111"/>
      <c r="Q178" s="111"/>
      <c r="R178" s="111"/>
    </row>
    <row r="179" spans="1:18">
      <c r="A179" s="111"/>
      <c r="B179" s="111"/>
      <c r="C179" s="111"/>
      <c r="D179" s="111"/>
      <c r="F179" s="111"/>
      <c r="P179" s="111"/>
      <c r="Q179" s="111"/>
      <c r="R179" s="111"/>
    </row>
    <row r="180" spans="1:18">
      <c r="A180" s="111"/>
      <c r="B180" s="111"/>
      <c r="C180" s="111"/>
      <c r="D180" s="111"/>
      <c r="E180" s="19" t="s">
        <v>192</v>
      </c>
      <c r="F180" s="125">
        <f>$M$165-F158</f>
        <v>4.7624798112828691E-9</v>
      </c>
      <c r="G180" s="112">
        <v>0</v>
      </c>
      <c r="H180" s="112">
        <v>0</v>
      </c>
      <c r="I180" s="112">
        <v>0</v>
      </c>
      <c r="J180" s="112">
        <v>0</v>
      </c>
      <c r="K180" s="112">
        <v>0</v>
      </c>
      <c r="L180" s="112">
        <v>0</v>
      </c>
      <c r="M180" s="112">
        <v>0</v>
      </c>
      <c r="O180" s="111">
        <f t="array" ref="O180:O187">MMULT(F180:M187,M148:M155)</f>
        <v>0</v>
      </c>
      <c r="P180" s="111"/>
      <c r="Q180" s="111"/>
      <c r="R180" s="111"/>
    </row>
    <row r="181" spans="1:18">
      <c r="A181" s="111"/>
      <c r="B181" s="111"/>
      <c r="C181" s="111"/>
      <c r="D181" s="111"/>
      <c r="F181" s="112">
        <v>0</v>
      </c>
      <c r="G181" s="125">
        <f>$M$165-G159</f>
        <v>5.9540076409106696E-9</v>
      </c>
      <c r="H181" s="112">
        <v>0</v>
      </c>
      <c r="I181" s="112">
        <v>0</v>
      </c>
      <c r="J181" s="112">
        <v>0</v>
      </c>
      <c r="K181" s="112">
        <v>0</v>
      </c>
      <c r="L181" s="112">
        <v>0</v>
      </c>
      <c r="M181" s="112">
        <v>0</v>
      </c>
      <c r="O181" s="111">
        <v>2.1960678483385336E-5</v>
      </c>
      <c r="P181" s="111"/>
      <c r="Q181" s="111"/>
      <c r="R181" s="111"/>
    </row>
    <row r="182" spans="1:18">
      <c r="A182" s="111"/>
      <c r="B182" s="111"/>
      <c r="C182" s="111"/>
      <c r="D182" s="111"/>
      <c r="F182" s="112">
        <v>0</v>
      </c>
      <c r="G182" s="112">
        <v>0</v>
      </c>
      <c r="H182" s="125">
        <f>$M$165-H160</f>
        <v>1.7385438420290054E-9</v>
      </c>
      <c r="I182" s="112">
        <v>0</v>
      </c>
      <c r="J182" s="112">
        <v>0</v>
      </c>
      <c r="K182" s="112">
        <v>0</v>
      </c>
      <c r="L182" s="112">
        <v>0</v>
      </c>
      <c r="M182" s="112">
        <v>0</v>
      </c>
      <c r="O182" s="111">
        <v>5.3041980278384048E-6</v>
      </c>
      <c r="P182" s="111"/>
      <c r="Q182" s="111"/>
      <c r="R182" s="111"/>
    </row>
    <row r="183" spans="1:18">
      <c r="A183" s="111"/>
      <c r="B183" s="111"/>
      <c r="C183" s="111"/>
      <c r="D183" s="111"/>
      <c r="F183" s="112">
        <v>0</v>
      </c>
      <c r="G183" s="112">
        <v>0</v>
      </c>
      <c r="H183" s="112">
        <v>0</v>
      </c>
      <c r="I183" s="125">
        <f>$M$165-I161</f>
        <v>9.5794694694181766E-9</v>
      </c>
      <c r="J183" s="112">
        <v>0</v>
      </c>
      <c r="K183" s="112">
        <v>0</v>
      </c>
      <c r="L183" s="112">
        <v>0</v>
      </c>
      <c r="M183" s="112">
        <v>0</v>
      </c>
      <c r="O183" s="111">
        <v>4.3539329128720508E-6</v>
      </c>
      <c r="P183" s="111"/>
      <c r="Q183" s="111"/>
      <c r="R183" s="111"/>
    </row>
    <row r="184" spans="1:18">
      <c r="A184" s="111"/>
      <c r="B184" s="111"/>
      <c r="C184" s="111"/>
      <c r="D184" s="111"/>
      <c r="F184" s="112">
        <v>0</v>
      </c>
      <c r="G184" s="112">
        <v>0</v>
      </c>
      <c r="H184" s="112">
        <v>0</v>
      </c>
      <c r="I184" s="112">
        <v>0</v>
      </c>
      <c r="J184" s="125">
        <f>$M$165-J162</f>
        <v>1.3571719905129781E-9</v>
      </c>
      <c r="K184" s="112">
        <v>0</v>
      </c>
      <c r="L184" s="112">
        <v>0</v>
      </c>
      <c r="M184" s="112">
        <v>0</v>
      </c>
      <c r="O184" s="111">
        <v>7.3316344903212277E-7</v>
      </c>
      <c r="P184" s="111"/>
      <c r="Q184" s="111"/>
      <c r="R184" s="111"/>
    </row>
    <row r="185" spans="1:18">
      <c r="F185" s="112">
        <v>0</v>
      </c>
      <c r="G185" s="112">
        <v>0</v>
      </c>
      <c r="H185" s="112">
        <v>0</v>
      </c>
      <c r="I185" s="112">
        <v>0</v>
      </c>
      <c r="J185" s="112">
        <v>0</v>
      </c>
      <c r="K185" s="125">
        <f>$M$165-K163</f>
        <v>5.3018841600013874E-9</v>
      </c>
      <c r="L185" s="112">
        <v>0</v>
      </c>
      <c r="M185" s="112">
        <v>0</v>
      </c>
      <c r="O185" s="111">
        <v>6.9737198822896054E-7</v>
      </c>
    </row>
    <row r="186" spans="1:18"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25">
        <f>$M$165-L164</f>
        <v>6.3807848725209387E-9</v>
      </c>
      <c r="M186" s="112">
        <v>0</v>
      </c>
      <c r="O186" s="111">
        <v>0</v>
      </c>
    </row>
    <row r="187" spans="1:18"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25">
        <f>$M$165-M165</f>
        <v>0</v>
      </c>
      <c r="O187" s="111">
        <v>0</v>
      </c>
    </row>
    <row r="189" spans="1:18">
      <c r="F189" s="19">
        <f t="array" ref="F189:M196">MMULT(F2:M9,F126:M133)</f>
        <v>-4.9320691851118E-9</v>
      </c>
      <c r="G189" s="111">
        <v>0</v>
      </c>
      <c r="H189" s="111">
        <v>0</v>
      </c>
      <c r="I189" s="111">
        <v>0</v>
      </c>
      <c r="J189" s="111">
        <v>0</v>
      </c>
      <c r="K189" s="111">
        <v>0</v>
      </c>
      <c r="L189" s="111">
        <v>2.649696223465365E-9</v>
      </c>
      <c r="M189" s="111">
        <v>0</v>
      </c>
    </row>
    <row r="190" spans="1:18">
      <c r="F190" s="19">
        <v>-6.4655274025013633E-9</v>
      </c>
      <c r="G190" s="111">
        <v>-8.3336381168070221E-9</v>
      </c>
      <c r="H190" s="111">
        <v>0</v>
      </c>
      <c r="I190" s="111">
        <v>0</v>
      </c>
      <c r="J190" s="111">
        <v>0</v>
      </c>
      <c r="K190" s="111">
        <v>0</v>
      </c>
      <c r="L190" s="111">
        <v>-9.6978135858614257E-9</v>
      </c>
      <c r="M190" s="111">
        <v>-1.0503027453156584E-10</v>
      </c>
    </row>
    <row r="191" spans="1:18">
      <c r="F191" s="19">
        <v>3.074784828321623E-9</v>
      </c>
      <c r="G191" s="111">
        <v>2.8429723585908154E-9</v>
      </c>
      <c r="H191" s="111">
        <v>-6.1511322261737365E-9</v>
      </c>
      <c r="I191" s="111">
        <v>0</v>
      </c>
      <c r="J191" s="111">
        <v>0</v>
      </c>
      <c r="K191" s="111">
        <v>0</v>
      </c>
      <c r="L191" s="111">
        <v>3.0042046199417205E-9</v>
      </c>
      <c r="M191" s="111">
        <v>-8.6871765723940857E-11</v>
      </c>
    </row>
    <row r="192" spans="1:18">
      <c r="F192" s="19">
        <v>9.1093348352819711E-10</v>
      </c>
      <c r="G192" s="111">
        <v>1.1190692198443331E-9</v>
      </c>
      <c r="H192" s="111">
        <v>-1.1195290791223062E-9</v>
      </c>
      <c r="I192" s="111">
        <v>-2.104642901204551E-8</v>
      </c>
      <c r="J192" s="111">
        <v>0</v>
      </c>
      <c r="K192" s="111">
        <v>0</v>
      </c>
      <c r="L192" s="111">
        <v>1.3403114908668693E-9</v>
      </c>
      <c r="M192" s="111">
        <v>-1.2941506702342398E-11</v>
      </c>
    </row>
    <row r="193" spans="6:13">
      <c r="F193" s="19">
        <v>-9.2275828340641208E-10</v>
      </c>
      <c r="G193" s="111">
        <v>6.960825694539874E-11</v>
      </c>
      <c r="H193" s="111">
        <v>5.033195267893952E-9</v>
      </c>
      <c r="I193" s="111">
        <v>2.9367233153193109E-9</v>
      </c>
      <c r="J193" s="111">
        <v>-2.3381555221817427E-9</v>
      </c>
      <c r="K193" s="111">
        <v>1.399756020573433E-9</v>
      </c>
      <c r="L193" s="111">
        <v>-1.0218128280471892E-10</v>
      </c>
      <c r="M193" s="111">
        <v>-1.5381917716022894E-11</v>
      </c>
    </row>
    <row r="194" spans="6:13">
      <c r="F194" s="19">
        <v>2.5911732162181204E-9</v>
      </c>
      <c r="G194" s="111">
        <v>-2.6330028911529605E-9</v>
      </c>
      <c r="H194" s="111">
        <v>-4.8206133629567921E-10</v>
      </c>
      <c r="I194" s="111">
        <v>7.5492526956392591E-9</v>
      </c>
      <c r="J194" s="111">
        <v>0</v>
      </c>
      <c r="K194" s="111">
        <v>-7.6826237122435858E-9</v>
      </c>
      <c r="L194" s="111">
        <v>-1.9061123029020086E-9</v>
      </c>
      <c r="M194" s="111">
        <v>-3.7452329051580796E-12</v>
      </c>
    </row>
    <row r="195" spans="6:13">
      <c r="F195" s="19">
        <v>1.0262466367717124E-12</v>
      </c>
      <c r="G195" s="111">
        <v>1.0954949217179497E-12</v>
      </c>
      <c r="H195" s="111">
        <v>0</v>
      </c>
      <c r="I195" s="111">
        <v>0</v>
      </c>
      <c r="J195" s="111">
        <v>0</v>
      </c>
      <c r="K195" s="111">
        <v>0</v>
      </c>
      <c r="L195" s="111">
        <v>-2.6486726489773348E-9</v>
      </c>
      <c r="M195" s="111">
        <v>9.7597986788571669E-14</v>
      </c>
    </row>
    <row r="196" spans="6:13">
      <c r="F196" s="19">
        <v>9.4167639752877817E-15</v>
      </c>
      <c r="G196" s="111">
        <v>-5.8830485515520141E-16</v>
      </c>
      <c r="H196" s="111">
        <v>-1.0847706628773424E-13</v>
      </c>
      <c r="I196" s="111">
        <v>-1.6299266829692201E-14</v>
      </c>
      <c r="J196" s="111">
        <v>5.8612141092503409E-14</v>
      </c>
      <c r="K196" s="111">
        <v>-1.3058160922551919E-14</v>
      </c>
      <c r="L196" s="111">
        <v>8.1353601960022356E-16</v>
      </c>
      <c r="M196" s="111">
        <v>-7.5702003294983284E-10</v>
      </c>
    </row>
    <row r="198" spans="6:13">
      <c r="F198" s="19">
        <f>F189/F126</f>
        <v>-5.7434633429516339E-9</v>
      </c>
      <c r="G198" s="111" t="e">
        <f t="shared" ref="G198:M198" si="55">G189/G126</f>
        <v>#DIV/0!</v>
      </c>
      <c r="H198" s="111" t="e">
        <f t="shared" si="55"/>
        <v>#DIV/0!</v>
      </c>
      <c r="I198" s="111" t="e">
        <f t="shared" si="55"/>
        <v>#DIV/0!</v>
      </c>
      <c r="J198" s="111" t="e">
        <f t="shared" si="55"/>
        <v>#DIV/0!</v>
      </c>
      <c r="K198" s="111" t="e">
        <f t="shared" si="55"/>
        <v>#DIV/0!</v>
      </c>
      <c r="L198" s="111">
        <f t="shared" si="55"/>
        <v>-7.3617684041897043E-9</v>
      </c>
      <c r="M198" s="111" t="e">
        <f t="shared" si="55"/>
        <v>#DIV/0!</v>
      </c>
    </row>
    <row r="199" spans="6:13">
      <c r="F199" s="19">
        <f t="shared" ref="F199:M199" si="56">F190/F127</f>
        <v>-5.7434633429516331E-9</v>
      </c>
      <c r="G199" s="111">
        <f t="shared" si="56"/>
        <v>-6.9349911725794344E-9</v>
      </c>
      <c r="H199" s="111" t="e">
        <f t="shared" si="56"/>
        <v>#DIV/0!</v>
      </c>
      <c r="I199" s="111" t="e">
        <f t="shared" si="56"/>
        <v>#DIV/0!</v>
      </c>
      <c r="J199" s="111" t="e">
        <f t="shared" si="56"/>
        <v>#DIV/0!</v>
      </c>
      <c r="K199" s="111" t="e">
        <f t="shared" si="56"/>
        <v>#DIV/0!</v>
      </c>
      <c r="L199" s="111">
        <f t="shared" si="56"/>
        <v>-7.3617684041897035E-9</v>
      </c>
      <c r="M199" s="111">
        <f t="shared" si="56"/>
        <v>-9.8105935881410689E-10</v>
      </c>
    </row>
    <row r="200" spans="6:13">
      <c r="F200" s="19">
        <f t="shared" ref="F200:M200" si="57">F191/F128</f>
        <v>-5.7434633429516331E-9</v>
      </c>
      <c r="G200" s="111">
        <f t="shared" si="57"/>
        <v>-6.9349911725794352E-9</v>
      </c>
      <c r="H200" s="111">
        <f t="shared" si="57"/>
        <v>-2.71952737369777E-9</v>
      </c>
      <c r="I200" s="111" t="e">
        <f t="shared" si="57"/>
        <v>#DIV/0!</v>
      </c>
      <c r="J200" s="111" t="e">
        <f t="shared" si="57"/>
        <v>#DIV/0!</v>
      </c>
      <c r="K200" s="111" t="e">
        <f t="shared" si="57"/>
        <v>#DIV/0!</v>
      </c>
      <c r="L200" s="111">
        <f t="shared" si="57"/>
        <v>-7.3617684041897035E-9</v>
      </c>
      <c r="M200" s="111">
        <f t="shared" si="57"/>
        <v>-9.809835316687652E-10</v>
      </c>
    </row>
    <row r="201" spans="6:13">
      <c r="F201" s="19">
        <f t="shared" ref="F201:M201" si="58">F192/F129</f>
        <v>-5.7434633429516322E-9</v>
      </c>
      <c r="G201" s="111">
        <f t="shared" si="58"/>
        <v>-6.9349911725794344E-9</v>
      </c>
      <c r="H201" s="111">
        <f t="shared" si="58"/>
        <v>-2.7195273736977704E-9</v>
      </c>
      <c r="I201" s="111">
        <f t="shared" si="58"/>
        <v>-1.0560453001086941E-8</v>
      </c>
      <c r="J201" s="111" t="e">
        <f t="shared" si="58"/>
        <v>#DIV/0!</v>
      </c>
      <c r="K201" s="111" t="e">
        <f t="shared" si="58"/>
        <v>#DIV/0!</v>
      </c>
      <c r="L201" s="111">
        <f t="shared" si="58"/>
        <v>-7.3617684041897027E-9</v>
      </c>
      <c r="M201" s="111">
        <f t="shared" si="58"/>
        <v>-9.8098353166876396E-10</v>
      </c>
    </row>
    <row r="202" spans="6:13">
      <c r="F202" s="19">
        <f t="shared" ref="F202:M202" si="59">F193/F130</f>
        <v>-5.7434633429516339E-9</v>
      </c>
      <c r="G202" s="111">
        <f t="shared" si="59"/>
        <v>-6.9349911725794286E-9</v>
      </c>
      <c r="H202" s="111">
        <f t="shared" si="59"/>
        <v>-2.71952737369777E-9</v>
      </c>
      <c r="I202" s="111">
        <f t="shared" si="59"/>
        <v>-1.0560453001086941E-8</v>
      </c>
      <c r="J202" s="111">
        <f t="shared" si="59"/>
        <v>-2.3381555221817427E-9</v>
      </c>
      <c r="K202" s="111">
        <f t="shared" si="59"/>
        <v>-6.2828676916701522E-9</v>
      </c>
      <c r="L202" s="111">
        <f t="shared" si="59"/>
        <v>-7.3617684041896994E-9</v>
      </c>
      <c r="M202" s="111">
        <f t="shared" si="59"/>
        <v>-9.8098353166876458E-10</v>
      </c>
    </row>
    <row r="203" spans="6:13">
      <c r="F203" s="19">
        <f t="shared" ref="F203:M203" si="60">F194/F131</f>
        <v>-5.7434633429516339E-9</v>
      </c>
      <c r="G203" s="111">
        <f t="shared" si="60"/>
        <v>-6.9349911725794352E-9</v>
      </c>
      <c r="H203" s="111">
        <f t="shared" si="60"/>
        <v>-2.71952737369777E-9</v>
      </c>
      <c r="I203" s="111">
        <f t="shared" si="60"/>
        <v>-1.0560453001086941E-8</v>
      </c>
      <c r="J203" s="111" t="e">
        <f t="shared" si="60"/>
        <v>#DIV/0!</v>
      </c>
      <c r="K203" s="111">
        <f t="shared" si="60"/>
        <v>-6.2828676916701522E-9</v>
      </c>
      <c r="L203" s="111">
        <f t="shared" si="60"/>
        <v>-7.3617684041897035E-9</v>
      </c>
      <c r="M203" s="111">
        <f t="shared" si="60"/>
        <v>-9.8098353166876437E-10</v>
      </c>
    </row>
    <row r="204" spans="6:13">
      <c r="F204" s="19" t="e">
        <f t="shared" ref="F204:M204" si="61">F195/F132</f>
        <v>#DIV/0!</v>
      </c>
      <c r="G204" s="111" t="e">
        <f t="shared" si="61"/>
        <v>#DIV/0!</v>
      </c>
      <c r="H204" s="111" t="e">
        <f t="shared" si="61"/>
        <v>#DIV/0!</v>
      </c>
      <c r="I204" s="111" t="e">
        <f t="shared" si="61"/>
        <v>#DIV/0!</v>
      </c>
      <c r="J204" s="111" t="e">
        <f t="shared" si="61"/>
        <v>#DIV/0!</v>
      </c>
      <c r="K204" s="111" t="e">
        <f t="shared" si="61"/>
        <v>#DIV/0!</v>
      </c>
      <c r="L204" s="111">
        <f t="shared" si="61"/>
        <v>-7.3584320640350415E-9</v>
      </c>
      <c r="M204" s="111" t="e">
        <f t="shared" si="61"/>
        <v>#DIV/0!</v>
      </c>
    </row>
    <row r="205" spans="6:13">
      <c r="F205" s="19" t="e">
        <f t="shared" ref="F205:M205" si="62">F196/F133</f>
        <v>#DIV/0!</v>
      </c>
      <c r="G205" s="111" t="e">
        <f t="shared" si="62"/>
        <v>#DIV/0!</v>
      </c>
      <c r="H205" s="111" t="e">
        <f t="shared" si="62"/>
        <v>#DIV/0!</v>
      </c>
      <c r="I205" s="111" t="e">
        <f t="shared" si="62"/>
        <v>#DIV/0!</v>
      </c>
      <c r="J205" s="111" t="e">
        <f t="shared" si="62"/>
        <v>#DIV/0!</v>
      </c>
      <c r="K205" s="111" t="e">
        <f t="shared" si="62"/>
        <v>#DIV/0!</v>
      </c>
      <c r="L205" s="111" t="e">
        <f t="shared" si="62"/>
        <v>#DIV/0!</v>
      </c>
      <c r="M205" s="111">
        <f t="shared" si="62"/>
        <v>-9.8098234072797347E-10</v>
      </c>
    </row>
    <row r="206" spans="6:13">
      <c r="F206" s="19" t="e">
        <f t="shared" ref="F206:M206" si="63">F197/F134</f>
        <v>#DIV/0!</v>
      </c>
      <c r="G206" s="19" t="e">
        <f t="shared" si="63"/>
        <v>#DIV/0!</v>
      </c>
      <c r="H206" s="19" t="e">
        <f t="shared" si="63"/>
        <v>#DIV/0!</v>
      </c>
      <c r="I206" s="19" t="e">
        <f t="shared" si="63"/>
        <v>#DIV/0!</v>
      </c>
      <c r="J206" s="19" t="e">
        <f t="shared" si="63"/>
        <v>#DIV/0!</v>
      </c>
      <c r="K206" s="19" t="e">
        <f t="shared" si="63"/>
        <v>#DIV/0!</v>
      </c>
      <c r="L206" s="19" t="e">
        <f t="shared" si="63"/>
        <v>#DIV/0!</v>
      </c>
      <c r="M206" s="19" t="e">
        <f t="shared" si="63"/>
        <v>#DIV/0!</v>
      </c>
    </row>
    <row r="207" spans="6:13">
      <c r="F207" s="19" t="e">
        <f t="shared" ref="F207:M207" si="64">F198/F135</f>
        <v>#DIV/0!</v>
      </c>
      <c r="G207" s="19" t="e">
        <f t="shared" si="64"/>
        <v>#DIV/0!</v>
      </c>
      <c r="H207" s="19" t="e">
        <f t="shared" si="64"/>
        <v>#DIV/0!</v>
      </c>
      <c r="I207" s="19" t="e">
        <f t="shared" si="64"/>
        <v>#DIV/0!</v>
      </c>
      <c r="J207" s="19" t="e">
        <f t="shared" si="64"/>
        <v>#DIV/0!</v>
      </c>
      <c r="K207" s="19" t="e">
        <f t="shared" si="64"/>
        <v>#DIV/0!</v>
      </c>
      <c r="L207" s="19" t="e">
        <f t="shared" si="64"/>
        <v>#DIV/0!</v>
      </c>
      <c r="M207" s="19" t="e">
        <f t="shared" si="64"/>
        <v>#DIV/0!</v>
      </c>
    </row>
  </sheetData>
  <conditionalFormatting sqref="F45:M52">
    <cfRule type="cellIs" dxfId="21" priority="15" operator="notBetween">
      <formula>-1E-20</formula>
      <formula>1E-20</formula>
    </cfRule>
  </conditionalFormatting>
  <conditionalFormatting sqref="F73:M73">
    <cfRule type="cellIs" dxfId="20" priority="14" operator="notBetween">
      <formula>-0.0001</formula>
      <formula>0.0001</formula>
    </cfRule>
  </conditionalFormatting>
  <conditionalFormatting sqref="F115:M122">
    <cfRule type="cellIs" dxfId="19" priority="6" operator="notBetween">
      <formula>-1E-20</formula>
      <formula>1E-20</formula>
    </cfRule>
  </conditionalFormatting>
  <conditionalFormatting sqref="F55:M62">
    <cfRule type="cellIs" dxfId="18" priority="12" operator="notBetween">
      <formula>-1E-20</formula>
      <formula>1E-20</formula>
    </cfRule>
  </conditionalFormatting>
  <conditionalFormatting sqref="F65:M72">
    <cfRule type="cellIs" dxfId="17" priority="11" operator="notBetween">
      <formula>-1E-20</formula>
      <formula>1E-20</formula>
    </cfRule>
  </conditionalFormatting>
  <conditionalFormatting sqref="F75:M82">
    <cfRule type="cellIs" dxfId="16" priority="10" operator="notBetween">
      <formula>-1E-20</formula>
      <formula>1E-20</formula>
    </cfRule>
  </conditionalFormatting>
  <conditionalFormatting sqref="F85:M92">
    <cfRule type="cellIs" dxfId="15" priority="9" operator="notBetween">
      <formula>-1E-20</formula>
      <formula>1E-20</formula>
    </cfRule>
  </conditionalFormatting>
  <conditionalFormatting sqref="F95:M102">
    <cfRule type="cellIs" dxfId="14" priority="8" operator="notBetween">
      <formula>-1E-20</formula>
      <formula>1E-20</formula>
    </cfRule>
  </conditionalFormatting>
  <conditionalFormatting sqref="F105:M112">
    <cfRule type="cellIs" dxfId="13" priority="7" operator="notBetween">
      <formula>-1E-20</formula>
      <formula>1E-20</formula>
    </cfRule>
  </conditionalFormatting>
  <conditionalFormatting sqref="F126:M133">
    <cfRule type="cellIs" dxfId="12" priority="5" operator="notBetween">
      <formula>-0.1</formula>
      <formula>0.1</formula>
    </cfRule>
  </conditionalFormatting>
  <conditionalFormatting sqref="F148:M155">
    <cfRule type="cellIs" dxfId="11" priority="4" operator="notBetween">
      <formula>-1E-20</formula>
      <formula>1E-20</formula>
    </cfRule>
  </conditionalFormatting>
  <conditionalFormatting sqref="F189:M19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8:M20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M20" sqref="M20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85" zoomScaleNormal="85" workbookViewId="0">
      <selection activeCell="N25" sqref="N2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topLeftCell="A4" workbookViewId="0">
      <selection activeCell="N17" sqref="N17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topLeftCell="A4" workbookViewId="0">
      <selection activeCell="N18" sqref="N18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2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zoomScale="85" zoomScaleNormal="85" workbookViewId="0">
      <selection activeCell="N19" sqref="N1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O18" sqref="O18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Graphiques</vt:lpstr>
      </vt:variant>
      <vt:variant>
        <vt:i4>3</vt:i4>
      </vt:variant>
    </vt:vector>
  </HeadingPairs>
  <TitlesOfParts>
    <vt:vector size="14" baseType="lpstr">
      <vt:lpstr>Données</vt:lpstr>
      <vt:lpstr>mod.RK1</vt:lpstr>
      <vt:lpstr>mod.math.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  <vt:lpstr>V.Pu Mod.Math.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JACQUET Philippe</cp:lastModifiedBy>
  <cp:revision>1</cp:revision>
  <dcterms:created xsi:type="dcterms:W3CDTF">2014-07-10T09:50:10Z</dcterms:created>
  <dcterms:modified xsi:type="dcterms:W3CDTF">2014-08-26T16:29:25Z</dcterms:modified>
</cp:coreProperties>
</file>