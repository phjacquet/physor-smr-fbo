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/>
  </bookViews>
  <sheets>
    <sheet name="Données" sheetId="1" r:id="rId1"/>
    <sheet name="mod.RK1" sheetId="2" r:id="rId2"/>
    <sheet name="mod.math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Mod.Math." sheetId="17" r:id="rId14"/>
  </sheets>
  <externalReferences>
    <externalReference r:id="rId15"/>
  </externalReferences>
  <calcPr calcId="145621" iterate="1"/>
</workbook>
</file>

<file path=xl/calcChain.xml><?xml version="1.0" encoding="utf-8"?>
<calcChain xmlns="http://schemas.openxmlformats.org/spreadsheetml/2006/main">
  <c r="G8" i="14" l="1"/>
  <c r="J9" i="14"/>
  <c r="F28" i="14" l="1"/>
  <c r="D5" i="14" l="1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I7" i="14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F3" i="14" s="1"/>
  <c r="U2" i="2"/>
  <c r="F2" i="14" l="1"/>
  <c r="F24" i="14" s="1"/>
  <c r="K6" i="14"/>
  <c r="L8" i="14"/>
  <c r="L24" i="14" s="1"/>
  <c r="G4" i="14"/>
  <c r="M3" i="14"/>
  <c r="J6" i="14"/>
  <c r="J24" i="14" s="1"/>
  <c r="G3" i="14"/>
  <c r="G24" i="14" s="1"/>
  <c r="I5" i="14"/>
  <c r="I24" i="14" s="1"/>
  <c r="M9" i="14"/>
  <c r="M24" i="14" s="1"/>
  <c r="H4" i="14"/>
  <c r="H24" i="14" s="1"/>
  <c r="K7" i="14"/>
  <c r="K24" i="14" s="1"/>
  <c r="I6" i="14"/>
  <c r="H5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R2" i="2" l="1"/>
  <c r="Q3" i="2" s="1"/>
  <c r="J2" i="2"/>
  <c r="J3" i="2"/>
  <c r="F29" i="14" a="1"/>
  <c r="F14" i="14" a="1"/>
  <c r="I3" i="2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I29" i="14" l="1"/>
  <c r="H35" i="14"/>
  <c r="H33" i="14"/>
  <c r="H31" i="14"/>
  <c r="H42" i="14" s="1"/>
  <c r="H29" i="14"/>
  <c r="G35" i="14"/>
  <c r="G33" i="14"/>
  <c r="G31" i="14"/>
  <c r="G29" i="14"/>
  <c r="F35" i="14"/>
  <c r="F33" i="14"/>
  <c r="F31" i="14"/>
  <c r="F29" i="14"/>
  <c r="I35" i="14"/>
  <c r="I33" i="14"/>
  <c r="I31" i="14"/>
  <c r="L36" i="14"/>
  <c r="L34" i="14"/>
  <c r="L32" i="14"/>
  <c r="L30" i="14"/>
  <c r="K36" i="14"/>
  <c r="K34" i="14"/>
  <c r="K32" i="14"/>
  <c r="K30" i="14"/>
  <c r="J36" i="14"/>
  <c r="J34" i="14"/>
  <c r="J32" i="14"/>
  <c r="J30" i="14"/>
  <c r="M36" i="14"/>
  <c r="M42" i="14" s="1"/>
  <c r="M34" i="14"/>
  <c r="M32" i="14"/>
  <c r="M30" i="14"/>
  <c r="H36" i="14"/>
  <c r="H34" i="14"/>
  <c r="H32" i="14"/>
  <c r="H30" i="14"/>
  <c r="G36" i="14"/>
  <c r="G34" i="14"/>
  <c r="G32" i="14"/>
  <c r="G30" i="14"/>
  <c r="G42" i="14" s="1"/>
  <c r="F36" i="14"/>
  <c r="F34" i="14"/>
  <c r="F32" i="14"/>
  <c r="F30" i="14"/>
  <c r="I36" i="14"/>
  <c r="I34" i="14"/>
  <c r="I32" i="14"/>
  <c r="I42" i="14" s="1"/>
  <c r="I30" i="14"/>
  <c r="L35" i="14"/>
  <c r="L42" i="14" s="1"/>
  <c r="L33" i="14"/>
  <c r="L31" i="14"/>
  <c r="L29" i="14"/>
  <c r="K35" i="14"/>
  <c r="K33" i="14"/>
  <c r="K31" i="14"/>
  <c r="K29" i="14"/>
  <c r="J35" i="14"/>
  <c r="J33" i="14"/>
  <c r="J42" i="14" s="1"/>
  <c r="J31" i="14"/>
  <c r="J29" i="14"/>
  <c r="M35" i="14"/>
  <c r="M33" i="14"/>
  <c r="M31" i="14"/>
  <c r="M29" i="14"/>
  <c r="F42" i="14"/>
  <c r="K42" i="14"/>
  <c r="F14" i="14"/>
  <c r="M14" i="14"/>
  <c r="M15" i="14"/>
  <c r="M17" i="14"/>
  <c r="M19" i="14"/>
  <c r="M21" i="14"/>
  <c r="H14" i="14"/>
  <c r="H15" i="14"/>
  <c r="I16" i="14"/>
  <c r="I18" i="14"/>
  <c r="I20" i="14"/>
  <c r="I14" i="14"/>
  <c r="I15" i="14"/>
  <c r="M16" i="14"/>
  <c r="M18" i="14"/>
  <c r="M20" i="14"/>
  <c r="L14" i="14"/>
  <c r="L15" i="14"/>
  <c r="I17" i="14"/>
  <c r="I19" i="14"/>
  <c r="I21" i="14"/>
  <c r="L21" i="14"/>
  <c r="L19" i="14"/>
  <c r="L17" i="14"/>
  <c r="K21" i="14"/>
  <c r="K19" i="14"/>
  <c r="K17" i="14"/>
  <c r="K15" i="14"/>
  <c r="J21" i="14"/>
  <c r="J19" i="14"/>
  <c r="J17" i="14"/>
  <c r="J15" i="14"/>
  <c r="L18" i="14"/>
  <c r="L16" i="14"/>
  <c r="K18" i="14"/>
  <c r="K14" i="14"/>
  <c r="J18" i="14"/>
  <c r="J14" i="14"/>
  <c r="H18" i="14"/>
  <c r="G18" i="14"/>
  <c r="G14" i="14"/>
  <c r="F18" i="14"/>
  <c r="H21" i="14"/>
  <c r="H19" i="14"/>
  <c r="H17" i="14"/>
  <c r="G21" i="14"/>
  <c r="G19" i="14"/>
  <c r="G17" i="14"/>
  <c r="G15" i="14"/>
  <c r="F21" i="14"/>
  <c r="F19" i="14"/>
  <c r="F17" i="14"/>
  <c r="F15" i="14"/>
  <c r="L20" i="14"/>
  <c r="K20" i="14"/>
  <c r="K16" i="14"/>
  <c r="J20" i="14"/>
  <c r="J16" i="14"/>
  <c r="H20" i="14"/>
  <c r="H16" i="14"/>
  <c r="G20" i="14"/>
  <c r="G16" i="14"/>
  <c r="F20" i="14"/>
  <c r="F16" i="14"/>
  <c r="R3" i="2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C43" i="14" a="1"/>
  <c r="F85" i="14" a="1"/>
  <c r="F115" i="14" a="1"/>
  <c r="F105" i="14" a="1"/>
  <c r="F95" i="14" a="1"/>
  <c r="F75" i="14" a="1"/>
  <c r="C46" i="14" l="1"/>
  <c r="C51" i="14"/>
  <c r="C49" i="14"/>
  <c r="C48" i="14"/>
  <c r="C47" i="14"/>
  <c r="C50" i="14"/>
  <c r="C44" i="14"/>
  <c r="C43" i="14"/>
  <c r="C45" i="14"/>
  <c r="F75" i="14"/>
  <c r="F77" i="14"/>
  <c r="F79" i="14"/>
  <c r="F81" i="14"/>
  <c r="G75" i="14"/>
  <c r="G77" i="14"/>
  <c r="G79" i="14"/>
  <c r="G81" i="14"/>
  <c r="H75" i="14"/>
  <c r="H77" i="14"/>
  <c r="H79" i="14"/>
  <c r="H81" i="14"/>
  <c r="I75" i="14"/>
  <c r="I77" i="14"/>
  <c r="I79" i="14"/>
  <c r="I81" i="14"/>
  <c r="F76" i="14"/>
  <c r="F78" i="14"/>
  <c r="F80" i="14"/>
  <c r="F82" i="14"/>
  <c r="G76" i="14"/>
  <c r="G78" i="14"/>
  <c r="G80" i="14"/>
  <c r="G82" i="14"/>
  <c r="H76" i="14"/>
  <c r="H78" i="14"/>
  <c r="H80" i="14"/>
  <c r="H82" i="14"/>
  <c r="I76" i="14"/>
  <c r="I78" i="14"/>
  <c r="I80" i="14"/>
  <c r="I82" i="14"/>
  <c r="J76" i="14"/>
  <c r="J78" i="14"/>
  <c r="J80" i="14"/>
  <c r="J82" i="14"/>
  <c r="K76" i="14"/>
  <c r="K78" i="14"/>
  <c r="K80" i="14"/>
  <c r="K82" i="14"/>
  <c r="L76" i="14"/>
  <c r="L78" i="14"/>
  <c r="L80" i="14"/>
  <c r="L82" i="14"/>
  <c r="M76" i="14"/>
  <c r="M78" i="14"/>
  <c r="M80" i="14"/>
  <c r="M82" i="14"/>
  <c r="J79" i="14"/>
  <c r="K79" i="14"/>
  <c r="L79" i="14"/>
  <c r="M79" i="14"/>
  <c r="M81" i="14"/>
  <c r="J75" i="14"/>
  <c r="K75" i="14"/>
  <c r="L75" i="14"/>
  <c r="M75" i="14"/>
  <c r="J77" i="14"/>
  <c r="K77" i="14"/>
  <c r="L77" i="14"/>
  <c r="M77" i="14"/>
  <c r="J81" i="14"/>
  <c r="K81" i="14"/>
  <c r="L81" i="14"/>
  <c r="I85" i="14"/>
  <c r="I87" i="14"/>
  <c r="I89" i="14"/>
  <c r="I91" i="14"/>
  <c r="F85" i="14"/>
  <c r="F87" i="14"/>
  <c r="F89" i="14"/>
  <c r="F91" i="14"/>
  <c r="G85" i="14"/>
  <c r="G87" i="14"/>
  <c r="G89" i="14"/>
  <c r="G91" i="14"/>
  <c r="H85" i="14"/>
  <c r="H87" i="14"/>
  <c r="H89" i="14"/>
  <c r="H91" i="14"/>
  <c r="M85" i="14"/>
  <c r="M87" i="14"/>
  <c r="M89" i="14"/>
  <c r="M91" i="14"/>
  <c r="J85" i="14"/>
  <c r="J87" i="14"/>
  <c r="J89" i="14"/>
  <c r="J91" i="14"/>
  <c r="K85" i="14"/>
  <c r="K87" i="14"/>
  <c r="I86" i="14"/>
  <c r="I88" i="14"/>
  <c r="I90" i="14"/>
  <c r="I92" i="14"/>
  <c r="F86" i="14"/>
  <c r="F88" i="14"/>
  <c r="F90" i="14"/>
  <c r="F92" i="14"/>
  <c r="G86" i="14"/>
  <c r="G88" i="14"/>
  <c r="G90" i="14"/>
  <c r="G92" i="14"/>
  <c r="H86" i="14"/>
  <c r="H88" i="14"/>
  <c r="H90" i="14"/>
  <c r="H92" i="14"/>
  <c r="M86" i="14"/>
  <c r="M88" i="14"/>
  <c r="M90" i="14"/>
  <c r="M92" i="14"/>
  <c r="J86" i="14"/>
  <c r="J88" i="14"/>
  <c r="J90" i="14"/>
  <c r="J92" i="14"/>
  <c r="K86" i="14"/>
  <c r="K88" i="14"/>
  <c r="K90" i="14"/>
  <c r="K92" i="14"/>
  <c r="L86" i="14"/>
  <c r="L88" i="14"/>
  <c r="L90" i="14"/>
  <c r="L92" i="14"/>
  <c r="K89" i="14"/>
  <c r="L89" i="14"/>
  <c r="L91" i="14"/>
  <c r="L85" i="14"/>
  <c r="L87" i="14"/>
  <c r="K91" i="14"/>
  <c r="I95" i="14"/>
  <c r="I97" i="14"/>
  <c r="I99" i="14"/>
  <c r="I101" i="14"/>
  <c r="F95" i="14"/>
  <c r="F97" i="14"/>
  <c r="F99" i="14"/>
  <c r="F101" i="14"/>
  <c r="G95" i="14"/>
  <c r="G97" i="14"/>
  <c r="G99" i="14"/>
  <c r="G101" i="14"/>
  <c r="H95" i="14"/>
  <c r="H97" i="14"/>
  <c r="H99" i="14"/>
  <c r="H101" i="14"/>
  <c r="I96" i="14"/>
  <c r="I98" i="14"/>
  <c r="I100" i="14"/>
  <c r="I102" i="14"/>
  <c r="F96" i="14"/>
  <c r="F98" i="14"/>
  <c r="F100" i="14"/>
  <c r="F102" i="14"/>
  <c r="G96" i="14"/>
  <c r="G98" i="14"/>
  <c r="G100" i="14"/>
  <c r="G102" i="14"/>
  <c r="H96" i="14"/>
  <c r="H98" i="14"/>
  <c r="H100" i="14"/>
  <c r="H102" i="14"/>
  <c r="M96" i="14"/>
  <c r="M98" i="14"/>
  <c r="M100" i="14"/>
  <c r="M102" i="14"/>
  <c r="J96" i="14"/>
  <c r="J98" i="14"/>
  <c r="J100" i="14"/>
  <c r="J102" i="14"/>
  <c r="K96" i="14"/>
  <c r="K98" i="14"/>
  <c r="K100" i="14"/>
  <c r="K102" i="14"/>
  <c r="L96" i="14"/>
  <c r="L98" i="14"/>
  <c r="L100" i="14"/>
  <c r="L102" i="14"/>
  <c r="M99" i="14"/>
  <c r="J99" i="14"/>
  <c r="L99" i="14"/>
  <c r="J101" i="14"/>
  <c r="L101" i="14"/>
  <c r="M95" i="14"/>
  <c r="J95" i="14"/>
  <c r="K95" i="14"/>
  <c r="L95" i="14"/>
  <c r="M97" i="14"/>
  <c r="J97" i="14"/>
  <c r="K97" i="14"/>
  <c r="L97" i="14"/>
  <c r="K99" i="14"/>
  <c r="M101" i="14"/>
  <c r="K101" i="14"/>
  <c r="F105" i="14"/>
  <c r="F107" i="14"/>
  <c r="F109" i="14"/>
  <c r="F111" i="14"/>
  <c r="G105" i="14"/>
  <c r="G107" i="14"/>
  <c r="G109" i="14"/>
  <c r="G111" i="14"/>
  <c r="H105" i="14"/>
  <c r="H107" i="14"/>
  <c r="H109" i="14"/>
  <c r="H111" i="14"/>
  <c r="I105" i="14"/>
  <c r="I107" i="14"/>
  <c r="I109" i="14"/>
  <c r="I111" i="14"/>
  <c r="J105" i="14"/>
  <c r="J107" i="14"/>
  <c r="J109" i="14"/>
  <c r="J111" i="14"/>
  <c r="K105" i="14"/>
  <c r="K107" i="14"/>
  <c r="K109" i="14"/>
  <c r="K111" i="14"/>
  <c r="L105" i="14"/>
  <c r="L107" i="14"/>
  <c r="L109" i="14"/>
  <c r="L111" i="14"/>
  <c r="M105" i="14"/>
  <c r="M107" i="14"/>
  <c r="M109" i="14"/>
  <c r="M111" i="14"/>
  <c r="F106" i="14"/>
  <c r="F108" i="14"/>
  <c r="F110" i="14"/>
  <c r="F112" i="14"/>
  <c r="G106" i="14"/>
  <c r="G108" i="14"/>
  <c r="G110" i="14"/>
  <c r="G112" i="14"/>
  <c r="H106" i="14"/>
  <c r="H108" i="14"/>
  <c r="H110" i="14"/>
  <c r="H112" i="14"/>
  <c r="I106" i="14"/>
  <c r="I108" i="14"/>
  <c r="I110" i="14"/>
  <c r="I112" i="14"/>
  <c r="J106" i="14"/>
  <c r="J108" i="14"/>
  <c r="J110" i="14"/>
  <c r="J112" i="14"/>
  <c r="K106" i="14"/>
  <c r="K108" i="14"/>
  <c r="K110" i="14"/>
  <c r="K112" i="14"/>
  <c r="L106" i="14"/>
  <c r="L108" i="14"/>
  <c r="L110" i="14"/>
  <c r="L112" i="14"/>
  <c r="M106" i="14"/>
  <c r="M108" i="14"/>
  <c r="M110" i="14"/>
  <c r="M112" i="14"/>
  <c r="F115" i="14"/>
  <c r="F117" i="14"/>
  <c r="F119" i="14"/>
  <c r="F121" i="14"/>
  <c r="G115" i="14"/>
  <c r="G117" i="14"/>
  <c r="G119" i="14"/>
  <c r="G121" i="14"/>
  <c r="H115" i="14"/>
  <c r="H117" i="14"/>
  <c r="H119" i="14"/>
  <c r="H121" i="14"/>
  <c r="I115" i="14"/>
  <c r="I117" i="14"/>
  <c r="I119" i="14"/>
  <c r="I121" i="14"/>
  <c r="J115" i="14"/>
  <c r="J117" i="14"/>
  <c r="J119" i="14"/>
  <c r="J121" i="14"/>
  <c r="K115" i="14"/>
  <c r="K117" i="14"/>
  <c r="K119" i="14"/>
  <c r="K121" i="14"/>
  <c r="L115" i="14"/>
  <c r="L117" i="14"/>
  <c r="L119" i="14"/>
  <c r="L121" i="14"/>
  <c r="M115" i="14"/>
  <c r="M117" i="14"/>
  <c r="M119" i="14"/>
  <c r="M121" i="14"/>
  <c r="F116" i="14"/>
  <c r="F118" i="14"/>
  <c r="F120" i="14"/>
  <c r="F122" i="14"/>
  <c r="G116" i="14"/>
  <c r="G118" i="14"/>
  <c r="G120" i="14"/>
  <c r="G122" i="14"/>
  <c r="H116" i="14"/>
  <c r="H118" i="14"/>
  <c r="H120" i="14"/>
  <c r="H122" i="14"/>
  <c r="I116" i="14"/>
  <c r="I118" i="14"/>
  <c r="I120" i="14"/>
  <c r="I122" i="14"/>
  <c r="J116" i="14"/>
  <c r="J118" i="14"/>
  <c r="J120" i="14"/>
  <c r="J122" i="14"/>
  <c r="K116" i="14"/>
  <c r="K118" i="14"/>
  <c r="K120" i="14"/>
  <c r="K122" i="14"/>
  <c r="L116" i="14"/>
  <c r="L118" i="14"/>
  <c r="L120" i="14"/>
  <c r="L122" i="14"/>
  <c r="M116" i="14"/>
  <c r="M118" i="14"/>
  <c r="M120" i="14"/>
  <c r="M122" i="14"/>
  <c r="R4" i="2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D44" i="14" a="1"/>
  <c r="M130" i="14" l="1"/>
  <c r="L131" i="14"/>
  <c r="L130" i="14"/>
  <c r="K131" i="14"/>
  <c r="K130" i="14"/>
  <c r="J127" i="14"/>
  <c r="J130" i="14"/>
  <c r="I131" i="14"/>
  <c r="I130" i="14"/>
  <c r="M129" i="14"/>
  <c r="M128" i="14"/>
  <c r="L129" i="14"/>
  <c r="L128" i="14"/>
  <c r="K129" i="14"/>
  <c r="K128" i="14"/>
  <c r="J133" i="14"/>
  <c r="J128" i="14"/>
  <c r="I129" i="14"/>
  <c r="I128" i="14"/>
  <c r="M131" i="14"/>
  <c r="M127" i="14"/>
  <c r="M126" i="14"/>
  <c r="L127" i="14"/>
  <c r="L126" i="14"/>
  <c r="K127" i="14"/>
  <c r="K126" i="14"/>
  <c r="J131" i="14"/>
  <c r="J126" i="14"/>
  <c r="I127" i="14"/>
  <c r="I126" i="14"/>
  <c r="M133" i="14"/>
  <c r="M132" i="14"/>
  <c r="L133" i="14"/>
  <c r="L132" i="14"/>
  <c r="K133" i="14"/>
  <c r="K132" i="14"/>
  <c r="J129" i="14"/>
  <c r="J132" i="14"/>
  <c r="I133" i="14"/>
  <c r="I132" i="14"/>
  <c r="E45" i="14"/>
  <c r="E49" i="14"/>
  <c r="E47" i="14"/>
  <c r="D48" i="14"/>
  <c r="D51" i="14"/>
  <c r="D44" i="14"/>
  <c r="E48" i="14"/>
  <c r="D46" i="14"/>
  <c r="D49" i="14"/>
  <c r="E44" i="14"/>
  <c r="D50" i="14"/>
  <c r="E46" i="14"/>
  <c r="E51" i="14"/>
  <c r="D45" i="14"/>
  <c r="D47" i="14"/>
  <c r="E50" i="14"/>
  <c r="R5" i="2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I7" i="2" l="1"/>
  <c r="J7" i="2" s="1"/>
  <c r="R6" i="2"/>
  <c r="Q7" i="2" s="1"/>
  <c r="Z6" i="2"/>
  <c r="Y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I8" i="2" l="1"/>
  <c r="J8" i="2" s="1"/>
  <c r="R7" i="2"/>
  <c r="Q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I10" i="2" l="1"/>
  <c r="J10" i="2" s="1"/>
  <c r="R9" i="2"/>
  <c r="Q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I12" i="2" l="1"/>
  <c r="J12" i="2" s="1"/>
  <c r="R11" i="2"/>
  <c r="Q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I14" i="2" l="1"/>
  <c r="J14" i="2" s="1"/>
  <c r="R13" i="2"/>
  <c r="Q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I16" i="2" l="1"/>
  <c r="J16" i="2" s="1"/>
  <c r="R15" i="2"/>
  <c r="Q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I17" i="2" l="1"/>
  <c r="J17" i="2" s="1"/>
  <c r="R16" i="2"/>
  <c r="Q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I18" i="2" l="1"/>
  <c r="J18" i="2" s="1"/>
  <c r="R17" i="2"/>
  <c r="Q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I20" i="2" l="1"/>
  <c r="J20" i="2" s="1"/>
  <c r="R19" i="2"/>
  <c r="Q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I22" i="2" l="1"/>
  <c r="J22" i="2" s="1"/>
  <c r="R21" i="2"/>
  <c r="Q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I24" i="2" l="1"/>
  <c r="J24" i="2" s="1"/>
  <c r="R23" i="2"/>
  <c r="Q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I26" i="2" l="1"/>
  <c r="J26" i="2" s="1"/>
  <c r="R25" i="2"/>
  <c r="Q26" i="2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I27" i="2" l="1"/>
  <c r="J27" i="2" s="1"/>
  <c r="R26" i="2"/>
  <c r="Q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6" i="1"/>
  <c r="H15" i="1"/>
  <c r="H17" i="1"/>
  <c r="H11" i="1"/>
  <c r="H12" i="1"/>
  <c r="H14" i="1"/>
  <c r="H13" i="1"/>
  <c r="I29" i="2" l="1"/>
  <c r="J29" i="2" s="1"/>
  <c r="R28" i="2"/>
  <c r="Q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I30" i="2" l="1"/>
  <c r="J30" i="2" s="1"/>
  <c r="R29" i="2"/>
  <c r="Q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I32" i="2" l="1"/>
  <c r="J32" i="2" s="1"/>
  <c r="R31" i="2"/>
  <c r="Q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I34" i="2" l="1"/>
  <c r="J34" i="2" s="1"/>
  <c r="R33" i="2"/>
  <c r="Q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I35" i="2" l="1"/>
  <c r="J35" i="2" s="1"/>
  <c r="R34" i="2"/>
  <c r="Q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I36" i="2" l="1"/>
  <c r="J36" i="2" s="1"/>
  <c r="R35" i="2"/>
  <c r="Q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I41" i="2" l="1"/>
  <c r="J41" i="2" s="1"/>
  <c r="R40" i="2"/>
  <c r="Q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I42" i="2" l="1"/>
  <c r="J42" i="2" s="1"/>
  <c r="R41" i="2"/>
  <c r="Q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I43" i="2" l="1"/>
  <c r="J43" i="2" s="1"/>
  <c r="R42" i="2"/>
  <c r="Q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I44" i="2" l="1"/>
  <c r="J44" i="2" s="1"/>
  <c r="R43" i="2"/>
  <c r="Q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I46" i="2" l="1"/>
  <c r="J46" i="2" s="1"/>
  <c r="R45" i="2"/>
  <c r="Q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I48" i="2" l="1"/>
  <c r="J48" i="2" s="1"/>
  <c r="R47" i="2"/>
  <c r="Q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I51" i="2" l="1"/>
  <c r="J51" i="2" s="1"/>
  <c r="R50" i="2"/>
  <c r="Q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I54" i="2" l="1"/>
  <c r="J54" i="2" s="1"/>
  <c r="R53" i="2"/>
  <c r="Q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I56" i="2" l="1"/>
  <c r="J56" i="2" s="1"/>
  <c r="R55" i="2"/>
  <c r="Q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I58" i="2" l="1"/>
  <c r="J58" i="2" s="1"/>
  <c r="R57" i="2"/>
  <c r="Q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I60" i="2" l="1"/>
  <c r="J60" i="2" s="1"/>
  <c r="R59" i="2"/>
  <c r="Q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I66" i="2" l="1"/>
  <c r="J66" i="2" s="1"/>
  <c r="R65" i="2"/>
  <c r="Q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I70" i="2" l="1"/>
  <c r="J70" i="2" s="1"/>
  <c r="R69" i="2"/>
  <c r="Q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I73" i="2" l="1"/>
  <c r="J73" i="2" s="1"/>
  <c r="R72" i="2"/>
  <c r="Q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I76" i="2" l="1"/>
  <c r="J76" i="2" s="1"/>
  <c r="R75" i="2"/>
  <c r="Q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I77" i="2" l="1"/>
  <c r="J77" i="2" s="1"/>
  <c r="R76" i="2"/>
  <c r="Q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I78" i="2" l="1"/>
  <c r="J78" i="2" s="1"/>
  <c r="R77" i="2"/>
  <c r="Q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I79" i="2" l="1"/>
  <c r="J79" i="2" s="1"/>
  <c r="R78" i="2"/>
  <c r="Q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I82" i="2" l="1"/>
  <c r="J82" i="2" s="1"/>
  <c r="R81" i="2"/>
  <c r="Q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I84" i="2" l="1"/>
  <c r="J84" i="2" s="1"/>
  <c r="R83" i="2"/>
  <c r="Q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I85" i="2" l="1"/>
  <c r="J85" i="2" s="1"/>
  <c r="R84" i="2"/>
  <c r="Q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I88" i="2" l="1"/>
  <c r="J88" i="2" s="1"/>
  <c r="R87" i="2"/>
  <c r="Q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I90" i="2" l="1"/>
  <c r="J90" i="2" s="1"/>
  <c r="R89" i="2"/>
  <c r="Q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I91" i="2" l="1"/>
  <c r="J91" i="2" s="1"/>
  <c r="R90" i="2"/>
  <c r="Q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I94" i="2" l="1"/>
  <c r="J94" i="2" s="1"/>
  <c r="R93" i="2"/>
  <c r="Q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I100" i="2" l="1"/>
  <c r="J100" i="2" s="1"/>
  <c r="R99" i="2"/>
  <c r="Q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I102" i="2" l="1"/>
  <c r="J102" i="2" s="1"/>
  <c r="R101" i="2"/>
  <c r="Q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I103" i="2" l="1"/>
  <c r="J103" i="2" s="1"/>
  <c r="R102" i="2"/>
  <c r="Q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I105" i="2" l="1"/>
  <c r="J105" i="2" s="1"/>
  <c r="R104" i="2"/>
  <c r="Q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I112" i="2" l="1"/>
  <c r="J112" i="2" s="1"/>
  <c r="R111" i="2"/>
  <c r="Q112" i="2" s="1"/>
  <c r="Z111" i="2"/>
  <c r="Y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I113" i="2" l="1"/>
  <c r="J113" i="2" s="1"/>
  <c r="R112" i="2"/>
  <c r="Q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I115" i="2" l="1"/>
  <c r="J115" i="2" s="1"/>
  <c r="R114" i="2"/>
  <c r="Q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I116" i="2" l="1"/>
  <c r="J116" i="2" s="1"/>
  <c r="R115" i="2"/>
  <c r="Q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I120" i="2" l="1"/>
  <c r="J120" i="2" s="1"/>
  <c r="R119" i="2"/>
  <c r="Q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I122" i="2" l="1"/>
  <c r="J122" i="2" s="1"/>
  <c r="R121" i="2"/>
  <c r="Q122" i="2" s="1"/>
  <c r="Z121" i="2"/>
  <c r="Y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I123" i="2" l="1"/>
  <c r="J123" i="2" s="1"/>
  <c r="R122" i="2"/>
  <c r="Q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I125" i="2" l="1"/>
  <c r="J125" i="2" s="1"/>
  <c r="R124" i="2"/>
  <c r="Q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I129" i="2" l="1"/>
  <c r="J129" i="2" s="1"/>
  <c r="R128" i="2"/>
  <c r="Q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I132" i="2" l="1"/>
  <c r="J132" i="2" s="1"/>
  <c r="R131" i="2"/>
  <c r="Q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I133" i="2" l="1"/>
  <c r="J133" i="2" s="1"/>
  <c r="R132" i="2"/>
  <c r="Q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I136" i="2" l="1"/>
  <c r="J136" i="2" s="1"/>
  <c r="R135" i="2"/>
  <c r="Q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l="1" a="1"/>
  <c r="O34" i="14" s="1"/>
  <c r="O32" i="14" l="1"/>
  <c r="O39" i="14"/>
  <c r="O36" i="14"/>
  <c r="O35" i="14"/>
  <c r="O37" i="14"/>
  <c r="O38" i="14"/>
  <c r="O33" i="14"/>
  <c r="O42" i="14" l="1" a="1"/>
  <c r="O49" i="14" s="1"/>
  <c r="O45" i="14" l="1"/>
  <c r="O44" i="14"/>
  <c r="O47" i="14"/>
  <c r="O43" i="14"/>
  <c r="O48" i="14"/>
  <c r="O42" i="14"/>
  <c r="O46" i="14"/>
  <c r="F65" i="14" a="1"/>
  <c r="F65" i="14" l="1"/>
  <c r="G67" i="14"/>
  <c r="H65" i="14"/>
  <c r="H71" i="14"/>
  <c r="I71" i="14"/>
  <c r="F71" i="14"/>
  <c r="J67" i="14"/>
  <c r="K65" i="14"/>
  <c r="K67" i="14"/>
  <c r="K69" i="14"/>
  <c r="K71" i="14"/>
  <c r="L65" i="14"/>
  <c r="L67" i="14"/>
  <c r="L69" i="14"/>
  <c r="L71" i="14"/>
  <c r="M65" i="14"/>
  <c r="M67" i="14"/>
  <c r="M69" i="14"/>
  <c r="M71" i="14"/>
  <c r="J66" i="14"/>
  <c r="F69" i="14"/>
  <c r="F72" i="14"/>
  <c r="F70" i="14"/>
  <c r="G66" i="14"/>
  <c r="G68" i="14"/>
  <c r="G70" i="14"/>
  <c r="G72" i="14"/>
  <c r="H66" i="14"/>
  <c r="H68" i="14"/>
  <c r="H70" i="14"/>
  <c r="H72" i="14"/>
  <c r="I66" i="14"/>
  <c r="I68" i="14"/>
  <c r="I70" i="14"/>
  <c r="I72" i="14"/>
  <c r="F67" i="14"/>
  <c r="J69" i="14"/>
  <c r="J72" i="14"/>
  <c r="J71" i="14"/>
  <c r="K66" i="14"/>
  <c r="K68" i="14"/>
  <c r="K70" i="14"/>
  <c r="K72" i="14"/>
  <c r="L66" i="14"/>
  <c r="L68" i="14"/>
  <c r="L70" i="14"/>
  <c r="L72" i="14"/>
  <c r="M66" i="14"/>
  <c r="M68" i="14"/>
  <c r="M70" i="14"/>
  <c r="J65" i="14"/>
  <c r="F68" i="14"/>
  <c r="J70" i="14"/>
  <c r="M72" i="14"/>
  <c r="G65" i="14"/>
  <c r="G69" i="14"/>
  <c r="G71" i="14"/>
  <c r="H67" i="14"/>
  <c r="H69" i="14"/>
  <c r="I65" i="14"/>
  <c r="I67" i="14"/>
  <c r="I69" i="14"/>
  <c r="F66" i="14"/>
  <c r="J68" i="14"/>
  <c r="H130" i="14" l="1"/>
  <c r="H126" i="14"/>
  <c r="H127" i="14"/>
  <c r="H131" i="14"/>
  <c r="H133" i="14"/>
  <c r="H132" i="14"/>
  <c r="H129" i="14"/>
  <c r="H128" i="14"/>
  <c r="F55" i="14" l="1" a="1"/>
  <c r="F56" i="14"/>
  <c r="F58" i="14"/>
  <c r="F60" i="14"/>
  <c r="F62" i="14"/>
  <c r="I62" i="14"/>
  <c r="K56" i="14"/>
  <c r="K58" i="14"/>
  <c r="K60" i="14"/>
  <c r="K62" i="14"/>
  <c r="L56" i="14"/>
  <c r="L58" i="14"/>
  <c r="L60" i="14"/>
  <c r="L62" i="14"/>
  <c r="M56" i="14"/>
  <c r="M58" i="14"/>
  <c r="M61" i="14"/>
  <c r="J56" i="14"/>
  <c r="J58" i="14"/>
  <c r="J60" i="14"/>
  <c r="J62" i="14"/>
  <c r="G55" i="14"/>
  <c r="G57" i="14"/>
  <c r="G59" i="14"/>
  <c r="G61" i="14"/>
  <c r="H55" i="14"/>
  <c r="H57" i="14"/>
  <c r="H59" i="14"/>
  <c r="H61" i="14"/>
  <c r="I55" i="14"/>
  <c r="I57" i="14"/>
  <c r="I59" i="14"/>
  <c r="M62" i="14"/>
  <c r="F55" i="14"/>
  <c r="F57" i="14"/>
  <c r="F59" i="14"/>
  <c r="F61" i="14"/>
  <c r="I60" i="14"/>
  <c r="K55" i="14"/>
  <c r="K57" i="14"/>
  <c r="K59" i="14"/>
  <c r="K61" i="14"/>
  <c r="L55" i="14"/>
  <c r="L57" i="14"/>
  <c r="L59" i="14"/>
  <c r="L61" i="14"/>
  <c r="M55" i="14"/>
  <c r="M57" i="14"/>
  <c r="M59" i="14"/>
  <c r="J55" i="14"/>
  <c r="J57" i="14"/>
  <c r="J59" i="14"/>
  <c r="J61" i="14"/>
  <c r="I61" i="14"/>
  <c r="G56" i="14"/>
  <c r="G58" i="14"/>
  <c r="G60" i="14"/>
  <c r="G62" i="14"/>
  <c r="H56" i="14"/>
  <c r="H58" i="14"/>
  <c r="H60" i="14"/>
  <c r="H62" i="14"/>
  <c r="I56" i="14"/>
  <c r="I58" i="14"/>
  <c r="M60" i="14"/>
  <c r="F45" i="14" a="1"/>
  <c r="J50" i="14"/>
  <c r="K52" i="14"/>
  <c r="L46" i="14"/>
  <c r="L48" i="14"/>
  <c r="L50" i="14"/>
  <c r="L52" i="14"/>
  <c r="M46" i="14"/>
  <c r="M48" i="14"/>
  <c r="M50" i="14"/>
  <c r="F45" i="14"/>
  <c r="F47" i="14"/>
  <c r="J49" i="14"/>
  <c r="J51" i="14"/>
  <c r="K45" i="14"/>
  <c r="K47" i="14"/>
  <c r="K49" i="14"/>
  <c r="G52" i="14"/>
  <c r="H45" i="14"/>
  <c r="H47" i="14"/>
  <c r="H49" i="14"/>
  <c r="H51" i="14"/>
  <c r="I45" i="14"/>
  <c r="I47" i="14"/>
  <c r="I49" i="14"/>
  <c r="I51" i="14"/>
  <c r="J45" i="14"/>
  <c r="J47" i="14"/>
  <c r="F50" i="14"/>
  <c r="F52" i="14"/>
  <c r="G46" i="14"/>
  <c r="G48" i="14"/>
  <c r="G50" i="14"/>
  <c r="M52" i="14"/>
  <c r="F48" i="14"/>
  <c r="L45" i="14"/>
  <c r="L47" i="14"/>
  <c r="L49" i="14"/>
  <c r="L51" i="14"/>
  <c r="M45" i="14"/>
  <c r="M47" i="14"/>
  <c r="M49" i="14"/>
  <c r="M51" i="14"/>
  <c r="F46" i="14"/>
  <c r="J48" i="14"/>
  <c r="J52" i="14"/>
  <c r="K46" i="14"/>
  <c r="K48" i="14"/>
  <c r="K50" i="14"/>
  <c r="G51" i="14"/>
  <c r="H46" i="14"/>
  <c r="H48" i="14"/>
  <c r="H50" i="14"/>
  <c r="H52" i="14"/>
  <c r="I46" i="14"/>
  <c r="I48" i="14"/>
  <c r="I50" i="14"/>
  <c r="I52" i="14"/>
  <c r="J46" i="14"/>
  <c r="F49" i="14"/>
  <c r="F51" i="14"/>
  <c r="G45" i="14"/>
  <c r="G47" i="14"/>
  <c r="G49" i="14"/>
  <c r="K51" i="14"/>
  <c r="G133" i="14"/>
  <c r="G127" i="14"/>
  <c r="G126" i="14"/>
  <c r="G130" i="14"/>
  <c r="G132" i="14"/>
  <c r="G131" i="14"/>
  <c r="G129" i="14"/>
  <c r="G128" i="14"/>
  <c r="F132" i="14" l="1"/>
  <c r="F130" i="14"/>
  <c r="F128" i="14"/>
  <c r="F129" i="14"/>
  <c r="F131" i="14"/>
  <c r="F133" i="14"/>
  <c r="F127" i="14"/>
  <c r="F126" i="14"/>
  <c r="F136" i="14" l="1" a="1"/>
  <c r="G138" i="14" l="1"/>
  <c r="H141" i="14"/>
  <c r="M141" i="14"/>
  <c r="F140" i="14"/>
  <c r="G136" i="14"/>
  <c r="K136" i="14"/>
  <c r="L141" i="14"/>
  <c r="K142" i="14"/>
  <c r="M139" i="14"/>
  <c r="I140" i="14"/>
  <c r="I139" i="14"/>
  <c r="I143" i="14"/>
  <c r="L143" i="14"/>
  <c r="I136" i="14"/>
  <c r="M138" i="14"/>
  <c r="F143" i="14"/>
  <c r="K137" i="14"/>
  <c r="M136" i="14"/>
  <c r="G143" i="14"/>
  <c r="I142" i="14"/>
  <c r="G137" i="14"/>
  <c r="G139" i="14"/>
  <c r="L137" i="14"/>
  <c r="H138" i="14"/>
  <c r="K139" i="14"/>
  <c r="G140" i="14"/>
  <c r="F137" i="14"/>
  <c r="I141" i="14"/>
  <c r="H139" i="14"/>
  <c r="J143" i="14"/>
  <c r="L136" i="14"/>
  <c r="F141" i="14"/>
  <c r="H137" i="14"/>
  <c r="H143" i="14"/>
  <c r="F142" i="14"/>
  <c r="M140" i="14"/>
  <c r="M142" i="14"/>
  <c r="J136" i="14"/>
  <c r="G141" i="14"/>
  <c r="F136" i="14"/>
  <c r="I138" i="14"/>
  <c r="G142" i="14"/>
  <c r="K140" i="14"/>
  <c r="L138" i="14"/>
  <c r="J139" i="14"/>
  <c r="L140" i="14"/>
  <c r="M143" i="14"/>
  <c r="J140" i="14"/>
  <c r="K141" i="14"/>
  <c r="J138" i="14"/>
  <c r="K138" i="14"/>
  <c r="F138" i="14"/>
  <c r="I137" i="14"/>
  <c r="H142" i="14"/>
  <c r="L142" i="14"/>
  <c r="J142" i="14"/>
  <c r="J137" i="14"/>
  <c r="K143" i="14"/>
  <c r="J141" i="14"/>
  <c r="H136" i="14"/>
  <c r="H140" i="14"/>
  <c r="M137" i="14"/>
  <c r="F139" i="14"/>
  <c r="L139" i="14"/>
  <c r="F146" i="14" l="1" a="1"/>
  <c r="F146" i="14" l="1"/>
  <c r="H146" i="14"/>
  <c r="L146" i="14"/>
  <c r="G146" i="14"/>
  <c r="I146" i="14"/>
  <c r="J146" i="14"/>
  <c r="K146" i="14"/>
  <c r="M146" i="14"/>
  <c r="I148" i="14" l="1"/>
  <c r="I166" i="14" s="1"/>
  <c r="I149" i="14"/>
  <c r="I167" i="14" s="1"/>
  <c r="I150" i="14"/>
  <c r="I168" i="14" s="1"/>
  <c r="I151" i="14"/>
  <c r="I169" i="14" s="1"/>
  <c r="I152" i="14"/>
  <c r="I170" i="14" s="1"/>
  <c r="I153" i="14"/>
  <c r="I171" i="14" s="1"/>
  <c r="I154" i="14"/>
  <c r="I172" i="14" s="1"/>
  <c r="I155" i="14"/>
  <c r="I173" i="14" s="1"/>
  <c r="F148" i="14"/>
  <c r="F166" i="14" s="1"/>
  <c r="F149" i="14"/>
  <c r="F167" i="14" s="1"/>
  <c r="F150" i="14"/>
  <c r="F168" i="14" s="1"/>
  <c r="F151" i="14"/>
  <c r="F169" i="14" s="1"/>
  <c r="F152" i="14"/>
  <c r="F170" i="14" s="1"/>
  <c r="F153" i="14"/>
  <c r="F171" i="14" s="1"/>
  <c r="F154" i="14"/>
  <c r="F172" i="14" s="1"/>
  <c r="F155" i="14"/>
  <c r="F173" i="14" s="1"/>
  <c r="M152" i="14"/>
  <c r="M170" i="14" s="1"/>
  <c r="M153" i="14"/>
  <c r="M171" i="14" s="1"/>
  <c r="M154" i="14"/>
  <c r="M172" i="14" s="1"/>
  <c r="M155" i="14"/>
  <c r="M173" i="14" s="1"/>
  <c r="M148" i="14"/>
  <c r="M166" i="14" s="1"/>
  <c r="M149" i="14"/>
  <c r="M167" i="14" s="1"/>
  <c r="M150" i="14"/>
  <c r="M168" i="14" s="1"/>
  <c r="M151" i="14"/>
  <c r="M169" i="14" s="1"/>
  <c r="G148" i="14"/>
  <c r="G166" i="14" s="1"/>
  <c r="G149" i="14"/>
  <c r="G167" i="14" s="1"/>
  <c r="G150" i="14"/>
  <c r="G168" i="14" s="1"/>
  <c r="G151" i="14"/>
  <c r="G169" i="14" s="1"/>
  <c r="G152" i="14"/>
  <c r="G170" i="14" s="1"/>
  <c r="G153" i="14"/>
  <c r="G171" i="14" s="1"/>
  <c r="G154" i="14"/>
  <c r="G172" i="14" s="1"/>
  <c r="G155" i="14"/>
  <c r="G173" i="14" s="1"/>
  <c r="K148" i="14"/>
  <c r="K166" i="14" s="1"/>
  <c r="K149" i="14"/>
  <c r="K167" i="14" s="1"/>
  <c r="K150" i="14"/>
  <c r="K168" i="14" s="1"/>
  <c r="K151" i="14"/>
  <c r="K169" i="14" s="1"/>
  <c r="K152" i="14"/>
  <c r="K170" i="14" s="1"/>
  <c r="K153" i="14"/>
  <c r="K171" i="14" s="1"/>
  <c r="K154" i="14"/>
  <c r="K172" i="14" s="1"/>
  <c r="K155" i="14"/>
  <c r="K173" i="14" s="1"/>
  <c r="L148" i="14"/>
  <c r="L166" i="14" s="1"/>
  <c r="L149" i="14"/>
  <c r="L167" i="14" s="1"/>
  <c r="L150" i="14"/>
  <c r="L168" i="14" s="1"/>
  <c r="L151" i="14"/>
  <c r="L169" i="14" s="1"/>
  <c r="L152" i="14"/>
  <c r="L170" i="14" s="1"/>
  <c r="L153" i="14"/>
  <c r="L171" i="14" s="1"/>
  <c r="L154" i="14"/>
  <c r="L172" i="14" s="1"/>
  <c r="L155" i="14"/>
  <c r="L173" i="14" s="1"/>
  <c r="J148" i="14"/>
  <c r="J166" i="14" s="1"/>
  <c r="J149" i="14"/>
  <c r="J167" i="14" s="1"/>
  <c r="J150" i="14"/>
  <c r="J168" i="14" s="1"/>
  <c r="J151" i="14"/>
  <c r="J169" i="14" s="1"/>
  <c r="J152" i="14"/>
  <c r="J170" i="14" s="1"/>
  <c r="J153" i="14"/>
  <c r="J171" i="14" s="1"/>
  <c r="J154" i="14"/>
  <c r="J172" i="14" s="1"/>
  <c r="J155" i="14"/>
  <c r="J173" i="14" s="1"/>
  <c r="H148" i="14"/>
  <c r="H166" i="14" s="1"/>
  <c r="H149" i="14"/>
  <c r="H167" i="14" s="1"/>
  <c r="H150" i="14"/>
  <c r="H168" i="14" s="1"/>
  <c r="H151" i="14"/>
  <c r="H169" i="14" s="1"/>
  <c r="H152" i="14"/>
  <c r="H170" i="14" s="1"/>
  <c r="H153" i="14"/>
  <c r="H171" i="14" s="1"/>
  <c r="H154" i="14"/>
  <c r="H172" i="14" s="1"/>
  <c r="H155" i="14"/>
  <c r="H173" i="14" s="1"/>
  <c r="AA24" i="14" l="1"/>
  <c r="AA96" i="14"/>
  <c r="AA6" i="14"/>
  <c r="AA106" i="14"/>
  <c r="AA132" i="14"/>
  <c r="AA126" i="14"/>
  <c r="AA94" i="14"/>
  <c r="AA86" i="14"/>
  <c r="AA26" i="14"/>
  <c r="AA8" i="14"/>
  <c r="AA82" i="14"/>
  <c r="AA74" i="14"/>
  <c r="AA116" i="14"/>
  <c r="AA134" i="14"/>
  <c r="AA12" i="14"/>
  <c r="AA105" i="14"/>
  <c r="AA80" i="14"/>
  <c r="AA46" i="14"/>
  <c r="AA3" i="14"/>
  <c r="AA47" i="14"/>
  <c r="AA104" i="14"/>
  <c r="AA130" i="14"/>
  <c r="AA93" i="14"/>
  <c r="AA117" i="14"/>
  <c r="AA53" i="14"/>
  <c r="AA76" i="14"/>
  <c r="AA64" i="14"/>
  <c r="AA133" i="14"/>
  <c r="AA18" i="14"/>
  <c r="AA100" i="14"/>
  <c r="AA127" i="14"/>
  <c r="AA39" i="14"/>
  <c r="AA21" i="14"/>
  <c r="AA50" i="14"/>
  <c r="AA62" i="14"/>
  <c r="AA42" i="14"/>
  <c r="AA70" i="14"/>
  <c r="AA63" i="14"/>
  <c r="AA27" i="14"/>
  <c r="AA97" i="14"/>
  <c r="AA112" i="14"/>
  <c r="AA7" i="14"/>
  <c r="AA20" i="14"/>
  <c r="AA57" i="14"/>
  <c r="AA69" i="14"/>
  <c r="AA103" i="14"/>
  <c r="AA58" i="14"/>
  <c r="AA68" i="14"/>
  <c r="AA38" i="14"/>
  <c r="AA45" i="14"/>
  <c r="AA73" i="14"/>
  <c r="AA22" i="14"/>
  <c r="AA23" i="14"/>
  <c r="AA98" i="14"/>
  <c r="AA78" i="14"/>
  <c r="AA59" i="14"/>
  <c r="AA120" i="14"/>
  <c r="AA71" i="14"/>
  <c r="AA13" i="14"/>
  <c r="AA122" i="14"/>
  <c r="AA34" i="14"/>
  <c r="AA75" i="14"/>
  <c r="AA121" i="14"/>
  <c r="AA14" i="14"/>
  <c r="AA90" i="14"/>
  <c r="AA43" i="14"/>
  <c r="AA109" i="14"/>
  <c r="AA131" i="14"/>
  <c r="AA84" i="14"/>
  <c r="AA108" i="14"/>
  <c r="AA32" i="14"/>
  <c r="AA31" i="14"/>
  <c r="AA25" i="14"/>
  <c r="AA19" i="14"/>
  <c r="AA60" i="14"/>
  <c r="AA118" i="14"/>
  <c r="AA48" i="14"/>
  <c r="AA11" i="14"/>
  <c r="AA10" i="14"/>
  <c r="AA77" i="14"/>
  <c r="AA2" i="14"/>
  <c r="AA88" i="14"/>
  <c r="AA135" i="14"/>
  <c r="AA16" i="14"/>
  <c r="AA99" i="14"/>
  <c r="AA91" i="14"/>
  <c r="AA123" i="14"/>
  <c r="AA36" i="14"/>
  <c r="AA29" i="14"/>
  <c r="AA49" i="14"/>
  <c r="AA37" i="14"/>
  <c r="AA101" i="14"/>
  <c r="AA55" i="14"/>
  <c r="AA85" i="14"/>
  <c r="AA87" i="14"/>
  <c r="AA5" i="14"/>
  <c r="AA92" i="14"/>
  <c r="AA17" i="14"/>
  <c r="AA89" i="14"/>
  <c r="AA9" i="14"/>
  <c r="AA114" i="14"/>
  <c r="AA35" i="14"/>
  <c r="AA72" i="14"/>
  <c r="AA56" i="14"/>
  <c r="AA95" i="14"/>
  <c r="AA52" i="14"/>
  <c r="AA30" i="14"/>
  <c r="AA40" i="14"/>
  <c r="AA83" i="14"/>
  <c r="AA81" i="14"/>
  <c r="AA33" i="14"/>
  <c r="AA44" i="14"/>
  <c r="AA28" i="14"/>
  <c r="AA61" i="14"/>
  <c r="AA113" i="14"/>
  <c r="AA51" i="14"/>
  <c r="AA15" i="14"/>
  <c r="AA102" i="14"/>
  <c r="AA128" i="14"/>
  <c r="AA4" i="14"/>
  <c r="AA125" i="14"/>
  <c r="AA115" i="14"/>
  <c r="AA54" i="14"/>
  <c r="AA124" i="14"/>
  <c r="AA65" i="14"/>
  <c r="AA41" i="14"/>
  <c r="AA110" i="14"/>
  <c r="AA129" i="14"/>
  <c r="AA136" i="14"/>
  <c r="AA119" i="14"/>
  <c r="AA111" i="14"/>
  <c r="AA67" i="14"/>
  <c r="AA79" i="14"/>
  <c r="AA107" i="14"/>
  <c r="AA66" i="14"/>
  <c r="W125" i="14"/>
  <c r="W17" i="14"/>
  <c r="W116" i="14"/>
  <c r="W53" i="14"/>
  <c r="W77" i="14"/>
  <c r="W134" i="14"/>
  <c r="W13" i="14"/>
  <c r="W42" i="14"/>
  <c r="W29" i="14"/>
  <c r="W76" i="14"/>
  <c r="W7" i="14"/>
  <c r="W45" i="14"/>
  <c r="W9" i="14"/>
  <c r="W93" i="14"/>
  <c r="W52" i="14"/>
  <c r="W43" i="14"/>
  <c r="W41" i="14"/>
  <c r="W99" i="14"/>
  <c r="W20" i="14"/>
  <c r="W123" i="14"/>
  <c r="W68" i="14"/>
  <c r="W38" i="14"/>
  <c r="W78" i="14"/>
  <c r="W87" i="14"/>
  <c r="W36" i="14"/>
  <c r="W32" i="14"/>
  <c r="W58" i="14"/>
  <c r="W120" i="14"/>
  <c r="W74" i="14"/>
  <c r="W44" i="14"/>
  <c r="W59" i="14"/>
  <c r="W130" i="14"/>
  <c r="W26" i="14"/>
  <c r="W112" i="14"/>
  <c r="W5" i="14"/>
  <c r="W54" i="14"/>
  <c r="W31" i="14"/>
  <c r="W96" i="14"/>
  <c r="W70" i="14"/>
  <c r="W4" i="14"/>
  <c r="W127" i="14"/>
  <c r="W35" i="14"/>
  <c r="W117" i="14"/>
  <c r="W21" i="14"/>
  <c r="W94" i="14"/>
  <c r="W67" i="14"/>
  <c r="W82" i="14"/>
  <c r="W102" i="14"/>
  <c r="W97" i="14"/>
  <c r="W81" i="14"/>
  <c r="W104" i="14"/>
  <c r="W128" i="14"/>
  <c r="W119" i="14"/>
  <c r="W12" i="14"/>
  <c r="W121" i="14"/>
  <c r="W27" i="14"/>
  <c r="W49" i="14"/>
  <c r="W57" i="14"/>
  <c r="W108" i="14"/>
  <c r="W106" i="14"/>
  <c r="W118" i="14"/>
  <c r="W73" i="14"/>
  <c r="W115" i="14"/>
  <c r="W10" i="14"/>
  <c r="W34" i="14"/>
  <c r="W50" i="14"/>
  <c r="W8" i="14"/>
  <c r="W40" i="14"/>
  <c r="W25" i="14"/>
  <c r="W85" i="14"/>
  <c r="W2" i="14"/>
  <c r="W28" i="14"/>
  <c r="W113" i="14"/>
  <c r="W88" i="14"/>
  <c r="W46" i="14"/>
  <c r="W79" i="14"/>
  <c r="W80" i="14"/>
  <c r="W30" i="14"/>
  <c r="W47" i="14"/>
  <c r="W100" i="14"/>
  <c r="W111" i="14"/>
  <c r="W92" i="14"/>
  <c r="W129" i="14"/>
  <c r="W83" i="14"/>
  <c r="W51" i="14"/>
  <c r="W126" i="14"/>
  <c r="W19" i="14"/>
  <c r="W69" i="14"/>
  <c r="W39" i="14"/>
  <c r="W90" i="14"/>
  <c r="W131" i="14"/>
  <c r="W136" i="14"/>
  <c r="W132" i="14"/>
  <c r="W103" i="14"/>
  <c r="W114" i="14"/>
  <c r="W18" i="14"/>
  <c r="W3" i="14"/>
  <c r="W110" i="14"/>
  <c r="W101" i="14"/>
  <c r="W107" i="14"/>
  <c r="W48" i="14"/>
  <c r="W62" i="14"/>
  <c r="W33" i="14"/>
  <c r="W122" i="14"/>
  <c r="W55" i="14"/>
  <c r="W60" i="14"/>
  <c r="W133" i="14"/>
  <c r="W124" i="14"/>
  <c r="W86" i="14"/>
  <c r="W24" i="14"/>
  <c r="W11" i="14"/>
  <c r="W15" i="14"/>
  <c r="W72" i="14"/>
  <c r="W64" i="14"/>
  <c r="W89" i="14"/>
  <c r="W75" i="14"/>
  <c r="W37" i="14"/>
  <c r="W61" i="14"/>
  <c r="W63" i="14"/>
  <c r="W16" i="14"/>
  <c r="W71" i="14"/>
  <c r="W66" i="14"/>
  <c r="W56" i="14"/>
  <c r="W22" i="14"/>
  <c r="W105" i="14"/>
  <c r="W84" i="14"/>
  <c r="W14" i="14"/>
  <c r="W6" i="14"/>
  <c r="W109" i="14"/>
  <c r="W23" i="14"/>
  <c r="W65" i="14"/>
  <c r="W98" i="14"/>
  <c r="W91" i="14"/>
  <c r="W135" i="14"/>
  <c r="W95" i="14"/>
  <c r="Z70" i="14"/>
  <c r="Z100" i="14"/>
  <c r="Z34" i="14"/>
  <c r="Z47" i="14"/>
  <c r="Z104" i="14"/>
  <c r="Z5" i="14"/>
  <c r="Z13" i="14"/>
  <c r="Z122" i="14"/>
  <c r="Z134" i="14"/>
  <c r="Z2" i="14"/>
  <c r="Z89" i="14"/>
  <c r="Z27" i="14"/>
  <c r="Z110" i="14"/>
  <c r="Z119" i="14"/>
  <c r="Z127" i="14"/>
  <c r="Z9" i="14"/>
  <c r="Z8" i="14"/>
  <c r="Z32" i="14"/>
  <c r="Z84" i="14"/>
  <c r="Z62" i="14"/>
  <c r="Z133" i="14"/>
  <c r="Z99" i="14"/>
  <c r="Z22" i="14"/>
  <c r="Z67" i="14"/>
  <c r="Z116" i="14"/>
  <c r="Z88" i="14"/>
  <c r="Z57" i="14"/>
  <c r="Z12" i="14"/>
  <c r="Z48" i="14"/>
  <c r="Z39" i="14"/>
  <c r="Z16" i="14"/>
  <c r="Z42" i="14"/>
  <c r="Z56" i="14"/>
  <c r="Z7" i="14"/>
  <c r="Z87" i="14"/>
  <c r="Z30" i="14"/>
  <c r="Z29" i="14"/>
  <c r="Z24" i="14"/>
  <c r="Z61" i="14"/>
  <c r="Z77" i="14"/>
  <c r="Z135" i="14"/>
  <c r="Z96" i="14"/>
  <c r="Z131" i="14"/>
  <c r="Z102" i="14"/>
  <c r="Z52" i="14"/>
  <c r="Z59" i="14"/>
  <c r="Z115" i="14"/>
  <c r="Z55" i="14"/>
  <c r="Z118" i="14"/>
  <c r="Z85" i="14"/>
  <c r="Z83" i="14"/>
  <c r="Z63" i="14"/>
  <c r="Z95" i="14"/>
  <c r="Z64" i="14"/>
  <c r="Z130" i="14"/>
  <c r="Z53" i="14"/>
  <c r="Z75" i="14"/>
  <c r="Z11" i="14"/>
  <c r="Z69" i="14"/>
  <c r="Z19" i="14"/>
  <c r="Z6" i="14"/>
  <c r="Z125" i="14"/>
  <c r="Z112" i="14"/>
  <c r="Z18" i="14"/>
  <c r="Z43" i="14"/>
  <c r="Z28" i="14"/>
  <c r="Z79" i="14"/>
  <c r="Z129" i="14"/>
  <c r="Z106" i="14"/>
  <c r="Z49" i="14"/>
  <c r="Z17" i="14"/>
  <c r="Z136" i="14"/>
  <c r="Z33" i="14"/>
  <c r="Z23" i="14"/>
  <c r="Z25" i="14"/>
  <c r="Z54" i="14"/>
  <c r="Z41" i="14"/>
  <c r="Z82" i="14"/>
  <c r="Z123" i="14"/>
  <c r="Z105" i="14"/>
  <c r="Z31" i="14"/>
  <c r="Z108" i="14"/>
  <c r="Z72" i="14"/>
  <c r="Z113" i="14"/>
  <c r="Z93" i="14"/>
  <c r="Z91" i="14"/>
  <c r="Z36" i="14"/>
  <c r="Z3" i="14"/>
  <c r="Z114" i="14"/>
  <c r="Z124" i="14"/>
  <c r="Z94" i="14"/>
  <c r="Z98" i="14"/>
  <c r="Z128" i="14"/>
  <c r="Z74" i="14"/>
  <c r="Z10" i="14"/>
  <c r="Z21" i="14"/>
  <c r="Z37" i="14"/>
  <c r="Z132" i="14"/>
  <c r="Z15" i="14"/>
  <c r="Z120" i="14"/>
  <c r="Z76" i="14"/>
  <c r="Z97" i="14"/>
  <c r="Z109" i="14"/>
  <c r="Z14" i="14"/>
  <c r="Z4" i="14"/>
  <c r="Z68" i="14"/>
  <c r="Z65" i="14"/>
  <c r="Z107" i="14"/>
  <c r="Z73" i="14"/>
  <c r="Z51" i="14"/>
  <c r="Z71" i="14"/>
  <c r="Z40" i="14"/>
  <c r="Z46" i="14"/>
  <c r="Z101" i="14"/>
  <c r="Z50" i="14"/>
  <c r="Z78" i="14"/>
  <c r="Z103" i="14"/>
  <c r="Z45" i="14"/>
  <c r="Z35" i="14"/>
  <c r="Z126" i="14"/>
  <c r="Z81" i="14"/>
  <c r="Z92" i="14"/>
  <c r="Z111" i="14"/>
  <c r="Z60" i="14"/>
  <c r="Z66" i="14"/>
  <c r="Z38" i="14"/>
  <c r="Z117" i="14"/>
  <c r="Z58" i="14"/>
  <c r="Z86" i="14"/>
  <c r="Z26" i="14"/>
  <c r="Z80" i="14"/>
  <c r="Z121" i="14"/>
  <c r="Z44" i="14"/>
  <c r="Z90" i="14"/>
  <c r="Z20" i="14"/>
  <c r="V106" i="14"/>
  <c r="V46" i="14"/>
  <c r="V14" i="14"/>
  <c r="V98" i="14"/>
  <c r="V135" i="14"/>
  <c r="V50" i="14"/>
  <c r="V97" i="14"/>
  <c r="V87" i="14"/>
  <c r="V131" i="14"/>
  <c r="V29" i="14"/>
  <c r="V5" i="14"/>
  <c r="V64" i="14"/>
  <c r="V78" i="14"/>
  <c r="V124" i="14"/>
  <c r="V96" i="14"/>
  <c r="V4" i="14"/>
  <c r="V127" i="14"/>
  <c r="V56" i="14"/>
  <c r="V103" i="14"/>
  <c r="V28" i="14"/>
  <c r="V69" i="14"/>
  <c r="V93" i="14"/>
  <c r="V66" i="14"/>
  <c r="V17" i="14"/>
  <c r="V35" i="14"/>
  <c r="V52" i="14"/>
  <c r="V94" i="14"/>
  <c r="V107" i="14"/>
  <c r="V112" i="14"/>
  <c r="V128" i="14"/>
  <c r="V18" i="14"/>
  <c r="V25" i="14"/>
  <c r="V58" i="14"/>
  <c r="V65" i="14"/>
  <c r="V109" i="14"/>
  <c r="V108" i="14"/>
  <c r="V136" i="14"/>
  <c r="V99" i="14"/>
  <c r="V47" i="14"/>
  <c r="V38" i="14"/>
  <c r="V104" i="14"/>
  <c r="V30" i="14"/>
  <c r="V41" i="14"/>
  <c r="V12" i="14"/>
  <c r="V134" i="14"/>
  <c r="V79" i="14"/>
  <c r="V77" i="14"/>
  <c r="V2" i="14"/>
  <c r="V15" i="14"/>
  <c r="V110" i="14"/>
  <c r="V33" i="14"/>
  <c r="V63" i="14"/>
  <c r="V57" i="14"/>
  <c r="V116" i="14"/>
  <c r="V84" i="14"/>
  <c r="V123" i="14"/>
  <c r="V37" i="14"/>
  <c r="V85" i="14"/>
  <c r="V113" i="14"/>
  <c r="V125" i="14"/>
  <c r="V42" i="14"/>
  <c r="V100" i="14"/>
  <c r="V132" i="14"/>
  <c r="V88" i="14"/>
  <c r="V26" i="14"/>
  <c r="V80" i="14"/>
  <c r="V20" i="14"/>
  <c r="V24" i="14"/>
  <c r="V126" i="14"/>
  <c r="V21" i="14"/>
  <c r="V55" i="14"/>
  <c r="V3" i="14"/>
  <c r="V22" i="14"/>
  <c r="V90" i="14"/>
  <c r="V54" i="14"/>
  <c r="V92" i="14"/>
  <c r="V31" i="14"/>
  <c r="V6" i="14"/>
  <c r="V129" i="14"/>
  <c r="V13" i="14"/>
  <c r="V102" i="14"/>
  <c r="V48" i="14"/>
  <c r="V75" i="14"/>
  <c r="V51" i="14"/>
  <c r="V101" i="14"/>
  <c r="V53" i="14"/>
  <c r="V27" i="14"/>
  <c r="V43" i="14"/>
  <c r="V23" i="14"/>
  <c r="V83" i="14"/>
  <c r="V91" i="14"/>
  <c r="V36" i="14"/>
  <c r="V44" i="14"/>
  <c r="V118" i="14"/>
  <c r="V68" i="14"/>
  <c r="V73" i="14"/>
  <c r="V45" i="14"/>
  <c r="V114" i="14"/>
  <c r="V11" i="14"/>
  <c r="V95" i="14"/>
  <c r="V70" i="14"/>
  <c r="V130" i="14"/>
  <c r="V67" i="14"/>
  <c r="V7" i="14"/>
  <c r="V72" i="14"/>
  <c r="V59" i="14"/>
  <c r="V32" i="14"/>
  <c r="V86" i="14"/>
  <c r="V19" i="14"/>
  <c r="V117" i="14"/>
  <c r="V121" i="14"/>
  <c r="V71" i="14"/>
  <c r="V34" i="14"/>
  <c r="V115" i="14"/>
  <c r="V61" i="14"/>
  <c r="V119" i="14"/>
  <c r="V74" i="14"/>
  <c r="V122" i="14"/>
  <c r="V60" i="14"/>
  <c r="V133" i="14"/>
  <c r="V8" i="14"/>
  <c r="V82" i="14"/>
  <c r="V62" i="14"/>
  <c r="V49" i="14"/>
  <c r="V105" i="14"/>
  <c r="V39" i="14"/>
  <c r="V10" i="14"/>
  <c r="V76" i="14"/>
  <c r="V111" i="14"/>
  <c r="V120" i="14"/>
  <c r="V81" i="14"/>
  <c r="V9" i="14"/>
  <c r="V16" i="14"/>
  <c r="V89" i="14"/>
  <c r="V40" i="14"/>
  <c r="Y38" i="14"/>
  <c r="Y66" i="14"/>
  <c r="Y26" i="14"/>
  <c r="Y124" i="14"/>
  <c r="Y105" i="14"/>
  <c r="Y37" i="14"/>
  <c r="Y95" i="14"/>
  <c r="Y82" i="14"/>
  <c r="Y83" i="14"/>
  <c r="Y121" i="14"/>
  <c r="Y130" i="14"/>
  <c r="Y94" i="14"/>
  <c r="Y8" i="14"/>
  <c r="Y109" i="14"/>
  <c r="Y28" i="14"/>
  <c r="Y48" i="14"/>
  <c r="Y40" i="14"/>
  <c r="Y131" i="14"/>
  <c r="Y64" i="14"/>
  <c r="Y68" i="14"/>
  <c r="Y75" i="14"/>
  <c r="Y98" i="14"/>
  <c r="Y134" i="14"/>
  <c r="Y14" i="14"/>
  <c r="Y91" i="14"/>
  <c r="Y115" i="14"/>
  <c r="Y69" i="14"/>
  <c r="Y114" i="14"/>
  <c r="Y125" i="14"/>
  <c r="Y51" i="14"/>
  <c r="Y85" i="14"/>
  <c r="Y41" i="14"/>
  <c r="Y61" i="14"/>
  <c r="Y128" i="14"/>
  <c r="Y24" i="14"/>
  <c r="Y71" i="14"/>
  <c r="Y133" i="14"/>
  <c r="Y92" i="14"/>
  <c r="Y127" i="14"/>
  <c r="Y65" i="14"/>
  <c r="Y20" i="14"/>
  <c r="Y54" i="14"/>
  <c r="Y3" i="14"/>
  <c r="Y104" i="14"/>
  <c r="Y136" i="14"/>
  <c r="Y56" i="14"/>
  <c r="Y107" i="14"/>
  <c r="Y52" i="14"/>
  <c r="Y113" i="14"/>
  <c r="Y90" i="14"/>
  <c r="Y16" i="14"/>
  <c r="Y129" i="14"/>
  <c r="Y126" i="14"/>
  <c r="Y72" i="14"/>
  <c r="Y73" i="14"/>
  <c r="Y35" i="14"/>
  <c r="Y6" i="14"/>
  <c r="Y111" i="14"/>
  <c r="Y30" i="14"/>
  <c r="Y19" i="14"/>
  <c r="Y39" i="14"/>
  <c r="Y100" i="14"/>
  <c r="Y79" i="14"/>
  <c r="Y36" i="14"/>
  <c r="Y76" i="14"/>
  <c r="Y99" i="14"/>
  <c r="Y112" i="14"/>
  <c r="Y9" i="14"/>
  <c r="Y47" i="14"/>
  <c r="Y42" i="14"/>
  <c r="Y31" i="14"/>
  <c r="Y58" i="14"/>
  <c r="Y123" i="14"/>
  <c r="Y119" i="14"/>
  <c r="Y7" i="14"/>
  <c r="Y44" i="14"/>
  <c r="Y57" i="14"/>
  <c r="Y87" i="14"/>
  <c r="Y45" i="14"/>
  <c r="Y78" i="14"/>
  <c r="Y103" i="14"/>
  <c r="Y53" i="14"/>
  <c r="Y93" i="14"/>
  <c r="Y18" i="14"/>
  <c r="Y32" i="14"/>
  <c r="Y97" i="14"/>
  <c r="Y135" i="14"/>
  <c r="Y29" i="14"/>
  <c r="Y118" i="14"/>
  <c r="Y74" i="14"/>
  <c r="Y63" i="14"/>
  <c r="Y132" i="14"/>
  <c r="Y2" i="14"/>
  <c r="Y46" i="14"/>
  <c r="Y110" i="14"/>
  <c r="Y81" i="14"/>
  <c r="Y84" i="14"/>
  <c r="Y21" i="14"/>
  <c r="Y17" i="14"/>
  <c r="Y122" i="14"/>
  <c r="Y25" i="14"/>
  <c r="Y43" i="14"/>
  <c r="Y89" i="14"/>
  <c r="Y106" i="14"/>
  <c r="Y49" i="14"/>
  <c r="Y5" i="14"/>
  <c r="Y77" i="14"/>
  <c r="Y22" i="14"/>
  <c r="Y70" i="14"/>
  <c r="Y59" i="14"/>
  <c r="Y86" i="14"/>
  <c r="Y67" i="14"/>
  <c r="Y108" i="14"/>
  <c r="Y15" i="14"/>
  <c r="Y4" i="14"/>
  <c r="Y50" i="14"/>
  <c r="Y23" i="14"/>
  <c r="Y96" i="14"/>
  <c r="Y117" i="14"/>
  <c r="Y10" i="14"/>
  <c r="Y88" i="14"/>
  <c r="Y33" i="14"/>
  <c r="Y12" i="14"/>
  <c r="Y55" i="14"/>
  <c r="Y120" i="14"/>
  <c r="Y62" i="14"/>
  <c r="Y34" i="14"/>
  <c r="Y11" i="14"/>
  <c r="Y101" i="14"/>
  <c r="Y13" i="14"/>
  <c r="Y60" i="14"/>
  <c r="Y27" i="14"/>
  <c r="Y116" i="14"/>
  <c r="Y80" i="14"/>
  <c r="Y102" i="14"/>
  <c r="U130" i="14"/>
  <c r="U110" i="14"/>
  <c r="U118" i="14"/>
  <c r="U63" i="14"/>
  <c r="U22" i="14"/>
  <c r="U37" i="14"/>
  <c r="U134" i="14"/>
  <c r="U69" i="14"/>
  <c r="U2" i="14"/>
  <c r="U33" i="14"/>
  <c r="U92" i="14"/>
  <c r="U90" i="14"/>
  <c r="U131" i="14"/>
  <c r="U53" i="14"/>
  <c r="U78" i="14"/>
  <c r="U71" i="14"/>
  <c r="U35" i="14"/>
  <c r="U113" i="14"/>
  <c r="U89" i="14"/>
  <c r="U10" i="14"/>
  <c r="U12" i="14"/>
  <c r="U39" i="14"/>
  <c r="U60" i="14"/>
  <c r="U79" i="14"/>
  <c r="U21" i="14"/>
  <c r="U3" i="14"/>
  <c r="U94" i="14"/>
  <c r="U127" i="14"/>
  <c r="U23" i="14"/>
  <c r="U116" i="14"/>
  <c r="U42" i="14"/>
  <c r="U24" i="14"/>
  <c r="U129" i="14"/>
  <c r="U32" i="14"/>
  <c r="U65" i="14"/>
  <c r="U74" i="14"/>
  <c r="U57" i="14"/>
  <c r="U6" i="14"/>
  <c r="U109" i="14"/>
  <c r="U46" i="14"/>
  <c r="U124" i="14"/>
  <c r="U101" i="14"/>
  <c r="U41" i="14"/>
  <c r="U36" i="14"/>
  <c r="U100" i="14"/>
  <c r="U20" i="14"/>
  <c r="U105" i="14"/>
  <c r="U48" i="14"/>
  <c r="U80" i="14"/>
  <c r="U135" i="14"/>
  <c r="U68" i="14"/>
  <c r="U95" i="14"/>
  <c r="U45" i="14"/>
  <c r="U107" i="14"/>
  <c r="U15" i="14"/>
  <c r="U51" i="14"/>
  <c r="U108" i="14"/>
  <c r="U8" i="14"/>
  <c r="U114" i="14"/>
  <c r="U66" i="14"/>
  <c r="U102" i="14"/>
  <c r="U16" i="14"/>
  <c r="U17" i="14"/>
  <c r="U5" i="14"/>
  <c r="U98" i="14"/>
  <c r="U132" i="14"/>
  <c r="U126" i="14"/>
  <c r="U72" i="14"/>
  <c r="U64" i="14"/>
  <c r="U26" i="14"/>
  <c r="U121" i="14"/>
  <c r="U52" i="14"/>
  <c r="U106" i="14"/>
  <c r="U59" i="14"/>
  <c r="U54" i="14"/>
  <c r="U43" i="14"/>
  <c r="U50" i="14"/>
  <c r="U111" i="14"/>
  <c r="U25" i="14"/>
  <c r="U40" i="14"/>
  <c r="U81" i="14"/>
  <c r="U87" i="14"/>
  <c r="U73" i="14"/>
  <c r="U70" i="14"/>
  <c r="U47" i="14"/>
  <c r="U133" i="14"/>
  <c r="U97" i="14"/>
  <c r="U103" i="14"/>
  <c r="U38" i="14"/>
  <c r="U86" i="14"/>
  <c r="U7" i="14"/>
  <c r="U11" i="14"/>
  <c r="U125" i="14"/>
  <c r="U61" i="14"/>
  <c r="U128" i="14"/>
  <c r="U122" i="14"/>
  <c r="U31" i="14"/>
  <c r="U58" i="14"/>
  <c r="U34" i="14"/>
  <c r="U62" i="14"/>
  <c r="U55" i="14"/>
  <c r="U49" i="14"/>
  <c r="U27" i="14"/>
  <c r="U19" i="14"/>
  <c r="U13" i="14"/>
  <c r="U77" i="14"/>
  <c r="U44" i="14"/>
  <c r="U9" i="14"/>
  <c r="U104" i="14"/>
  <c r="U91" i="14"/>
  <c r="U82" i="14"/>
  <c r="U76" i="14"/>
  <c r="U30" i="14"/>
  <c r="U56" i="14"/>
  <c r="U93" i="14"/>
  <c r="U120" i="14"/>
  <c r="U83" i="14"/>
  <c r="U29" i="14"/>
  <c r="U14" i="14"/>
  <c r="U4" i="14"/>
  <c r="U123" i="14"/>
  <c r="U136" i="14"/>
  <c r="U115" i="14"/>
  <c r="U67" i="14"/>
  <c r="U117" i="14"/>
  <c r="U85" i="14"/>
  <c r="U18" i="14"/>
  <c r="U75" i="14"/>
  <c r="U28" i="14"/>
  <c r="U112" i="14"/>
  <c r="U99" i="14"/>
  <c r="U119" i="14"/>
  <c r="U96" i="14"/>
  <c r="U84" i="14"/>
  <c r="U88" i="14"/>
  <c r="X84" i="14"/>
  <c r="X41" i="14"/>
  <c r="X82" i="14"/>
  <c r="X47" i="14"/>
  <c r="X35" i="14"/>
  <c r="X119" i="14"/>
  <c r="X50" i="14"/>
  <c r="X130" i="14"/>
  <c r="X85" i="14"/>
  <c r="X51" i="14"/>
  <c r="X62" i="14"/>
  <c r="X5" i="14"/>
  <c r="X3" i="14"/>
  <c r="X37" i="14"/>
  <c r="X132" i="14"/>
  <c r="X45" i="14"/>
  <c r="X43" i="14"/>
  <c r="X25" i="14"/>
  <c r="X93" i="14"/>
  <c r="X128" i="14"/>
  <c r="X7" i="14"/>
  <c r="X10" i="14"/>
  <c r="X19" i="14"/>
  <c r="X99" i="14"/>
  <c r="X107" i="14"/>
  <c r="X38" i="14"/>
  <c r="X29" i="14"/>
  <c r="X95" i="14"/>
  <c r="X31" i="14"/>
  <c r="X24" i="14"/>
  <c r="X92" i="14"/>
  <c r="X72" i="14"/>
  <c r="X83" i="14"/>
  <c r="X52" i="14"/>
  <c r="X17" i="14"/>
  <c r="X81" i="14"/>
  <c r="X111" i="14"/>
  <c r="X48" i="14"/>
  <c r="X126" i="14"/>
  <c r="X63" i="14"/>
  <c r="X116" i="14"/>
  <c r="X23" i="14"/>
  <c r="X79" i="14"/>
  <c r="X118" i="14"/>
  <c r="X106" i="14"/>
  <c r="X66" i="14"/>
  <c r="X89" i="14"/>
  <c r="X76" i="14"/>
  <c r="X129" i="14"/>
  <c r="X77" i="14"/>
  <c r="X68" i="14"/>
  <c r="X94" i="14"/>
  <c r="X54" i="14"/>
  <c r="X103" i="14"/>
  <c r="X78" i="14"/>
  <c r="X40" i="14"/>
  <c r="X70" i="14"/>
  <c r="X109" i="14"/>
  <c r="X131" i="14"/>
  <c r="X124" i="14"/>
  <c r="X75" i="14"/>
  <c r="X56" i="14"/>
  <c r="X90" i="14"/>
  <c r="X64" i="14"/>
  <c r="X117" i="14"/>
  <c r="X34" i="14"/>
  <c r="X21" i="14"/>
  <c r="X33" i="14"/>
  <c r="X110" i="14"/>
  <c r="X96" i="14"/>
  <c r="X22" i="14"/>
  <c r="X12" i="14"/>
  <c r="X123" i="14"/>
  <c r="X4" i="14"/>
  <c r="X39" i="14"/>
  <c r="X28" i="14"/>
  <c r="X91" i="14"/>
  <c r="X42" i="14"/>
  <c r="X87" i="14"/>
  <c r="X58" i="14"/>
  <c r="X18" i="14"/>
  <c r="X60" i="14"/>
  <c r="X16" i="14"/>
  <c r="X26" i="14"/>
  <c r="X15" i="14"/>
  <c r="X122" i="14"/>
  <c r="X133" i="14"/>
  <c r="X102" i="14"/>
  <c r="X53" i="14"/>
  <c r="X88" i="14"/>
  <c r="X112" i="14"/>
  <c r="X98" i="14"/>
  <c r="X59" i="14"/>
  <c r="X14" i="14"/>
  <c r="X27" i="14"/>
  <c r="X101" i="14"/>
  <c r="X114" i="14"/>
  <c r="X120" i="14"/>
  <c r="X11" i="14"/>
  <c r="X105" i="14"/>
  <c r="X136" i="14"/>
  <c r="X20" i="14"/>
  <c r="X9" i="14"/>
  <c r="X32" i="14"/>
  <c r="X6" i="14"/>
  <c r="X86" i="14"/>
  <c r="X127" i="14"/>
  <c r="X36" i="14"/>
  <c r="X65" i="14"/>
  <c r="X121" i="14"/>
  <c r="X80" i="14"/>
  <c r="X125" i="14"/>
  <c r="X61" i="14"/>
  <c r="X104" i="14"/>
  <c r="X135" i="14"/>
  <c r="X134" i="14"/>
  <c r="X97" i="14"/>
  <c r="X57" i="14"/>
  <c r="X115" i="14"/>
  <c r="X49" i="14"/>
  <c r="X73" i="14"/>
  <c r="X13" i="14"/>
  <c r="X2" i="14"/>
  <c r="X108" i="14"/>
  <c r="X46" i="14"/>
  <c r="X71" i="14"/>
  <c r="X74" i="14"/>
  <c r="X55" i="14"/>
  <c r="X30" i="14"/>
  <c r="X8" i="14"/>
  <c r="X44" i="14"/>
  <c r="X100" i="14"/>
  <c r="X69" i="14"/>
  <c r="X113" i="14"/>
  <c r="X67" i="14"/>
  <c r="T117" i="14"/>
  <c r="T68" i="14"/>
  <c r="T4" i="14"/>
  <c r="T97" i="14"/>
  <c r="T47" i="14"/>
  <c r="T120" i="14"/>
  <c r="T100" i="14"/>
  <c r="T89" i="14"/>
  <c r="T105" i="14"/>
  <c r="T26" i="14"/>
  <c r="T51" i="14"/>
  <c r="T8" i="14"/>
  <c r="T58" i="14"/>
  <c r="T67" i="14"/>
  <c r="T43" i="14"/>
  <c r="T77" i="14"/>
  <c r="T107" i="14"/>
  <c r="T75" i="14"/>
  <c r="T80" i="14"/>
  <c r="T116" i="14"/>
  <c r="T101" i="14"/>
  <c r="T21" i="14"/>
  <c r="T119" i="14"/>
  <c r="T103" i="14"/>
  <c r="T83" i="14"/>
  <c r="T45" i="14"/>
  <c r="T123" i="14"/>
  <c r="T74" i="14"/>
  <c r="T50" i="14"/>
  <c r="T27" i="14"/>
  <c r="T12" i="14"/>
  <c r="T125" i="14"/>
  <c r="T133" i="14"/>
  <c r="T106" i="14"/>
  <c r="T65" i="14"/>
  <c r="T134" i="14"/>
  <c r="T73" i="14"/>
  <c r="T129" i="14"/>
  <c r="T69" i="14"/>
  <c r="T131" i="14"/>
  <c r="T30" i="14"/>
  <c r="T127" i="14"/>
  <c r="T22" i="14"/>
  <c r="T108" i="14"/>
  <c r="T114" i="14"/>
  <c r="T78" i="14"/>
  <c r="T112" i="14"/>
  <c r="T7" i="14"/>
  <c r="T96" i="14"/>
  <c r="T17" i="14"/>
  <c r="T126" i="14"/>
  <c r="T90" i="14"/>
  <c r="T29" i="14"/>
  <c r="T13" i="14"/>
  <c r="T24" i="14"/>
  <c r="T57" i="14"/>
  <c r="T111" i="14"/>
  <c r="T76" i="14"/>
  <c r="T82" i="14"/>
  <c r="T40" i="14"/>
  <c r="T11" i="14"/>
  <c r="T92" i="14"/>
  <c r="T36" i="14"/>
  <c r="T60" i="14"/>
  <c r="T42" i="14"/>
  <c r="T122" i="14"/>
  <c r="T94" i="14"/>
  <c r="T66" i="14"/>
  <c r="T20" i="14"/>
  <c r="T14" i="14"/>
  <c r="T3" i="14"/>
  <c r="T130" i="14"/>
  <c r="T95" i="14"/>
  <c r="T118" i="14"/>
  <c r="T25" i="14"/>
  <c r="T34" i="14"/>
  <c r="T128" i="14"/>
  <c r="T109" i="14"/>
  <c r="T5" i="14"/>
  <c r="T56" i="14"/>
  <c r="T132" i="14"/>
  <c r="T48" i="14"/>
  <c r="T84" i="14"/>
  <c r="T121" i="14"/>
  <c r="T88" i="14"/>
  <c r="T64" i="14"/>
  <c r="T86" i="14"/>
  <c r="T28" i="14"/>
  <c r="T70" i="14"/>
  <c r="T136" i="14"/>
  <c r="T115" i="14"/>
  <c r="T6" i="14"/>
  <c r="T2" i="14"/>
  <c r="T33" i="14"/>
  <c r="T71" i="14"/>
  <c r="T113" i="14"/>
  <c r="T62" i="14"/>
  <c r="T81" i="14"/>
  <c r="T72" i="14"/>
  <c r="T23" i="14"/>
  <c r="T79" i="14"/>
  <c r="T41" i="14"/>
  <c r="T53" i="14"/>
  <c r="T99" i="14"/>
  <c r="T44" i="14"/>
  <c r="T59" i="14"/>
  <c r="T37" i="14"/>
  <c r="T135" i="14"/>
  <c r="T102" i="14"/>
  <c r="T32" i="14"/>
  <c r="T35" i="14"/>
  <c r="T55" i="14"/>
  <c r="T98" i="14"/>
  <c r="T91" i="14"/>
  <c r="T104" i="14"/>
  <c r="T19" i="14"/>
  <c r="T10" i="14"/>
  <c r="T15" i="14"/>
  <c r="T16" i="14"/>
  <c r="T39" i="14"/>
  <c r="T31" i="14"/>
  <c r="T61" i="14"/>
  <c r="T85" i="14"/>
  <c r="T18" i="14"/>
  <c r="T93" i="14"/>
  <c r="T63" i="14"/>
  <c r="T46" i="14"/>
  <c r="T9" i="14"/>
  <c r="T124" i="14"/>
  <c r="T52" i="14"/>
  <c r="T87" i="14"/>
  <c r="T49" i="14"/>
  <c r="T110" i="14"/>
  <c r="T54" i="14"/>
  <c r="T38" i="14"/>
</calcChain>
</file>

<file path=xl/sharedStrings.xml><?xml version="1.0" encoding="utf-8"?>
<sst xmlns="http://schemas.openxmlformats.org/spreadsheetml/2006/main" count="290" uniqueCount="189">
  <si>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</si>
  <si>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</si>
  <si>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</si>
  <si>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</si>
  <si>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</si>
  <si>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</si>
  <si>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</si>
  <si>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</si>
  <si>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</si>
  <si>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</si>
  <si>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</si>
  <si>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</si>
  <si>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</si>
  <si>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</si>
  <si>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</si>
  <si>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</si>
  <si>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</si>
  <si>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</si>
  <si>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</si>
  <si>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</si>
  <si>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</si>
  <si>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</si>
  <si>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</si>
  <si>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</si>
  <si>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</si>
  <si>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</si>
  <si>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</si>
  <si>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</si>
  <si>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</si>
  <si>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</si>
  <si>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</si>
  <si>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</si>
  <si>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</si>
  <si>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</si>
  <si>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</si>
  <si>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</si>
  <si>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</si>
  <si>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</si>
  <si>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</si>
  <si>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</si>
  <si>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</si>
  <si>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</si>
  <si>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</si>
  <si>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</si>
  <si>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</si>
  <si>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</si>
  <si>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</si>
  <si>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</si>
  <si>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</si>
  <si>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</si>
  <si>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</si>
  <si>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</si>
  <si>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</si>
  <si>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</si>
  <si>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</si>
  <si>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</si>
  <si>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</si>
  <si>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</si>
  <si>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</si>
  <si>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</si>
  <si>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</si>
  <si>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</si>
  <si>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</si>
  <si>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</si>
  <si>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</si>
  <si>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</si>
  <si>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</si>
  <si>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</si>
  <si>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</si>
  <si>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</si>
  <si>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</si>
  <si>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</si>
  <si>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</si>
  <si>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</si>
  <si>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</si>
  <si>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</si>
  <si>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</si>
  <si>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</si>
  <si>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</si>
  <si>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</si>
  <si>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</si>
  <si>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</si>
  <si>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</si>
  <si>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</si>
  <si>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</si>
  <si>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</si>
  <si>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</si>
  <si>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</si>
  <si>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</si>
  <si>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</si>
  <si>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</si>
  <si>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</si>
  <si>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</si>
  <si>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</si>
  <si>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</si>
  <si>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</si>
  <si>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</si>
  <si>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</si>
  <si>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</si>
  <si>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</si>
  <si>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</si>
  <si>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</si>
  <si>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</si>
  <si>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</si>
  <si>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</si>
  <si>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</si>
  <si>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</si>
  <si>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</si>
  <si>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</si>
  <si>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</si>
  <si>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</si>
  <si>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</si>
  <si>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</si>
  <si>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</si>
  <si>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</si>
  <si>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</si>
  <si>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</si>
  <si>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</si>
  <si>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</si>
  <si>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</si>
  <si>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</si>
  <si>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</si>
  <si>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</si>
  <si>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</si>
  <si>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</si>
  <si>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</si>
  <si>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</si>
  <si>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</si>
  <si>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</si>
  <si>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</si>
  <si>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</si>
  <si>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</si>
  <si>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</si>
  <si>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</si>
  <si>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</si>
  <si>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</si>
  <si>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</si>
  <si>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</si>
  <si>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</si>
  <si>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</si>
  <si>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</si>
  <si>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</si>
  <si>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</si>
  <si>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</si>
  <si>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</si>
  <si>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</si>
  <si>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</si>
  <si>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</si>
  <si>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</si>
  <si>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</si>
  <si>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</si>
  <si>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</si>
  <si>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</si>
  <si>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</si>
  <si>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M-1=</t>
  </si>
  <si>
    <t>A1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</si>
  <si>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</si>
  <si>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</si>
  <si>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</si>
  <si>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</si>
  <si>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</si>
  <si>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</si>
  <si>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</si>
  <si>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</si>
  <si>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polchar</t>
  </si>
  <si>
    <t>polchroot</t>
  </si>
  <si>
    <t>r</t>
  </si>
  <si>
    <t>M*K=</t>
  </si>
  <si>
    <t>A2</t>
  </si>
  <si>
    <t>A3</t>
  </si>
  <si>
    <t>A4</t>
  </si>
  <si>
    <t>A5</t>
  </si>
  <si>
    <t>A6</t>
  </si>
  <si>
    <t>A7</t>
  </si>
  <si>
    <t>A8</t>
  </si>
  <si>
    <t>Y1</t>
  </si>
  <si>
    <t>Y2</t>
  </si>
  <si>
    <t>Y3</t>
  </si>
  <si>
    <t>Y4</t>
  </si>
  <si>
    <t>Y5</t>
  </si>
  <si>
    <t>Y6</t>
  </si>
  <si>
    <t>Y7</t>
  </si>
  <si>
    <t>Y8</t>
  </si>
  <si>
    <t>A=</t>
  </si>
  <si>
    <t>A(-1)=</t>
  </si>
  <si>
    <t>K</t>
  </si>
  <si>
    <t>Exact</t>
  </si>
  <si>
    <t>Meth. Math.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</si>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</sst>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7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b/>
      <sz val="9"/>
      <color rgb="FF000000"/>
      <name val="Liberation Sans"/>
    </font>
    <font>
      <b/>
      <sz val="8"/>
      <color rgb="FF000000"/>
      <name val="Liberation Sans"/>
    </font>
    <font>
      <sz val="10"/>
      <color rgb="FF000000"/>
      <name val="Courier"/>
      <family val="3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5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11" fontId="15" fillId="0" borderId="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16" fillId="0" borderId="0" xfId="0" applyFont="1"/>
    <xf numFmtId="11" fontId="16" fillId="0" borderId="0" xfId="0" applyNumberFormat="1" applyFon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6208"/>
        <c:axId val="61008128"/>
      </c:barChart>
      <c:catAx>
        <c:axId val="6100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61008128"/>
        <c:crosses val="autoZero"/>
        <c:auto val="1"/>
        <c:lblAlgn val="ctr"/>
        <c:lblOffset val="100"/>
        <c:noMultiLvlLbl val="0"/>
      </c:catAx>
      <c:valAx>
        <c:axId val="6100812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1006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83360"/>
        <c:axId val="75498624"/>
      </c:barChart>
      <c:catAx>
        <c:axId val="7478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75498624"/>
        <c:crosses val="autoZero"/>
        <c:auto val="1"/>
        <c:lblAlgn val="ctr"/>
        <c:lblOffset val="100"/>
        <c:noMultiLvlLbl val="0"/>
      </c:catAx>
      <c:valAx>
        <c:axId val="75498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4783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mod.math.!$T$2:$T$94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18.756454084060483</c:v>
                </c:pt>
                <c:pt idx="2">
                  <c:v>18.475473381827381</c:v>
                </c:pt>
                <c:pt idx="3">
                  <c:v>18.198701905638476</c:v>
                </c:pt>
                <c:pt idx="4">
                  <c:v>17.926076599263393</c:v>
                </c:pt>
                <c:pt idx="5">
                  <c:v>17.657535351084405</c:v>
                </c:pt>
                <c:pt idx="6">
                  <c:v>17.393016979945706</c:v>
                </c:pt>
                <c:pt idx="7">
                  <c:v>17.132461221214609</c:v>
                </c:pt>
                <c:pt idx="8">
                  <c:v>16.875808713051605</c:v>
                </c:pt>
                <c:pt idx="9">
                  <c:v>16.623000982886108</c:v>
                </c:pt>
                <c:pt idx="10">
                  <c:v>16.373980434094737</c:v>
                </c:pt>
                <c:pt idx="11">
                  <c:v>16.128690332879241</c:v>
                </c:pt>
                <c:pt idx="12">
                  <c:v>15.887074795340945</c:v>
                </c:pt>
                <c:pt idx="13">
                  <c:v>15.649078774748851</c:v>
                </c:pt>
                <c:pt idx="14">
                  <c:v>15.414648048998467</c:v>
                </c:pt>
                <c:pt idx="15">
                  <c:v>15.183729208258496</c:v>
                </c:pt>
                <c:pt idx="16">
                  <c:v>14.956269642802608</c:v>
                </c:pt>
                <c:pt idx="17">
                  <c:v>14.732217531023466</c:v>
                </c:pt>
                <c:pt idx="18">
                  <c:v>14.51152182762633</c:v>
                </c:pt>
                <c:pt idx="19">
                  <c:v>14.294132251999532</c:v>
                </c:pt>
                <c:pt idx="20">
                  <c:v>14.079999276759141</c:v>
                </c:pt>
                <c:pt idx="21">
                  <c:v>13.869074116465256</c:v>
                </c:pt>
                <c:pt idx="22">
                  <c:v>13.661308716507328</c:v>
                </c:pt>
                <c:pt idx="23">
                  <c:v>13.456655742155982</c:v>
                </c:pt>
                <c:pt idx="24">
                  <c:v>13.255068567778855</c:v>
                </c:pt>
                <c:pt idx="25">
                  <c:v>13.056501266217976</c:v>
                </c:pt>
                <c:pt idx="26">
                  <c:v>12.86090859832629</c:v>
                </c:pt>
                <c:pt idx="27">
                  <c:v>12.668246002660917</c:v>
                </c:pt>
                <c:pt idx="28">
                  <c:v>12.478469585330824</c:v>
                </c:pt>
                <c:pt idx="29">
                  <c:v>12.291536109996578</c:v>
                </c:pt>
                <c:pt idx="30">
                  <c:v>12.107402988019894</c:v>
                </c:pt>
                <c:pt idx="31">
                  <c:v>11.926028268760779</c:v>
                </c:pt>
                <c:pt idx="32">
                  <c:v>11.747370630019992</c:v>
                </c:pt>
                <c:pt idx="33">
                  <c:v>11.571389368624718</c:v>
                </c:pt>
                <c:pt idx="34">
                  <c:v>11.398044391155235</c:v>
                </c:pt>
                <c:pt idx="35">
                  <c:v>11.227296204810541</c:v>
                </c:pt>
                <c:pt idx="36">
                  <c:v>11.059105908410777</c:v>
                </c:pt>
                <c:pt idx="37">
                  <c:v>10.893435183534468</c:v>
                </c:pt>
                <c:pt idx="38">
                  <c:v>10.730246285788521</c:v>
                </c:pt>
                <c:pt idx="39">
                  <c:v>10.569502036209002</c:v>
                </c:pt>
                <c:pt idx="40">
                  <c:v>10.411165812790738</c:v>
                </c:pt>
                <c:pt idx="41">
                  <c:v>10.255201542143805</c:v>
                </c:pt>
                <c:pt idx="42">
                  <c:v>10.101573691275004</c:v>
                </c:pt>
                <c:pt idx="43">
                  <c:v>9.9502472594924658</c:v>
                </c:pt>
                <c:pt idx="44">
                  <c:v>9.8011877704315182</c:v>
                </c:pt>
                <c:pt idx="45">
                  <c:v>9.6543612642000074</c:v>
                </c:pt>
                <c:pt idx="46">
                  <c:v>9.5097342896413011</c:v>
                </c:pt>
                <c:pt idx="47">
                  <c:v>9.3672738967131757</c:v>
                </c:pt>
                <c:pt idx="48">
                  <c:v>9.2269476289808843</c:v>
                </c:pt>
                <c:pt idx="49">
                  <c:v>9.0887235162226894</c:v>
                </c:pt>
                <c:pt idx="50">
                  <c:v>8.952570067146139</c:v>
                </c:pt>
                <c:pt idx="51">
                  <c:v>8.8184562622134965</c:v>
                </c:pt>
                <c:pt idx="52">
                  <c:v>8.6863515465746097</c:v>
                </c:pt>
                <c:pt idx="53">
                  <c:v>8.5562258231056809</c:v>
                </c:pt>
                <c:pt idx="54">
                  <c:v>8.428049445552297</c:v>
                </c:pt>
                <c:pt idx="55">
                  <c:v>8.3017932117751982</c:v>
                </c:pt>
                <c:pt idx="56">
                  <c:v>8.1774283570972059</c:v>
                </c:pt>
                <c:pt idx="57">
                  <c:v>8.0549265477498491</c:v>
                </c:pt>
                <c:pt idx="58">
                  <c:v>7.9342598744181236</c:v>
                </c:pt>
                <c:pt idx="59">
                  <c:v>7.815400845881995</c:v>
                </c:pt>
                <c:pt idx="60">
                  <c:v>7.69832238275312</c:v>
                </c:pt>
                <c:pt idx="61">
                  <c:v>7.5829978113054191</c:v>
                </c:pt>
                <c:pt idx="62">
                  <c:v>7.4694008573980515</c:v>
                </c:pt>
                <c:pt idx="63">
                  <c:v>7.357505640489447</c:v>
                </c:pt>
                <c:pt idx="64">
                  <c:v>7.2472866677409904</c:v>
                </c:pt>
                <c:pt idx="65">
                  <c:v>7.1387188282090515</c:v>
                </c:pt>
                <c:pt idx="66">
                  <c:v>7.0317773871240101</c:v>
                </c:pt>
                <c:pt idx="67">
                  <c:v>6.92643798025499</c:v>
                </c:pt>
                <c:pt idx="68">
                  <c:v>6.8226766083590098</c:v>
                </c:pt>
                <c:pt idx="69">
                  <c:v>6.7204696317132901</c:v>
                </c:pt>
                <c:pt idx="70">
                  <c:v>6.6197937647294669</c:v>
                </c:pt>
                <c:pt idx="71">
                  <c:v>6.5206260706484924</c:v>
                </c:pt>
                <c:pt idx="72">
                  <c:v>6.422943956314989</c:v>
                </c:pt>
                <c:pt idx="73">
                  <c:v>6.326725167029922</c:v>
                </c:pt>
                <c:pt idx="74">
                  <c:v>6.231947781480347</c:v>
                </c:pt>
                <c:pt idx="75">
                  <c:v>6.1385902067451292</c:v>
                </c:pt>
                <c:pt idx="76">
                  <c:v>6.0466311733754754</c:v>
                </c:pt>
                <c:pt idx="77">
                  <c:v>5.9560497305491671</c:v>
                </c:pt>
                <c:pt idx="78">
                  <c:v>5.8668252412973754</c:v>
                </c:pt>
                <c:pt idx="79">
                  <c:v>5.7789373778029889</c:v>
                </c:pt>
                <c:pt idx="80">
                  <c:v>5.6923661167693753</c:v>
                </c:pt>
                <c:pt idx="81">
                  <c:v>5.6070917348585096</c:v>
                </c:pt>
                <c:pt idx="82">
                  <c:v>5.523094804197461</c:v>
                </c:pt>
                <c:pt idx="83">
                  <c:v>5.4403561879521769</c:v>
                </c:pt>
                <c:pt idx="84">
                  <c:v>5.3588570359675769</c:v>
                </c:pt>
                <c:pt idx="85">
                  <c:v>5.2785787804729756</c:v>
                </c:pt>
                <c:pt idx="86">
                  <c:v>5.1995031318518175</c:v>
                </c:pt>
                <c:pt idx="87">
                  <c:v>5.1216120744748004</c:v>
                </c:pt>
                <c:pt idx="88">
                  <c:v>5.0448878625954139</c:v>
                </c:pt>
                <c:pt idx="89">
                  <c:v>4.969313016306959</c:v>
                </c:pt>
                <c:pt idx="90">
                  <c:v>4.8948703175601533</c:v>
                </c:pt>
                <c:pt idx="91">
                  <c:v>4.8215428062403651</c:v>
                </c:pt>
                <c:pt idx="92">
                  <c:v>4.7493137763036426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63424"/>
        <c:axId val="84173184"/>
      </c:scatterChart>
      <c:valAx>
        <c:axId val="8386342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4173184"/>
        <c:crosses val="autoZero"/>
        <c:crossBetween val="midCat"/>
      </c:valAx>
      <c:valAx>
        <c:axId val="84173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3863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mod.math.!$U$2:$U$94</c:f>
              <c:numCache>
                <c:formatCode>0.00</c:formatCode>
                <c:ptCount val="93"/>
                <c:pt idx="0">
                  <c:v>3461.582080376133</c:v>
                </c:pt>
                <c:pt idx="1">
                  <c:v>3456.2578200755306</c:v>
                </c:pt>
                <c:pt idx="2">
                  <c:v>3450.8815096753633</c:v>
                </c:pt>
                <c:pt idx="3">
                  <c:v>3445.4544850796105</c:v>
                </c:pt>
                <c:pt idx="4">
                  <c:v>3439.978056832434</c:v>
                </c:pt>
                <c:pt idx="5">
                  <c:v>3434.4535105825639</c:v>
                </c:pt>
                <c:pt idx="6">
                  <c:v>3428.8821075392261</c:v>
                </c:pt>
                <c:pt idx="7">
                  <c:v>3423.2650849197771</c:v>
                </c:pt>
                <c:pt idx="8">
                  <c:v>3417.6036563891876</c:v>
                </c:pt>
                <c:pt idx="9">
                  <c:v>3411.8990124915317</c:v>
                </c:pt>
                <c:pt idx="10">
                  <c:v>3406.15232107362</c:v>
                </c:pt>
                <c:pt idx="11">
                  <c:v>3400.364727700919</c:v>
                </c:pt>
                <c:pt idx="12">
                  <c:v>3394.5373560659064</c:v>
                </c:pt>
                <c:pt idx="13">
                  <c:v>3388.6713083889854</c:v>
                </c:pt>
                <c:pt idx="14">
                  <c:v>3382.7676658121059</c:v>
                </c:pt>
                <c:pt idx="15">
                  <c:v>3376.8274887852176</c:v>
                </c:pt>
                <c:pt idx="16">
                  <c:v>3370.8518174456899</c:v>
                </c:pt>
                <c:pt idx="17">
                  <c:v>3364.84167199082</c:v>
                </c:pt>
                <c:pt idx="18">
                  <c:v>3358.7980530435625</c:v>
                </c:pt>
                <c:pt idx="19">
                  <c:v>3352.7219420115985</c:v>
                </c:pt>
                <c:pt idx="20">
                  <c:v>3346.6143014398667</c:v>
                </c:pt>
                <c:pt idx="21">
                  <c:v>3340.4760753566757</c:v>
                </c:pt>
                <c:pt idx="22">
                  <c:v>3334.3081896135132</c:v>
                </c:pt>
                <c:pt idx="23">
                  <c:v>3328.1115522186669</c:v>
                </c:pt>
                <c:pt idx="24">
                  <c:v>3321.8870536647723</c:v>
                </c:pt>
                <c:pt idx="25">
                  <c:v>3315.6355672503914</c:v>
                </c:pt>
                <c:pt idx="26">
                  <c:v>3309.3579493957373</c:v>
                </c:pt>
                <c:pt idx="27">
                  <c:v>3303.0550399526473</c:v>
                </c:pt>
                <c:pt idx="28">
                  <c:v>3296.7276625089098</c:v>
                </c:pt>
                <c:pt idx="29">
                  <c:v>3290.3766246870528</c:v>
                </c:pt>
                <c:pt idx="30">
                  <c:v>3284.0027184376786</c:v>
                </c:pt>
                <c:pt idx="31">
                  <c:v>3277.6067203274702</c:v>
                </c:pt>
                <c:pt idx="32">
                  <c:v>3271.1893918219348</c:v>
                </c:pt>
                <c:pt idx="33">
                  <c:v>3264.7514795630123</c:v>
                </c:pt>
                <c:pt idx="34">
                  <c:v>3258.2937156416119</c:v>
                </c:pt>
                <c:pt idx="35">
                  <c:v>3251.8168178651945</c:v>
                </c:pt>
                <c:pt idx="36">
                  <c:v>3245.3214900204707</c:v>
                </c:pt>
                <c:pt idx="37">
                  <c:v>3238.8084221313197</c:v>
                </c:pt>
                <c:pt idx="38">
                  <c:v>3232.2782907120045</c:v>
                </c:pt>
                <c:pt idx="39">
                  <c:v>3225.7317590157704</c:v>
                </c:pt>
                <c:pt idx="40">
                  <c:v>3219.1694772789215</c:v>
                </c:pt>
                <c:pt idx="41">
                  <c:v>3212.5920829604365</c:v>
                </c:pt>
                <c:pt idx="42">
                  <c:v>3206.0002009772334</c:v>
                </c:pt>
                <c:pt idx="43">
                  <c:v>3199.3944439351299</c:v>
                </c:pt>
                <c:pt idx="44">
                  <c:v>3192.7754123556051</c:v>
                </c:pt>
                <c:pt idx="45">
                  <c:v>3186.1436948984251</c:v>
                </c:pt>
                <c:pt idx="46">
                  <c:v>3179.4998685802066</c:v>
                </c:pt>
                <c:pt idx="47">
                  <c:v>3172.8444989890031</c:v>
                </c:pt>
                <c:pt idx="48">
                  <c:v>3166.1781404949738</c:v>
                </c:pt>
                <c:pt idx="49">
                  <c:v>3159.5013364572114</c:v>
                </c:pt>
                <c:pt idx="50">
                  <c:v>3152.8146194268033</c:v>
                </c:pt>
                <c:pt idx="51">
                  <c:v>3146.1185113461866</c:v>
                </c:pt>
                <c:pt idx="52">
                  <c:v>3139.41352374487</c:v>
                </c:pt>
                <c:pt idx="53">
                  <c:v>3132.7001579315847</c:v>
                </c:pt>
                <c:pt idx="54">
                  <c:v>3125.9789051829339</c:v>
                </c:pt>
                <c:pt idx="55">
                  <c:v>3119.2502469285987</c:v>
                </c:pt>
                <c:pt idx="56">
                  <c:v>3112.5146549331694</c:v>
                </c:pt>
                <c:pt idx="57">
                  <c:v>3105.7725914746602</c:v>
                </c:pt>
                <c:pt idx="58">
                  <c:v>3099.0245095197624</c:v>
                </c:pt>
                <c:pt idx="59">
                  <c:v>3092.2708528959088</c:v>
                </c:pt>
                <c:pt idx="60">
                  <c:v>3085.512056460193</c:v>
                </c:pt>
                <c:pt idx="61">
                  <c:v>3078.7485462652135</c:v>
                </c:pt>
                <c:pt idx="62">
                  <c:v>3071.9807397218819</c:v>
                </c:pt>
                <c:pt idx="63">
                  <c:v>3065.2090457592735</c:v>
                </c:pt>
                <c:pt idx="64">
                  <c:v>3058.43386498155</c:v>
                </c:pt>
                <c:pt idx="65">
                  <c:v>3051.6555898220263</c:v>
                </c:pt>
                <c:pt idx="66">
                  <c:v>3044.8746046944216</c:v>
                </c:pt>
                <c:pt idx="67">
                  <c:v>3038.0912861413522</c:v>
                </c:pt>
                <c:pt idx="68">
                  <c:v>3031.3060029801159</c:v>
                </c:pt>
                <c:pt idx="69">
                  <c:v>3024.5191164458083</c:v>
                </c:pt>
                <c:pt idx="70">
                  <c:v>3017.7309803318385</c:v>
                </c:pt>
                <c:pt idx="71">
                  <c:v>3010.94194112787</c:v>
                </c:pt>
                <c:pt idx="72">
                  <c:v>3004.1523381552443</c:v>
                </c:pt>
                <c:pt idx="73">
                  <c:v>2997.3625036999433</c:v>
                </c:pt>
                <c:pt idx="74">
                  <c:v>2990.572763143105</c:v>
                </c:pt>
                <c:pt idx="75">
                  <c:v>2983.7834350891767</c:v>
                </c:pt>
                <c:pt idx="76">
                  <c:v>2976.9948314917124</c:v>
                </c:pt>
                <c:pt idx="77">
                  <c:v>2970.2072577768804</c:v>
                </c:pt>
                <c:pt idx="78">
                  <c:v>2963.4210129647154</c:v>
                </c:pt>
                <c:pt idx="79">
                  <c:v>2956.6363897881547</c:v>
                </c:pt>
                <c:pt idx="80">
                  <c:v>2949.8536748098986</c:v>
                </c:pt>
                <c:pt idx="81">
                  <c:v>2943.0731485371398</c:v>
                </c:pt>
                <c:pt idx="82">
                  <c:v>2936.2950855341946</c:v>
                </c:pt>
                <c:pt idx="83">
                  <c:v>2929.5197545330789</c:v>
                </c:pt>
                <c:pt idx="84">
                  <c:v>2922.7474185420588</c:v>
                </c:pt>
                <c:pt idx="85">
                  <c:v>2915.9783349522263</c:v>
                </c:pt>
                <c:pt idx="86">
                  <c:v>2909.2127556421192</c:v>
                </c:pt>
                <c:pt idx="87">
                  <c:v>2902.4509270804333</c:v>
                </c:pt>
                <c:pt idx="88">
                  <c:v>2895.6930904268593</c:v>
                </c:pt>
                <c:pt idx="89">
                  <c:v>2888.9394816310728</c:v>
                </c:pt>
                <c:pt idx="90">
                  <c:v>2882.1903315299169</c:v>
                </c:pt>
                <c:pt idx="91">
                  <c:v>2875.4458659428092</c:v>
                </c:pt>
                <c:pt idx="92">
                  <c:v>2868.7063057654036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77600"/>
        <c:axId val="86450176"/>
      </c:scatterChart>
      <c:valAx>
        <c:axId val="8637760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6450176"/>
        <c:crosses val="autoZero"/>
        <c:crossBetween val="midCat"/>
      </c:valAx>
      <c:valAx>
        <c:axId val="86450176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37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mod.math.!$V$2:$V$94</c:f>
              <c:numCache>
                <c:formatCode>0.00</c:formatCode>
                <c:ptCount val="93"/>
                <c:pt idx="0">
                  <c:v>1154.5288235649405</c:v>
                </c:pt>
                <c:pt idx="1">
                  <c:v>1159.3325357283957</c:v>
                </c:pt>
                <c:pt idx="2">
                  <c:v>1164.0818898804214</c:v>
                </c:pt>
                <c:pt idx="3">
                  <c:v>1168.7770796442351</c:v>
                </c:pt>
                <c:pt idx="4">
                  <c:v>1173.4183022469758</c:v>
                </c:pt>
                <c:pt idx="5">
                  <c:v>1178.0057583994196</c:v>
                </c:pt>
                <c:pt idx="6">
                  <c:v>1182.5396521782793</c:v>
                </c:pt>
                <c:pt idx="7">
                  <c:v>1187.0201909110476</c:v>
                </c:pt>
                <c:pt idx="8">
                  <c:v>1191.4475850633282</c:v>
                </c:pt>
                <c:pt idx="9">
                  <c:v>1195.8220481286114</c:v>
                </c:pt>
                <c:pt idx="10">
                  <c:v>1200.1437965204427</c:v>
                </c:pt>
                <c:pt idx="11">
                  <c:v>1204.4130494669409</c:v>
                </c:pt>
                <c:pt idx="12">
                  <c:v>1208.6300289076191</c:v>
                </c:pt>
                <c:pt idx="13">
                  <c:v>1212.7949593924657</c:v>
                </c:pt>
                <c:pt idx="14">
                  <c:v>1216.9080679832359</c:v>
                </c:pt>
                <c:pt idx="15">
                  <c:v>1220.9695841569214</c:v>
                </c:pt>
                <c:pt idx="16">
                  <c:v>1224.9797397113418</c:v>
                </c:pt>
                <c:pt idx="17">
                  <c:v>1228.9387686728323</c:v>
                </c:pt>
                <c:pt idx="18">
                  <c:v>1232.8469072059718</c:v>
                </c:pt>
                <c:pt idx="19">
                  <c:v>1236.7043935253218</c:v>
                </c:pt>
                <c:pt idx="20">
                  <c:v>1240.5114678091343</c:v>
                </c:pt>
                <c:pt idx="21">
                  <c:v>1244.2683721149872</c:v>
                </c:pt>
                <c:pt idx="22">
                  <c:v>1247.9753502973149</c:v>
                </c:pt>
                <c:pt idx="23">
                  <c:v>1251.6326479267907</c:v>
                </c:pt>
                <c:pt idx="24">
                  <c:v>1255.2405122115317</c:v>
                </c:pt>
                <c:pt idx="25">
                  <c:v>1258.7991919200854</c:v>
                </c:pt>
                <c:pt idx="26">
                  <c:v>1262.3089373061619</c:v>
                </c:pt>
                <c:pt idx="27">
                  <c:v>1265.7700000350883</c:v>
                </c:pt>
                <c:pt idx="28">
                  <c:v>1269.1826331119319</c:v>
                </c:pt>
                <c:pt idx="29">
                  <c:v>1272.5470908112829</c:v>
                </c:pt>
                <c:pt idx="30">
                  <c:v>1275.8636286086419</c:v>
                </c:pt>
                <c:pt idx="31">
                  <c:v>1279.1325031133968</c:v>
                </c:pt>
                <c:pt idx="32">
                  <c:v>1282.3539720033489</c:v>
                </c:pt>
                <c:pt idx="33">
                  <c:v>1285.5282939607637</c:v>
                </c:pt>
                <c:pt idx="34">
                  <c:v>1288.6557286099055</c:v>
                </c:pt>
                <c:pt idx="35">
                  <c:v>1291.7365364560428</c:v>
                </c:pt>
                <c:pt idx="36">
                  <c:v>1294.7709788258819</c:v>
                </c:pt>
                <c:pt idx="37">
                  <c:v>1297.7593178094023</c:v>
                </c:pt>
                <c:pt idx="38">
                  <c:v>1300.7018162030765</c:v>
                </c:pt>
                <c:pt idx="39">
                  <c:v>1303.5987374544293</c:v>
                </c:pt>
                <c:pt idx="40">
                  <c:v>1306.4503456079285</c:v>
                </c:pt>
                <c:pt idx="41">
                  <c:v>1309.256905252166</c:v>
                </c:pt>
                <c:pt idx="42">
                  <c:v>1312.0186814683095</c:v>
                </c:pt>
                <c:pt idx="43">
                  <c:v>1314.7359397798043</c:v>
                </c:pt>
                <c:pt idx="44">
                  <c:v>1317.4089461032859</c:v>
                </c:pt>
                <c:pt idx="45">
                  <c:v>1320.0379667006994</c:v>
                </c:pt>
                <c:pt idx="46">
                  <c:v>1322.6232681325794</c:v>
                </c:pt>
                <c:pt idx="47">
                  <c:v>1325.1651172124873</c:v>
                </c:pt>
                <c:pt idx="48">
                  <c:v>1327.6637809625688</c:v>
                </c:pt>
                <c:pt idx="49">
                  <c:v>1330.1195265702156</c:v>
                </c:pt>
                <c:pt idx="50">
                  <c:v>1332.5326213458056</c:v>
                </c:pt>
                <c:pt idx="51">
                  <c:v>1334.9033326815043</c:v>
                </c:pt>
                <c:pt idx="52">
                  <c:v>1337.231928011103</c:v>
                </c:pt>
                <c:pt idx="53">
                  <c:v>1339.518674770871</c:v>
                </c:pt>
                <c:pt idx="54">
                  <c:v>1341.763840361408</c:v>
                </c:pt>
                <c:pt idx="55">
                  <c:v>1343.9676921104654</c:v>
                </c:pt>
                <c:pt idx="56">
                  <c:v>1346.1304972367298</c:v>
                </c:pt>
                <c:pt idx="57">
                  <c:v>1348.2525228145412</c:v>
                </c:pt>
                <c:pt idx="58">
                  <c:v>1350.3340357395261</c:v>
                </c:pt>
                <c:pt idx="59">
                  <c:v>1352.3753026951299</c:v>
                </c:pt>
                <c:pt idx="60">
                  <c:v>1354.3765901200341</c:v>
                </c:pt>
                <c:pt idx="61">
                  <c:v>1356.3381641764306</c:v>
                </c:pt>
                <c:pt idx="62">
                  <c:v>1358.2602907191408</c:v>
                </c:pt>
                <c:pt idx="63">
                  <c:v>1360.143235265567</c:v>
                </c:pt>
                <c:pt idx="64">
                  <c:v>1361.9872629664494</c:v>
                </c:pt>
                <c:pt idx="65">
                  <c:v>1363.7926385774181</c:v>
                </c:pt>
                <c:pt idx="66">
                  <c:v>1365.5596264313253</c:v>
                </c:pt>
                <c:pt idx="67">
                  <c:v>1367.2884904113339</c:v>
                </c:pt>
                <c:pt idx="68">
                  <c:v>1368.979493924757</c:v>
                </c:pt>
                <c:pt idx="69">
                  <c:v>1370.6328998776223</c:v>
                </c:pt>
                <c:pt idx="70">
                  <c:v>1372.248970649958</c:v>
                </c:pt>
                <c:pt idx="71">
                  <c:v>1373.8279680717746</c:v>
                </c:pt>
                <c:pt idx="72">
                  <c:v>1375.3701533997298</c:v>
                </c:pt>
                <c:pt idx="73">
                  <c:v>1376.8757872944745</c:v>
                </c:pt>
                <c:pt idx="74">
                  <c:v>1378.3451297986455</c:v>
                </c:pt>
                <c:pt idx="75">
                  <c:v>1379.7784403155092</c:v>
                </c:pt>
                <c:pt idx="76">
                  <c:v>1381.1759775882315</c:v>
                </c:pt>
                <c:pt idx="77">
                  <c:v>1382.5379996797683</c:v>
                </c:pt>
                <c:pt idx="78">
                  <c:v>1383.8647639533556</c:v>
                </c:pt>
                <c:pt idx="79">
                  <c:v>1385.1565270535943</c:v>
                </c:pt>
                <c:pt idx="80">
                  <c:v>1386.4135448881143</c:v>
                </c:pt>
                <c:pt idx="81">
                  <c:v>1387.636072609801</c:v>
                </c:pt>
                <c:pt idx="82">
                  <c:v>1388.8243645995824</c:v>
                </c:pt>
                <c:pt idx="83">
                  <c:v>1389.9786744497528</c:v>
                </c:pt>
                <c:pt idx="84">
                  <c:v>1391.099254947834</c:v>
                </c:pt>
                <c:pt idx="85">
                  <c:v>1392.1863580609518</c:v>
                </c:pt>
                <c:pt idx="86">
                  <c:v>1393.2402349207225</c:v>
                </c:pt>
                <c:pt idx="87">
                  <c:v>1394.2611358086394</c:v>
                </c:pt>
                <c:pt idx="88">
                  <c:v>1395.2493101419439</c:v>
                </c:pt>
                <c:pt idx="89">
                  <c:v>1396.2050064599769</c:v>
                </c:pt>
                <c:pt idx="90">
                  <c:v>1397.128472410991</c:v>
                </c:pt>
                <c:pt idx="91">
                  <c:v>1398.0199547394261</c:v>
                </c:pt>
                <c:pt idx="92">
                  <c:v>1398.8796992736266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69568"/>
        <c:axId val="88964096"/>
      </c:scatterChart>
      <c:valAx>
        <c:axId val="8826956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8964096"/>
        <c:crosses val="autoZero"/>
        <c:crossBetween val="midCat"/>
      </c:valAx>
      <c:valAx>
        <c:axId val="88964096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8269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mod.math.!$W$2:$W$94</c:f>
              <c:numCache>
                <c:formatCode>0.00</c:formatCode>
                <c:ptCount val="93"/>
                <c:pt idx="0">
                  <c:v>241.52903340204068</c:v>
                </c:pt>
                <c:pt idx="1">
                  <c:v>239.19737987234839</c:v>
                </c:pt>
                <c:pt idx="2">
                  <c:v>236.94721362752381</c:v>
                </c:pt>
                <c:pt idx="3">
                  <c:v>234.77610355420589</c:v>
                </c:pt>
                <c:pt idx="4">
                  <c:v>232.6816858046675</c:v>
                </c:pt>
                <c:pt idx="5">
                  <c:v>230.66166196877316</c:v>
                </c:pt>
                <c:pt idx="6">
                  <c:v>228.7137972955336</c:v>
                </c:pt>
                <c:pt idx="7">
                  <c:v>226.83591896290719</c:v>
                </c:pt>
                <c:pt idx="8">
                  <c:v>225.02591439453829</c:v>
                </c:pt>
                <c:pt idx="9">
                  <c:v>223.28172962215604</c:v>
                </c:pt>
                <c:pt idx="10">
                  <c:v>221.60136769239398</c:v>
                </c:pt>
                <c:pt idx="11">
                  <c:v>219.98288711682176</c:v>
                </c:pt>
                <c:pt idx="12">
                  <c:v>218.42440036401626</c:v>
                </c:pt>
                <c:pt idx="13">
                  <c:v>216.92407239252853</c:v>
                </c:pt>
                <c:pt idx="14">
                  <c:v>215.48011922363727</c:v>
                </c:pt>
                <c:pt idx="15">
                  <c:v>214.09080655280562</c:v>
                </c:pt>
                <c:pt idx="16">
                  <c:v>212.75444839879219</c:v>
                </c:pt>
                <c:pt idx="17">
                  <c:v>211.46940578939135</c:v>
                </c:pt>
                <c:pt idx="18">
                  <c:v>210.23408548281009</c:v>
                </c:pt>
                <c:pt idx="19">
                  <c:v>209.04693872371087</c:v>
                </c:pt>
                <c:pt idx="20">
                  <c:v>207.90646003298161</c:v>
                </c:pt>
                <c:pt idx="21">
                  <c:v>206.81118603031507</c:v>
                </c:pt>
                <c:pt idx="22">
                  <c:v>205.75969428870749</c:v>
                </c:pt>
                <c:pt idx="23">
                  <c:v>204.75060222000931</c:v>
                </c:pt>
                <c:pt idx="24">
                  <c:v>203.78256599068479</c:v>
                </c:pt>
                <c:pt idx="25">
                  <c:v>202.85427946696151</c:v>
                </c:pt>
                <c:pt idx="26">
                  <c:v>201.96447318856971</c:v>
                </c:pt>
                <c:pt idx="27">
                  <c:v>201.11191337029751</c:v>
                </c:pt>
                <c:pt idx="28">
                  <c:v>200.29540093060504</c:v>
                </c:pt>
                <c:pt idx="29">
                  <c:v>199.51377054656501</c:v>
                </c:pt>
                <c:pt idx="30">
                  <c:v>198.76588973441244</c:v>
                </c:pt>
                <c:pt idx="31">
                  <c:v>198.05065795501218</c:v>
                </c:pt>
                <c:pt idx="32">
                  <c:v>197.36700574356425</c:v>
                </c:pt>
                <c:pt idx="33">
                  <c:v>196.7138938628915</c:v>
                </c:pt>
                <c:pt idx="34">
                  <c:v>196.09031247966925</c:v>
                </c:pt>
                <c:pt idx="35">
                  <c:v>195.49528036297426</c:v>
                </c:pt>
                <c:pt idx="36">
                  <c:v>194.92784410454743</c:v>
                </c:pt>
                <c:pt idx="37">
                  <c:v>194.38707736018091</c:v>
                </c:pt>
                <c:pt idx="38">
                  <c:v>193.87208011165768</c:v>
                </c:pt>
                <c:pt idx="39">
                  <c:v>193.38197794868444</c:v>
                </c:pt>
                <c:pt idx="40">
                  <c:v>192.91592137027669</c:v>
                </c:pt>
                <c:pt idx="41">
                  <c:v>192.47308510506826</c:v>
                </c:pt>
                <c:pt idx="42">
                  <c:v>192.05266745003124</c:v>
                </c:pt>
                <c:pt idx="43">
                  <c:v>191.6538896271087</c:v>
                </c:pt>
                <c:pt idx="44">
                  <c:v>191.27599515727232</c:v>
                </c:pt>
                <c:pt idx="45">
                  <c:v>190.91824925153429</c:v>
                </c:pt>
                <c:pt idx="46">
                  <c:v>190.57993821845264</c:v>
                </c:pt>
                <c:pt idx="47">
                  <c:v>190.26036888768354</c:v>
                </c:pt>
                <c:pt idx="48">
                  <c:v>189.95886804914534</c:v>
                </c:pt>
                <c:pt idx="49">
                  <c:v>189.67478190737069</c:v>
                </c:pt>
                <c:pt idx="50">
                  <c:v>189.40747555063587</c:v>
                </c:pt>
                <c:pt idx="51">
                  <c:v>189.15633243446635</c:v>
                </c:pt>
                <c:pt idx="52">
                  <c:v>188.92075387912854</c:v>
                </c:pt>
                <c:pt idx="53">
                  <c:v>188.70015858073009</c:v>
                </c:pt>
                <c:pt idx="54">
                  <c:v>188.49398213555818</c:v>
                </c:pt>
                <c:pt idx="55">
                  <c:v>188.30167657729854</c:v>
                </c:pt>
                <c:pt idx="56">
                  <c:v>188.12270992678521</c:v>
                </c:pt>
                <c:pt idx="57">
                  <c:v>187.95656575394295</c:v>
                </c:pt>
                <c:pt idx="58">
                  <c:v>187.80274275158962</c:v>
                </c:pt>
                <c:pt idx="59">
                  <c:v>187.66075432077994</c:v>
                </c:pt>
                <c:pt idx="60">
                  <c:v>187.53012816737632</c:v>
                </c:pt>
                <c:pt idx="61">
                  <c:v>187.4104059095431</c:v>
                </c:pt>
                <c:pt idx="62">
                  <c:v>187.30114269586835</c:v>
                </c:pt>
                <c:pt idx="63">
                  <c:v>187.201906833826</c:v>
                </c:pt>
                <c:pt idx="64">
                  <c:v>187.112279428297</c:v>
                </c:pt>
                <c:pt idx="65">
                  <c:v>187.03185402987867</c:v>
                </c:pt>
                <c:pt idx="66">
                  <c:v>186.96023629271616</c:v>
                </c:pt>
                <c:pt idx="67">
                  <c:v>186.89704364159846</c:v>
                </c:pt>
                <c:pt idx="68">
                  <c:v>186.84190494806882</c:v>
                </c:pt>
                <c:pt idx="69">
                  <c:v>186.79446021530433</c:v>
                </c:pt>
                <c:pt idx="70">
                  <c:v>186.75436027152841</c:v>
                </c:pt>
                <c:pt idx="71">
                  <c:v>186.72126647172539</c:v>
                </c:pt>
                <c:pt idx="72">
                  <c:v>186.69485040743029</c:v>
                </c:pt>
                <c:pt idx="73">
                  <c:v>186.67479362437948</c:v>
                </c:pt>
                <c:pt idx="74">
                  <c:v>186.66078734780447</c:v>
                </c:pt>
                <c:pt idx="75">
                  <c:v>186.65253221516684</c:v>
                </c:pt>
                <c:pt idx="76">
                  <c:v>186.64973801612885</c:v>
                </c:pt>
                <c:pt idx="77">
                  <c:v>186.65212343956716</c:v>
                </c:pt>
                <c:pt idx="78">
                  <c:v>186.65941582743716</c:v>
                </c:pt>
                <c:pt idx="79">
                  <c:v>186.67135093530376</c:v>
                </c:pt>
                <c:pt idx="80">
                  <c:v>186.68767269935748</c:v>
                </c:pt>
                <c:pt idx="81">
                  <c:v>186.70813300974092</c:v>
                </c:pt>
                <c:pt idx="82">
                  <c:v>186.73249149001529</c:v>
                </c:pt>
                <c:pt idx="83">
                  <c:v>186.7605152826001</c:v>
                </c:pt>
                <c:pt idx="84">
                  <c:v>186.79197884002465</c:v>
                </c:pt>
                <c:pt idx="85">
                  <c:v>186.8266637218361</c:v>
                </c:pt>
                <c:pt idx="86">
                  <c:v>186.86435839700704</c:v>
                </c:pt>
                <c:pt idx="87">
                  <c:v>186.90485805169897</c:v>
                </c:pt>
                <c:pt idx="88">
                  <c:v>186.94796440223271</c:v>
                </c:pt>
                <c:pt idx="89">
                  <c:v>186.99348551312767</c:v>
                </c:pt>
                <c:pt idx="90">
                  <c:v>187.04123562007101</c:v>
                </c:pt>
                <c:pt idx="91">
                  <c:v>187.09103495768579</c:v>
                </c:pt>
                <c:pt idx="92">
                  <c:v>187.1427095919656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3952"/>
        <c:axId val="110029440"/>
      </c:scatterChart>
      <c:valAx>
        <c:axId val="10713395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0029440"/>
        <c:crosses val="autoZero"/>
        <c:crossBetween val="midCat"/>
      </c:valAx>
      <c:valAx>
        <c:axId val="110029440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7133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mod.math.!$X$2:$X$94</c:f>
              <c:numCache>
                <c:formatCode>0.00</c:formatCode>
                <c:ptCount val="93"/>
                <c:pt idx="0">
                  <c:v>82.180003066254699</c:v>
                </c:pt>
                <c:pt idx="1">
                  <c:v>82.677242875249476</c:v>
                </c:pt>
                <c:pt idx="2">
                  <c:v>83.163231226244704</c:v>
                </c:pt>
                <c:pt idx="3">
                  <c:v>83.638308819265603</c:v>
                </c:pt>
                <c:pt idx="4">
                  <c:v>84.102806532346904</c:v>
                </c:pt>
                <c:pt idx="5">
                  <c:v>84.557045687099958</c:v>
                </c:pt>
                <c:pt idx="6">
                  <c:v>85.001338307226831</c:v>
                </c:pt>
                <c:pt idx="7">
                  <c:v>85.435987370175326</c:v>
                </c:pt>
                <c:pt idx="8">
                  <c:v>85.861287052120247</c:v>
                </c:pt>
                <c:pt idx="9">
                  <c:v>86.277522966441438</c:v>
                </c:pt>
                <c:pt idx="10">
                  <c:v>86.684972395875889</c:v>
                </c:pt>
                <c:pt idx="11">
                  <c:v>87.08390451851335</c:v>
                </c:pt>
                <c:pt idx="12">
                  <c:v>87.474580627792136</c:v>
                </c:pt>
                <c:pt idx="13">
                  <c:v>87.857254346665115</c:v>
                </c:pt>
                <c:pt idx="14">
                  <c:v>88.232171836080454</c:v>
                </c:pt>
                <c:pt idx="15">
                  <c:v>88.599571997936039</c:v>
                </c:pt>
                <c:pt idx="16">
                  <c:v>88.959686672647877</c:v>
                </c:pt>
                <c:pt idx="17">
                  <c:v>89.312740831482188</c:v>
                </c:pt>
                <c:pt idx="18">
                  <c:v>89.65895276378302</c:v>
                </c:pt>
                <c:pt idx="19">
                  <c:v>89.998534259236862</c:v>
                </c:pt>
                <c:pt idx="20">
                  <c:v>90.331690785303579</c:v>
                </c:pt>
                <c:pt idx="21">
                  <c:v>90.658621659939797</c:v>
                </c:pt>
                <c:pt idx="22">
                  <c:v>90.979520219742881</c:v>
                </c:pt>
                <c:pt idx="23">
                  <c:v>91.294573983638543</c:v>
                </c:pt>
                <c:pt idx="24">
                  <c:v>91.60396481222017</c:v>
                </c:pt>
                <c:pt idx="25">
                  <c:v>91.907869062870304</c:v>
                </c:pt>
                <c:pt idx="26">
                  <c:v>92.206457740763199</c:v>
                </c:pt>
                <c:pt idx="27">
                  <c:v>92.499896645862918</c:v>
                </c:pt>
                <c:pt idx="28">
                  <c:v>92.788346516025058</c:v>
                </c:pt>
                <c:pt idx="29">
                  <c:v>93.071963166299781</c:v>
                </c:pt>
                <c:pt idx="30">
                  <c:v>93.350897624541687</c:v>
                </c:pt>
                <c:pt idx="31">
                  <c:v>93.625296263420353</c:v>
                </c:pt>
                <c:pt idx="32">
                  <c:v>93.895300928932272</c:v>
                </c:pt>
                <c:pt idx="33">
                  <c:v>94.161049065498673</c:v>
                </c:pt>
                <c:pt idx="34">
                  <c:v>94.422673837746856</c:v>
                </c:pt>
                <c:pt idx="35">
                  <c:v>94.68030424905993</c:v>
                </c:pt>
                <c:pt idx="36">
                  <c:v>94.934065256980091</c:v>
                </c:pt>
                <c:pt idx="37">
                  <c:v>95.184077885548106</c:v>
                </c:pt>
                <c:pt idx="38">
                  <c:v>95.43045933466118</c:v>
                </c:pt>
                <c:pt idx="39">
                  <c:v>95.673323086528967</c:v>
                </c:pt>
                <c:pt idx="40">
                  <c:v>95.912779009301289</c:v>
                </c:pt>
                <c:pt idx="41">
                  <c:v>96.148933457944111</c:v>
                </c:pt>
                <c:pt idx="42">
                  <c:v>96.381889372440071</c:v>
                </c:pt>
                <c:pt idx="43">
                  <c:v>96.611746373372455</c:v>
                </c:pt>
                <c:pt idx="44">
                  <c:v>96.83860085497713</c:v>
                </c:pt>
                <c:pt idx="45">
                  <c:v>97.062546075721002</c:v>
                </c:pt>
                <c:pt idx="46">
                  <c:v>97.283672246468825</c:v>
                </c:pt>
                <c:pt idx="47">
                  <c:v>97.502066616307673</c:v>
                </c:pt>
                <c:pt idx="48">
                  <c:v>97.717813556093915</c:v>
                </c:pt>
                <c:pt idx="49">
                  <c:v>97.930994639771598</c:v>
                </c:pt>
                <c:pt idx="50">
                  <c:v>98.141688723532184</c:v>
                </c:pt>
                <c:pt idx="51">
                  <c:v>98.349972022866496</c:v>
                </c:pt>
                <c:pt idx="52">
                  <c:v>98.55591818756443</c:v>
                </c:pt>
                <c:pt idx="53">
                  <c:v>98.759598374720895</c:v>
                </c:pt>
                <c:pt idx="54">
                  <c:v>98.961081319794857</c:v>
                </c:pt>
                <c:pt idx="55">
                  <c:v>99.16043340577761</c:v>
                </c:pt>
                <c:pt idx="56">
                  <c:v>99.357718730516751</c:v>
                </c:pt>
                <c:pt idx="57">
                  <c:v>99.552999172242949</c:v>
                </c:pt>
                <c:pt idx="58">
                  <c:v>99.746334453356383</c:v>
                </c:pt>
                <c:pt idx="59">
                  <c:v>99.937782202504138</c:v>
                </c:pt>
                <c:pt idx="60">
                  <c:v>100.12739801500641</c:v>
                </c:pt>
                <c:pt idx="61">
                  <c:v>100.31523551166583</c:v>
                </c:pt>
                <c:pt idx="62">
                  <c:v>100.50134639600856</c:v>
                </c:pt>
                <c:pt idx="63">
                  <c:v>100.68578050999588</c:v>
                </c:pt>
                <c:pt idx="64">
                  <c:v>100.8685858882447</c:v>
                </c:pt>
                <c:pt idx="65">
                  <c:v>101.04980881080172</c:v>
                </c:pt>
                <c:pt idx="66">
                  <c:v>101.22949385450153</c:v>
                </c:pt>
                <c:pt idx="67">
                  <c:v>101.40768394295355</c:v>
                </c:pt>
                <c:pt idx="68">
                  <c:v>101.58442039518764</c:v>
                </c:pt>
                <c:pt idx="69">
                  <c:v>101.75974297299797</c:v>
                </c:pt>
                <c:pt idx="70">
                  <c:v>101.93368992701659</c:v>
                </c:pt>
                <c:pt idx="71">
                  <c:v>102.10629804155292</c:v>
                </c:pt>
                <c:pt idx="72">
                  <c:v>102.27760267822595</c:v>
                </c:pt>
                <c:pt idx="73">
                  <c:v>102.44763781842954</c:v>
                </c:pt>
                <c:pt idx="74">
                  <c:v>102.61643610465325</c:v>
                </c:pt>
                <c:pt idx="75">
                  <c:v>102.78402888069274</c:v>
                </c:pt>
                <c:pt idx="76">
                  <c:v>102.95044623077854</c:v>
                </c:pt>
                <c:pt idx="77">
                  <c:v>103.11571701765115</c:v>
                </c:pt>
                <c:pt idx="78">
                  <c:v>103.27986891961132</c:v>
                </c:pt>
                <c:pt idx="79">
                  <c:v>103.44292846656668</c:v>
                </c:pt>
                <c:pt idx="80">
                  <c:v>103.60492107511391</c:v>
                </c:pt>
                <c:pt idx="81">
                  <c:v>103.76587108266421</c:v>
                </c:pt>
                <c:pt idx="82">
                  <c:v>103.92580178065498</c:v>
                </c:pt>
                <c:pt idx="83">
                  <c:v>104.08473544685404</c:v>
                </c:pt>
                <c:pt idx="84">
                  <c:v>104.2426933768005</c:v>
                </c:pt>
                <c:pt idx="85">
                  <c:v>104.39969591438069</c:v>
                </c:pt>
                <c:pt idx="86">
                  <c:v>104.55576248158695</c:v>
                </c:pt>
                <c:pt idx="87">
                  <c:v>104.7109116074605</c:v>
                </c:pt>
                <c:pt idx="88">
                  <c:v>104.8651609562512</c:v>
                </c:pt>
                <c:pt idx="89">
                  <c:v>105.01852735481049</c:v>
                </c:pt>
                <c:pt idx="90">
                  <c:v>105.1710268192391</c:v>
                </c:pt>
                <c:pt idx="91">
                  <c:v>105.32267458080753</c:v>
                </c:pt>
                <c:pt idx="92">
                  <c:v>105.47348511117048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96256"/>
        <c:axId val="110898176"/>
      </c:scatterChart>
      <c:valAx>
        <c:axId val="1108962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0898176"/>
        <c:crosses val="autoZero"/>
        <c:crossBetween val="midCat"/>
      </c:valAx>
      <c:valAx>
        <c:axId val="110898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0896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mod.math.!$Y$2:$Y$94</c:f>
              <c:numCache>
                <c:formatCode>0.00</c:formatCode>
                <c:ptCount val="93"/>
                <c:pt idx="0">
                  <c:v>52.114148285917622</c:v>
                </c:pt>
                <c:pt idx="1">
                  <c:v>52.221948130873727</c:v>
                </c:pt>
                <c:pt idx="2">
                  <c:v>52.318822213654499</c:v>
                </c:pt>
                <c:pt idx="3">
                  <c:v>52.405270436102484</c:v>
                </c:pt>
                <c:pt idx="4">
                  <c:v>52.481774926834817</c:v>
                </c:pt>
                <c:pt idx="5">
                  <c:v>52.548800597617372</c:v>
                </c:pt>
                <c:pt idx="6">
                  <c:v>52.606795683418596</c:v>
                </c:pt>
                <c:pt idx="7">
                  <c:v>52.656192266603625</c:v>
                </c:pt>
                <c:pt idx="8">
                  <c:v>52.697406785720034</c:v>
                </c:pt>
                <c:pt idx="9">
                  <c:v>52.730840529311166</c:v>
                </c:pt>
                <c:pt idx="10">
                  <c:v>52.756880115184657</c:v>
                </c:pt>
                <c:pt idx="11">
                  <c:v>52.775897955547094</c:v>
                </c:pt>
                <c:pt idx="12">
                  <c:v>52.78825270840845</c:v>
                </c:pt>
                <c:pt idx="13">
                  <c:v>52.794289715645945</c:v>
                </c:pt>
                <c:pt idx="14">
                  <c:v>52.7943414281077</c:v>
                </c:pt>
                <c:pt idx="15">
                  <c:v>52.788727818125182</c:v>
                </c:pt>
                <c:pt idx="16">
                  <c:v>52.777756779793066</c:v>
                </c:pt>
                <c:pt idx="17">
                  <c:v>52.761724517365778</c:v>
                </c:pt>
                <c:pt idx="18">
                  <c:v>52.740915922109252</c:v>
                </c:pt>
                <c:pt idx="19">
                  <c:v>52.715604937938252</c:v>
                </c:pt>
                <c:pt idx="20">
                  <c:v>52.686054916158938</c:v>
                </c:pt>
                <c:pt idx="21">
                  <c:v>52.65251895962831</c:v>
                </c:pt>
                <c:pt idx="22">
                  <c:v>52.615240256633967</c:v>
                </c:pt>
                <c:pt idx="23">
                  <c:v>52.57445240478684</c:v>
                </c:pt>
                <c:pt idx="24">
                  <c:v>52.530379725214928</c:v>
                </c:pt>
                <c:pt idx="25">
                  <c:v>52.483237567334257</c:v>
                </c:pt>
                <c:pt idx="26">
                  <c:v>52.433232604468301</c:v>
                </c:pt>
                <c:pt idx="27">
                  <c:v>52.3805631205786</c:v>
                </c:pt>
                <c:pt idx="28">
                  <c:v>52.325419288360365</c:v>
                </c:pt>
                <c:pt idx="29">
                  <c:v>52.267983438954104</c:v>
                </c:pt>
                <c:pt idx="30">
                  <c:v>52.208430323510768</c:v>
                </c:pt>
                <c:pt idx="31">
                  <c:v>52.146927366848175</c:v>
                </c:pt>
                <c:pt idx="32">
                  <c:v>52.083634913424078</c:v>
                </c:pt>
                <c:pt idx="33">
                  <c:v>52.01870646584895</c:v>
                </c:pt>
                <c:pt idx="34">
                  <c:v>51.952288916152384</c:v>
                </c:pt>
                <c:pt idx="35">
                  <c:v>51.884522770013547</c:v>
                </c:pt>
                <c:pt idx="36">
                  <c:v>51.81554236415775</c:v>
                </c:pt>
                <c:pt idx="37">
                  <c:v>51.745476077117416</c:v>
                </c:pt>
                <c:pt idx="38">
                  <c:v>51.674446533549172</c:v>
                </c:pt>
                <c:pt idx="39">
                  <c:v>51.602570802294125</c:v>
                </c:pt>
                <c:pt idx="40">
                  <c:v>51.52996058836149</c:v>
                </c:pt>
                <c:pt idx="41">
                  <c:v>51.456722419013389</c:v>
                </c:pt>
                <c:pt idx="42">
                  <c:v>51.382957824120609</c:v>
                </c:pt>
                <c:pt idx="43">
                  <c:v>51.308763510956894</c:v>
                </c:pt>
                <c:pt idx="44">
                  <c:v>51.234231533592663</c:v>
                </c:pt>
                <c:pt idx="45">
                  <c:v>51.159449457045767</c:v>
                </c:pt>
                <c:pt idx="46">
                  <c:v>51.084500516342018</c:v>
                </c:pt>
                <c:pt idx="47">
                  <c:v>51.009463770633687</c:v>
                </c:pt>
                <c:pt idx="48">
                  <c:v>50.934414252520526</c:v>
                </c:pt>
                <c:pt idx="49">
                  <c:v>50.859423112712946</c:v>
                </c:pt>
                <c:pt idx="50">
                  <c:v>50.784557760173968</c:v>
                </c:pt>
                <c:pt idx="51">
                  <c:v>50.709881997872486</c:v>
                </c:pt>
                <c:pt idx="52">
                  <c:v>50.635456154275545</c:v>
                </c:pt>
                <c:pt idx="53">
                  <c:v>50.561337210705403</c:v>
                </c:pt>
                <c:pt idx="54">
                  <c:v>50.487578924682651</c:v>
                </c:pt>
                <c:pt idx="55">
                  <c:v>50.414231949372649</c:v>
                </c:pt>
                <c:pt idx="56">
                  <c:v>50.341343949251225</c:v>
                </c:pt>
                <c:pt idx="57">
                  <c:v>50.268959712099544</c:v>
                </c:pt>
                <c:pt idx="58">
                  <c:v>50.197121257437175</c:v>
                </c:pt>
                <c:pt idx="59">
                  <c:v>50.125867941498115</c:v>
                </c:pt>
                <c:pt idx="60">
                  <c:v>50.05523655885294</c:v>
                </c:pt>
                <c:pt idx="61">
                  <c:v>49.985261440774053</c:v>
                </c:pt>
                <c:pt idx="62">
                  <c:v>49.915974550442954</c:v>
                </c:pt>
                <c:pt idx="63">
                  <c:v>49.847405575091685</c:v>
                </c:pt>
                <c:pt idx="64">
                  <c:v>49.779582015169481</c:v>
                </c:pt>
                <c:pt idx="65">
                  <c:v>49.712529270623975</c:v>
                </c:pt>
                <c:pt idx="66">
                  <c:v>49.646270724381722</c:v>
                </c:pt>
                <c:pt idx="67">
                  <c:v>49.580827823111903</c:v>
                </c:pt>
                <c:pt idx="68">
                  <c:v>49.516220155354802</c:v>
                </c:pt>
                <c:pt idx="69">
                  <c:v>49.452465527092485</c:v>
                </c:pt>
                <c:pt idx="70">
                  <c:v>49.389580034839639</c:v>
                </c:pt>
                <c:pt idx="71">
                  <c:v>49.327578136327745</c:v>
                </c:pt>
                <c:pt idx="72">
                  <c:v>49.266472718854935</c:v>
                </c:pt>
                <c:pt idx="73">
                  <c:v>49.206275165372269</c:v>
                </c:pt>
                <c:pt idx="74">
                  <c:v>49.14699541837367</c:v>
                </c:pt>
                <c:pt idx="75">
                  <c:v>49.088642041656215</c:v>
                </c:pt>
                <c:pt idx="76">
                  <c:v>49.031222280014632</c:v>
                </c:pt>
                <c:pt idx="77">
                  <c:v>48.974742116932624</c:v>
                </c:pt>
                <c:pt idx="78">
                  <c:v>48.919206330331434</c:v>
                </c:pt>
                <c:pt idx="79">
                  <c:v>48.864618546434727</c:v>
                </c:pt>
                <c:pt idx="80">
                  <c:v>48.810981291806605</c:v>
                </c:pt>
                <c:pt idx="81">
                  <c:v>48.758296043618657</c:v>
                </c:pt>
                <c:pt idx="82">
                  <c:v>48.70656327819934</c:v>
                </c:pt>
                <c:pt idx="83">
                  <c:v>48.655782517918709</c:v>
                </c:pt>
                <c:pt idx="84">
                  <c:v>48.605952376458994</c:v>
                </c:pt>
                <c:pt idx="85">
                  <c:v>48.557070602520398</c:v>
                </c:pt>
                <c:pt idx="86">
                  <c:v>48.509134122009705</c:v>
                </c:pt>
                <c:pt idx="87">
                  <c:v>48.462139078759279</c:v>
                </c:pt>
                <c:pt idx="88">
                  <c:v>48.416080873820313</c:v>
                </c:pt>
                <c:pt idx="89">
                  <c:v>48.37095420337527</c:v>
                </c:pt>
                <c:pt idx="90">
                  <c:v>48.326753095311481</c:v>
                </c:pt>
                <c:pt idx="91">
                  <c:v>48.283470944497751</c:v>
                </c:pt>
                <c:pt idx="92">
                  <c:v>48.241100546803551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79616"/>
        <c:axId val="115681920"/>
      </c:scatterChart>
      <c:valAx>
        <c:axId val="11567961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5681920"/>
        <c:crosses val="autoZero"/>
        <c:crossBetween val="midCat"/>
      </c:valAx>
      <c:valAx>
        <c:axId val="115681920"/>
        <c:scaling>
          <c:orientation val="minMax"/>
          <c:max val="9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567961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136.30978258140138</c:v>
                </c:pt>
                <c:pt idx="2">
                  <c:v>133.69745750500215</c:v>
                </c:pt>
                <c:pt idx="3">
                  <c:v>131.13519624428579</c:v>
                </c:pt>
                <c:pt idx="4">
                  <c:v>128.62203936090978</c:v>
                </c:pt>
                <c:pt idx="5">
                  <c:v>126.1570458033478</c:v>
                </c:pt>
                <c:pt idx="6">
                  <c:v>123.73929255452508</c:v>
                </c:pt>
                <c:pt idx="7">
                  <c:v>121.36787428620633</c:v>
                </c:pt>
                <c:pt idx="8">
                  <c:v>119.04190302000701</c:v>
                </c:pt>
                <c:pt idx="9">
                  <c:v>116.76050779490096</c:v>
                </c:pt>
                <c:pt idx="10">
                  <c:v>114.52283434109968</c:v>
                </c:pt>
                <c:pt idx="11">
                  <c:v>112.32804476018156</c:v>
                </c:pt>
                <c:pt idx="12">
                  <c:v>110.17531721135087</c:v>
                </c:pt>
                <c:pt idx="13">
                  <c:v>108.06384560370941</c:v>
                </c:pt>
                <c:pt idx="14">
                  <c:v>105.99283929442521</c:v>
                </c:pt>
                <c:pt idx="15">
                  <c:v>103.96152279268573</c:v>
                </c:pt>
                <c:pt idx="16">
                  <c:v>101.96913546932419</c:v>
                </c:pt>
                <c:pt idx="17">
                  <c:v>100.01493127201086</c:v>
                </c:pt>
                <c:pt idx="18">
                  <c:v>98.098178445902036</c:v>
                </c:pt>
                <c:pt idx="19">
                  <c:v>96.218159259642903</c:v>
                </c:pt>
                <c:pt idx="20">
                  <c:v>94.374169736620814</c:v>
                </c:pt>
                <c:pt idx="21">
                  <c:v>92.565519391369051</c:v>
                </c:pt>
                <c:pt idx="22">
                  <c:v>90.791530971022041</c:v>
                </c:pt>
                <c:pt idx="23">
                  <c:v>89.051540201725288</c:v>
                </c:pt>
                <c:pt idx="24">
                  <c:v>87.344895539905096</c:v>
                </c:pt>
                <c:pt idx="25">
                  <c:v>85.670957928304844</c:v>
                </c:pt>
                <c:pt idx="26">
                  <c:v>84.029100556696719</c:v>
                </c:pt>
                <c:pt idx="27">
                  <c:v>82.418708627179015</c:v>
                </c:pt>
                <c:pt idx="28">
                  <c:v>80.839179123971149</c:v>
                </c:pt>
                <c:pt idx="29">
                  <c:v>79.289920587620657</c:v>
                </c:pt>
                <c:pt idx="30">
                  <c:v>77.770352893536895</c:v>
                </c:pt>
                <c:pt idx="31">
                  <c:v>76.279907034768982</c:v>
                </c:pt>
                <c:pt idx="32">
                  <c:v>74.818024908946768</c:v>
                </c:pt>
                <c:pt idx="33">
                  <c:v>73.384159109304633</c:v>
                </c:pt>
                <c:pt idx="34">
                  <c:v>71.977772719710103</c:v>
                </c:pt>
                <c:pt idx="35">
                  <c:v>70.598339113620682</c:v>
                </c:pt>
                <c:pt idx="36">
                  <c:v>69.245341756893211</c:v>
                </c:pt>
                <c:pt idx="37">
                  <c:v>67.918274014372415</c:v>
                </c:pt>
                <c:pt idx="38">
                  <c:v>66.61663896018581</c:v>
                </c:pt>
                <c:pt idx="39">
                  <c:v>65.339949191674137</c:v>
                </c:pt>
                <c:pt idx="40">
                  <c:v>64.087726646887717</c:v>
                </c:pt>
                <c:pt idx="41">
                  <c:v>62.85950242558016</c:v>
                </c:pt>
                <c:pt idx="42">
                  <c:v>61.654816613632548</c:v>
                </c:pt>
                <c:pt idx="43">
                  <c:v>60.473218110842502</c:v>
                </c:pt>
                <c:pt idx="44">
                  <c:v>59.314264462013291</c:v>
                </c:pt>
                <c:pt idx="45">
                  <c:v>58.17752169128002</c:v>
                </c:pt>
                <c:pt idx="46">
                  <c:v>57.062564139610807</c:v>
                </c:pt>
                <c:pt idx="47">
                  <c:v>55.968974305422087</c:v>
                </c:pt>
                <c:pt idx="48">
                  <c:v>54.896342688248282</c:v>
                </c:pt>
                <c:pt idx="49">
                  <c:v>53.844267635407405</c:v>
                </c:pt>
                <c:pt idx="50">
                  <c:v>52.812355191605263</c:v>
                </c:pt>
                <c:pt idx="51">
                  <c:v>51.80021895142162</c:v>
                </c:pt>
                <c:pt idx="52">
                  <c:v>50.807479914623578</c:v>
                </c:pt>
                <c:pt idx="53">
                  <c:v>49.833766344251465</c:v>
                </c:pt>
                <c:pt idx="54">
                  <c:v>48.878713627424595</c:v>
                </c:pt>
                <c:pt idx="55">
                  <c:v>47.941964138814384</c:v>
                </c:pt>
                <c:pt idx="56">
                  <c:v>47.023167106733865</c:v>
                </c:pt>
                <c:pt idx="57">
                  <c:v>46.121978481793626</c:v>
                </c:pt>
                <c:pt idx="58">
                  <c:v>45.238060808074586</c:v>
                </c:pt>
                <c:pt idx="59">
                  <c:v>44.371083096769802</c:v>
                </c:pt>
                <c:pt idx="60">
                  <c:v>43.520720702247758</c:v>
                </c:pt>
                <c:pt idx="61">
                  <c:v>42.686655200490677</c:v>
                </c:pt>
                <c:pt idx="62">
                  <c:v>41.868574269862577</c:v>
                </c:pt>
                <c:pt idx="63">
                  <c:v>41.066171574162219</c:v>
                </c:pt>
                <c:pt idx="64">
                  <c:v>40.279146647917202</c:v>
                </c:pt>
                <c:pt idx="65">
                  <c:v>39.507204783876375</c:v>
                </c:pt>
                <c:pt idx="66">
                  <c:v>38.750056922658246</c:v>
                </c:pt>
                <c:pt idx="67">
                  <c:v>38.007419544514214</c:v>
                </c:pt>
                <c:pt idx="68">
                  <c:v>37.279014563166093</c:v>
                </c:pt>
                <c:pt idx="69">
                  <c:v>36.564569221678042</c:v>
                </c:pt>
                <c:pt idx="70">
                  <c:v>35.863815990324056</c:v>
                </c:pt>
                <c:pt idx="71">
                  <c:v>35.176492466412803</c:v>
                </c:pt>
                <c:pt idx="72">
                  <c:v>34.502341276032041</c:v>
                </c:pt>
                <c:pt idx="73">
                  <c:v>33.841109977676219</c:v>
                </c:pt>
                <c:pt idx="74">
                  <c:v>33.192550967720756</c:v>
                </c:pt>
                <c:pt idx="75">
                  <c:v>32.556421387707978</c:v>
                </c:pt>
                <c:pt idx="76">
                  <c:v>31.932483033409763</c:v>
                </c:pt>
                <c:pt idx="77">
                  <c:v>31.320502265632904</c:v>
                </c:pt>
                <c:pt idx="78">
                  <c:v>30.7202499227338</c:v>
                </c:pt>
                <c:pt idx="79">
                  <c:v>30.131501234809775</c:v>
                </c:pt>
                <c:pt idx="80">
                  <c:v>29.554035739534754</c:v>
                </c:pt>
                <c:pt idx="81">
                  <c:v>28.98763719960796</c:v>
                </c:pt>
                <c:pt idx="82">
                  <c:v>28.432093521784552</c:v>
                </c:pt>
                <c:pt idx="83">
                  <c:v>27.88719667745799</c:v>
                </c:pt>
                <c:pt idx="84">
                  <c:v>27.352742624764403</c:v>
                </c:pt>
                <c:pt idx="85">
                  <c:v>26.828531232179692</c:v>
                </c:pt>
                <c:pt idx="86">
                  <c:v>26.314366203580857</c:v>
                </c:pt>
                <c:pt idx="87">
                  <c:v>25.810055004743475</c:v>
                </c:pt>
                <c:pt idx="88">
                  <c:v>25.315408791247734</c:v>
                </c:pt>
                <c:pt idx="89">
                  <c:v>24.830242337766098</c:v>
                </c:pt>
                <c:pt idx="90">
                  <c:v>24.35437396870617</c:v>
                </c:pt>
                <c:pt idx="91">
                  <c:v>23.887625490182614</c:v>
                </c:pt>
                <c:pt idx="92">
                  <c:v>23.429822123292869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55456"/>
        <c:axId val="138765824"/>
      </c:scatterChart>
      <c:valAx>
        <c:axId val="1387554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38765824"/>
        <c:crosses val="autoZero"/>
        <c:crossBetween val="midCat"/>
      </c:valAx>
      <c:valAx>
        <c:axId val="138765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38755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mod.math.!$AA$2:$AA$94</c:f>
              <c:numCache>
                <c:formatCode>0.00</c:formatCode>
                <c:ptCount val="93"/>
                <c:pt idx="0">
                  <c:v>26586.632553782747</c:v>
                </c:pt>
                <c:pt idx="1">
                  <c:v>26518.179832723614</c:v>
                </c:pt>
                <c:pt idx="2">
                  <c:v>26449.903357182317</c:v>
                </c:pt>
                <c:pt idx="3">
                  <c:v>26381.802673378868</c:v>
                </c:pt>
                <c:pt idx="4">
                  <c:v>26313.877328701627</c:v>
                </c:pt>
                <c:pt idx="5">
                  <c:v>26246.126871704291</c:v>
                </c:pt>
                <c:pt idx="6">
                  <c:v>26178.550852102904</c:v>
                </c:pt>
                <c:pt idx="7">
                  <c:v>26111.148820772843</c:v>
                </c:pt>
                <c:pt idx="8">
                  <c:v>26043.920329745855</c:v>
                </c:pt>
                <c:pt idx="9">
                  <c:v>25976.864932207071</c:v>
                </c:pt>
                <c:pt idx="10">
                  <c:v>25909.982182492036</c:v>
                </c:pt>
                <c:pt idx="11">
                  <c:v>25843.271636083748</c:v>
                </c:pt>
                <c:pt idx="12">
                  <c:v>25776.732849609696</c:v>
                </c:pt>
                <c:pt idx="13">
                  <c:v>25710.365380838924</c:v>
                </c:pt>
                <c:pt idx="14">
                  <c:v>25644.168788679097</c:v>
                </c:pt>
                <c:pt idx="15">
                  <c:v>25578.142633173549</c:v>
                </c:pt>
                <c:pt idx="16">
                  <c:v>25512.286475498382</c:v>
                </c:pt>
                <c:pt idx="17">
                  <c:v>25446.599877959521</c:v>
                </c:pt>
                <c:pt idx="18">
                  <c:v>25381.082403989843</c:v>
                </c:pt>
                <c:pt idx="19">
                  <c:v>25315.733618146238</c:v>
                </c:pt>
                <c:pt idx="20">
                  <c:v>25250.553086106745</c:v>
                </c:pt>
                <c:pt idx="21">
                  <c:v>25185.540374667635</c:v>
                </c:pt>
                <c:pt idx="22">
                  <c:v>25120.695051740571</c:v>
                </c:pt>
                <c:pt idx="23">
                  <c:v>25056.016686349696</c:v>
                </c:pt>
                <c:pt idx="24">
                  <c:v>24991.504848628789</c:v>
                </c:pt>
                <c:pt idx="25">
                  <c:v>24927.159109818425</c:v>
                </c:pt>
                <c:pt idx="26">
                  <c:v>24862.979042263083</c:v>
                </c:pt>
                <c:pt idx="27">
                  <c:v>24798.964219408339</c:v>
                </c:pt>
                <c:pt idx="28">
                  <c:v>24735.114215798007</c:v>
                </c:pt>
                <c:pt idx="29">
                  <c:v>24671.428607071346</c:v>
                </c:pt>
                <c:pt idx="30">
                  <c:v>24607.906969960201</c:v>
                </c:pt>
                <c:pt idx="31">
                  <c:v>24544.548882286203</c:v>
                </c:pt>
                <c:pt idx="32">
                  <c:v>24481.353922957976</c:v>
                </c:pt>
                <c:pt idx="33">
                  <c:v>24418.32167196833</c:v>
                </c:pt>
                <c:pt idx="34">
                  <c:v>24355.451710391455</c:v>
                </c:pt>
                <c:pt idx="35">
                  <c:v>24292.743620380163</c:v>
                </c:pt>
                <c:pt idx="36">
                  <c:v>24230.196985163089</c:v>
                </c:pt>
                <c:pt idx="37">
                  <c:v>24167.811389041937</c:v>
                </c:pt>
                <c:pt idx="38">
                  <c:v>24105.586417388706</c:v>
                </c:pt>
                <c:pt idx="39">
                  <c:v>24043.521656642934</c:v>
                </c:pt>
                <c:pt idx="40">
                  <c:v>23981.61669430897</c:v>
                </c:pt>
                <c:pt idx="41">
                  <c:v>23919.87111895319</c:v>
                </c:pt>
                <c:pt idx="42">
                  <c:v>23858.284520201312</c:v>
                </c:pt>
                <c:pt idx="43">
                  <c:v>23796.856488735648</c:v>
                </c:pt>
                <c:pt idx="44">
                  <c:v>23735.586616292348</c:v>
                </c:pt>
                <c:pt idx="45">
                  <c:v>23674.474495658756</c:v>
                </c:pt>
                <c:pt idx="46">
                  <c:v>23613.519720670654</c:v>
                </c:pt>
                <c:pt idx="47">
                  <c:v>23552.721886209569</c:v>
                </c:pt>
                <c:pt idx="48">
                  <c:v>23492.080588200093</c:v>
                </c:pt>
                <c:pt idx="49">
                  <c:v>23431.595423607199</c:v>
                </c:pt>
                <c:pt idx="50">
                  <c:v>23371.265990433538</c:v>
                </c:pt>
                <c:pt idx="51">
                  <c:v>23311.091887716801</c:v>
                </c:pt>
                <c:pt idx="52">
                  <c:v>23251.072715527029</c:v>
                </c:pt>
                <c:pt idx="53">
                  <c:v>23191.208074963964</c:v>
                </c:pt>
                <c:pt idx="54">
                  <c:v>23131.497568154406</c:v>
                </c:pt>
                <c:pt idx="55">
                  <c:v>23071.94079824954</c:v>
                </c:pt>
                <c:pt idx="56">
                  <c:v>23012.537369422338</c:v>
                </c:pt>
                <c:pt idx="57">
                  <c:v>22953.286886864902</c:v>
                </c:pt>
                <c:pt idx="58">
                  <c:v>22894.188956785852</c:v>
                </c:pt>
                <c:pt idx="59">
                  <c:v>22835.243186407686</c:v>
                </c:pt>
                <c:pt idx="60">
                  <c:v>22776.449183964207</c:v>
                </c:pt>
                <c:pt idx="61">
                  <c:v>22717.806558697892</c:v>
                </c:pt>
                <c:pt idx="62">
                  <c:v>22659.314920857298</c:v>
                </c:pt>
                <c:pt idx="63">
                  <c:v>22600.973881694477</c:v>
                </c:pt>
                <c:pt idx="64">
                  <c:v>22542.783053462401</c:v>
                </c:pt>
                <c:pt idx="65">
                  <c:v>22484.742049412369</c:v>
                </c:pt>
                <c:pt idx="66">
                  <c:v>22426.850483791437</c:v>
                </c:pt>
                <c:pt idx="67">
                  <c:v>22369.107971839861</c:v>
                </c:pt>
                <c:pt idx="68">
                  <c:v>22311.514129788557</c:v>
                </c:pt>
                <c:pt idx="69">
                  <c:v>22254.068574856508</c:v>
                </c:pt>
                <c:pt idx="70">
                  <c:v>22196.770925248253</c:v>
                </c:pt>
                <c:pt idx="71">
                  <c:v>22139.620800151348</c:v>
                </c:pt>
                <c:pt idx="72">
                  <c:v>22082.617819733816</c:v>
                </c:pt>
                <c:pt idx="73">
                  <c:v>22025.761605141652</c:v>
                </c:pt>
                <c:pt idx="74">
                  <c:v>21969.051778496258</c:v>
                </c:pt>
                <c:pt idx="75">
                  <c:v>21912.487962891995</c:v>
                </c:pt>
                <c:pt idx="76">
                  <c:v>21856.069782393617</c:v>
                </c:pt>
                <c:pt idx="77">
                  <c:v>21799.796862033814</c:v>
                </c:pt>
                <c:pt idx="78">
                  <c:v>21743.668827810707</c:v>
                </c:pt>
                <c:pt idx="79">
                  <c:v>21687.685306685344</c:v>
                </c:pt>
                <c:pt idx="80">
                  <c:v>21631.845926579255</c:v>
                </c:pt>
                <c:pt idx="81">
                  <c:v>21576.150316371957</c:v>
                </c:pt>
                <c:pt idx="82">
                  <c:v>21520.598105898491</c:v>
                </c:pt>
                <c:pt idx="83">
                  <c:v>21465.18892594695</c:v>
                </c:pt>
                <c:pt idx="84">
                  <c:v>21409.922408256061</c:v>
                </c:pt>
                <c:pt idx="85">
                  <c:v>21354.798185512704</c:v>
                </c:pt>
                <c:pt idx="86">
                  <c:v>21299.815891349474</c:v>
                </c:pt>
                <c:pt idx="87">
                  <c:v>21244.975160342259</c:v>
                </c:pt>
                <c:pt idx="88">
                  <c:v>21190.275628007807</c:v>
                </c:pt>
                <c:pt idx="89">
                  <c:v>21135.716930801311</c:v>
                </c:pt>
                <c:pt idx="90">
                  <c:v>21081.298706113957</c:v>
                </c:pt>
                <c:pt idx="91">
                  <c:v>21027.020592270572</c:v>
                </c:pt>
                <c:pt idx="92">
                  <c:v>20972.882228527167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38048"/>
        <c:axId val="145389824"/>
      </c:scatterChart>
      <c:valAx>
        <c:axId val="14513804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5389824"/>
        <c:crosses val="autoZero"/>
        <c:crossBetween val="midCat"/>
      </c:valAx>
      <c:valAx>
        <c:axId val="145389824"/>
        <c:scaling>
          <c:orientation val="minMax"/>
          <c:min val="1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5138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7856"/>
        <c:axId val="162539776"/>
      </c:scatterChart>
      <c:valAx>
        <c:axId val="1625378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2539776"/>
        <c:crosses val="autoZero"/>
        <c:crossBetween val="midCat"/>
      </c:valAx>
      <c:valAx>
        <c:axId val="162539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2537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74432"/>
        <c:axId val="183943168"/>
      </c:areaChart>
      <c:catAx>
        <c:axId val="1834744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83943168"/>
        <c:crosses val="autoZero"/>
        <c:auto val="1"/>
        <c:lblAlgn val="ctr"/>
        <c:lblOffset val="100"/>
        <c:noMultiLvlLbl val="0"/>
      </c:catAx>
      <c:valAx>
        <c:axId val="183943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3474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mod.math.!$U$1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mod.math.!$U$2:$U$136</c:f>
              <c:numCache>
                <c:formatCode>0.00</c:formatCode>
                <c:ptCount val="135"/>
                <c:pt idx="0">
                  <c:v>3461.582080376133</c:v>
                </c:pt>
                <c:pt idx="1">
                  <c:v>3456.2578200755306</c:v>
                </c:pt>
                <c:pt idx="2">
                  <c:v>3450.8815096753633</c:v>
                </c:pt>
                <c:pt idx="3">
                  <c:v>3445.4544850796105</c:v>
                </c:pt>
                <c:pt idx="4">
                  <c:v>3439.978056832434</c:v>
                </c:pt>
                <c:pt idx="5">
                  <c:v>3434.4535105825639</c:v>
                </c:pt>
                <c:pt idx="6">
                  <c:v>3428.8821075392261</c:v>
                </c:pt>
                <c:pt idx="7">
                  <c:v>3423.2650849197771</c:v>
                </c:pt>
                <c:pt idx="8">
                  <c:v>3417.6036563891876</c:v>
                </c:pt>
                <c:pt idx="9">
                  <c:v>3411.8990124915317</c:v>
                </c:pt>
                <c:pt idx="10">
                  <c:v>3406.15232107362</c:v>
                </c:pt>
                <c:pt idx="11">
                  <c:v>3400.364727700919</c:v>
                </c:pt>
                <c:pt idx="12">
                  <c:v>3394.5373560659064</c:v>
                </c:pt>
                <c:pt idx="13">
                  <c:v>3388.6713083889854</c:v>
                </c:pt>
                <c:pt idx="14">
                  <c:v>3382.7676658121059</c:v>
                </c:pt>
                <c:pt idx="15">
                  <c:v>3376.8274887852176</c:v>
                </c:pt>
                <c:pt idx="16">
                  <c:v>3370.8518174456899</c:v>
                </c:pt>
                <c:pt idx="17">
                  <c:v>3364.84167199082</c:v>
                </c:pt>
                <c:pt idx="18">
                  <c:v>3358.7980530435625</c:v>
                </c:pt>
                <c:pt idx="19">
                  <c:v>3352.7219420115985</c:v>
                </c:pt>
                <c:pt idx="20">
                  <c:v>3346.6143014398667</c:v>
                </c:pt>
                <c:pt idx="21">
                  <c:v>3340.4760753566757</c:v>
                </c:pt>
                <c:pt idx="22">
                  <c:v>3334.3081896135132</c:v>
                </c:pt>
                <c:pt idx="23">
                  <c:v>3328.1115522186669</c:v>
                </c:pt>
                <c:pt idx="24">
                  <c:v>3321.8870536647723</c:v>
                </c:pt>
                <c:pt idx="25">
                  <c:v>3315.6355672503914</c:v>
                </c:pt>
                <c:pt idx="26">
                  <c:v>3309.3579493957373</c:v>
                </c:pt>
                <c:pt idx="27">
                  <c:v>3303.0550399526473</c:v>
                </c:pt>
                <c:pt idx="28">
                  <c:v>3296.7276625089098</c:v>
                </c:pt>
                <c:pt idx="29">
                  <c:v>3290.3766246870528</c:v>
                </c:pt>
                <c:pt idx="30">
                  <c:v>3284.0027184376786</c:v>
                </c:pt>
                <c:pt idx="31">
                  <c:v>3277.6067203274702</c:v>
                </c:pt>
                <c:pt idx="32">
                  <c:v>3271.1893918219348</c:v>
                </c:pt>
                <c:pt idx="33">
                  <c:v>3264.7514795630123</c:v>
                </c:pt>
                <c:pt idx="34">
                  <c:v>3258.2937156416119</c:v>
                </c:pt>
                <c:pt idx="35">
                  <c:v>3251.8168178651945</c:v>
                </c:pt>
                <c:pt idx="36">
                  <c:v>3245.3214900204707</c:v>
                </c:pt>
                <c:pt idx="37">
                  <c:v>3238.8084221313197</c:v>
                </c:pt>
                <c:pt idx="38">
                  <c:v>3232.2782907120045</c:v>
                </c:pt>
                <c:pt idx="39">
                  <c:v>3225.7317590157704</c:v>
                </c:pt>
                <c:pt idx="40">
                  <c:v>3219.1694772789215</c:v>
                </c:pt>
                <c:pt idx="41">
                  <c:v>3212.5920829604365</c:v>
                </c:pt>
                <c:pt idx="42">
                  <c:v>3206.0002009772334</c:v>
                </c:pt>
                <c:pt idx="43">
                  <c:v>3199.3944439351299</c:v>
                </c:pt>
                <c:pt idx="44">
                  <c:v>3192.7754123556051</c:v>
                </c:pt>
                <c:pt idx="45">
                  <c:v>3186.1436948984251</c:v>
                </c:pt>
                <c:pt idx="46">
                  <c:v>3179.4998685802066</c:v>
                </c:pt>
                <c:pt idx="47">
                  <c:v>3172.8444989890031</c:v>
                </c:pt>
                <c:pt idx="48">
                  <c:v>3166.1781404949738</c:v>
                </c:pt>
                <c:pt idx="49">
                  <c:v>3159.5013364572114</c:v>
                </c:pt>
                <c:pt idx="50">
                  <c:v>3152.8146194268033</c:v>
                </c:pt>
                <c:pt idx="51">
                  <c:v>3146.1185113461866</c:v>
                </c:pt>
                <c:pt idx="52">
                  <c:v>3139.41352374487</c:v>
                </c:pt>
                <c:pt idx="53">
                  <c:v>3132.7001579315847</c:v>
                </c:pt>
                <c:pt idx="54">
                  <c:v>3125.9789051829339</c:v>
                </c:pt>
                <c:pt idx="55">
                  <c:v>3119.2502469285987</c:v>
                </c:pt>
                <c:pt idx="56">
                  <c:v>3112.5146549331694</c:v>
                </c:pt>
                <c:pt idx="57">
                  <c:v>3105.7725914746602</c:v>
                </c:pt>
                <c:pt idx="58">
                  <c:v>3099.0245095197624</c:v>
                </c:pt>
                <c:pt idx="59">
                  <c:v>3092.2708528959088</c:v>
                </c:pt>
                <c:pt idx="60">
                  <c:v>3085.512056460193</c:v>
                </c:pt>
                <c:pt idx="61">
                  <c:v>3078.7485462652135</c:v>
                </c:pt>
                <c:pt idx="62">
                  <c:v>3071.9807397218819</c:v>
                </c:pt>
                <c:pt idx="63">
                  <c:v>3065.2090457592735</c:v>
                </c:pt>
                <c:pt idx="64">
                  <c:v>3058.43386498155</c:v>
                </c:pt>
                <c:pt idx="65">
                  <c:v>3051.6555898220263</c:v>
                </c:pt>
                <c:pt idx="66">
                  <c:v>3044.8746046944216</c:v>
                </c:pt>
                <c:pt idx="67">
                  <c:v>3038.0912861413522</c:v>
                </c:pt>
                <c:pt idx="68">
                  <c:v>3031.3060029801159</c:v>
                </c:pt>
                <c:pt idx="69">
                  <c:v>3024.5191164458083</c:v>
                </c:pt>
                <c:pt idx="70">
                  <c:v>3017.7309803318385</c:v>
                </c:pt>
                <c:pt idx="71">
                  <c:v>3010.94194112787</c:v>
                </c:pt>
                <c:pt idx="72">
                  <c:v>3004.1523381552443</c:v>
                </c:pt>
                <c:pt idx="73">
                  <c:v>2997.3625036999433</c:v>
                </c:pt>
                <c:pt idx="74">
                  <c:v>2990.572763143105</c:v>
                </c:pt>
                <c:pt idx="75">
                  <c:v>2983.7834350891767</c:v>
                </c:pt>
                <c:pt idx="76">
                  <c:v>2976.9948314917124</c:v>
                </c:pt>
                <c:pt idx="77">
                  <c:v>2970.2072577768804</c:v>
                </c:pt>
                <c:pt idx="78">
                  <c:v>2963.4210129647154</c:v>
                </c:pt>
                <c:pt idx="79">
                  <c:v>2956.6363897881547</c:v>
                </c:pt>
                <c:pt idx="80">
                  <c:v>2949.8536748098986</c:v>
                </c:pt>
                <c:pt idx="81">
                  <c:v>2943.0731485371398</c:v>
                </c:pt>
                <c:pt idx="82">
                  <c:v>2936.2950855341946</c:v>
                </c:pt>
                <c:pt idx="83">
                  <c:v>2929.5197545330789</c:v>
                </c:pt>
                <c:pt idx="84">
                  <c:v>2922.7474185420588</c:v>
                </c:pt>
                <c:pt idx="85">
                  <c:v>2915.9783349522263</c:v>
                </c:pt>
                <c:pt idx="86">
                  <c:v>2909.2127556421192</c:v>
                </c:pt>
                <c:pt idx="87">
                  <c:v>2902.4509270804333</c:v>
                </c:pt>
                <c:pt idx="88">
                  <c:v>2895.6930904268593</c:v>
                </c:pt>
                <c:pt idx="89">
                  <c:v>2888.9394816310728</c:v>
                </c:pt>
                <c:pt idx="90">
                  <c:v>2882.1903315299169</c:v>
                </c:pt>
                <c:pt idx="91">
                  <c:v>2875.4458659428092</c:v>
                </c:pt>
                <c:pt idx="92">
                  <c:v>2868.7063057654036</c:v>
                </c:pt>
                <c:pt idx="93">
                  <c:v>2861.9718670615398</c:v>
                </c:pt>
                <c:pt idx="94">
                  <c:v>2855.2427611535109</c:v>
                </c:pt>
                <c:pt idx="95">
                  <c:v>2848.5191947106841</c:v>
                </c:pt>
                <c:pt idx="96">
                  <c:v>2841.8013698364971</c:v>
                </c:pt>
                <c:pt idx="97">
                  <c:v>2835.0894841538634</c:v>
                </c:pt>
                <c:pt idx="98">
                  <c:v>2828.3837308890179</c:v>
                </c:pt>
                <c:pt idx="99">
                  <c:v>2821.6842989538295</c:v>
                </c:pt>
                <c:pt idx="100">
                  <c:v>2814.9913730266044</c:v>
                </c:pt>
                <c:pt idx="101">
                  <c:v>2808.3051336314134</c:v>
                </c:pt>
                <c:pt idx="102">
                  <c:v>2801.6257572159693</c:v>
                </c:pt>
                <c:pt idx="103">
                  <c:v>2794.9534162280765</c:v>
                </c:pt>
                <c:pt idx="104">
                  <c:v>2788.2882791906823</c:v>
                </c:pt>
                <c:pt idx="105">
                  <c:v>2781.6305107755602</c:v>
                </c:pt>
                <c:pt idx="106">
                  <c:v>2774.9802718756305</c:v>
                </c:pt>
                <c:pt idx="107">
                  <c:v>2768.337719675978</c:v>
                </c:pt>
                <c:pt idx="108">
                  <c:v>2761.7030077235499</c:v>
                </c:pt>
                <c:pt idx="109">
                  <c:v>2755.0762859955885</c:v>
                </c:pt>
                <c:pt idx="110">
                  <c:v>2748.4577009668124</c:v>
                </c:pt>
                <c:pt idx="111">
                  <c:v>2741.847395675356</c:v>
                </c:pt>
                <c:pt idx="112">
                  <c:v>2735.2455097875168</c:v>
                </c:pt>
                <c:pt idx="113">
                  <c:v>2728.6521796613065</c:v>
                </c:pt>
                <c:pt idx="114">
                  <c:v>2722.0675384088399</c:v>
                </c:pt>
                <c:pt idx="115">
                  <c:v>2715.4917159575839</c:v>
                </c:pt>
                <c:pt idx="116">
                  <c:v>2708.9248391104825</c:v>
                </c:pt>
                <c:pt idx="117">
                  <c:v>2702.3670316049788</c:v>
                </c:pt>
                <c:pt idx="118">
                  <c:v>2695.8184141709598</c:v>
                </c:pt>
                <c:pt idx="119">
                  <c:v>2689.2791045876343</c:v>
                </c:pt>
                <c:pt idx="120">
                  <c:v>2682.749217739371</c:v>
                </c:pt>
                <c:pt idx="121">
                  <c:v>2676.2288656705164</c:v>
                </c:pt>
                <c:pt idx="122">
                  <c:v>2669.7181576391977</c:v>
                </c:pt>
                <c:pt idx="123">
                  <c:v>2663.217200170152</c:v>
                </c:pt>
                <c:pt idx="124">
                  <c:v>2656.7260971065771</c:v>
                </c:pt>
                <c:pt idx="125">
                  <c:v>2650.2449496610393</c:v>
                </c:pt>
                <c:pt idx="126">
                  <c:v>2643.7738564654378</c:v>
                </c:pt>
                <c:pt idx="127">
                  <c:v>2637.3129136200623</c:v>
                </c:pt>
                <c:pt idx="128">
                  <c:v>2630.8622147417464</c:v>
                </c:pt>
                <c:pt idx="129">
                  <c:v>2624.4218510111355</c:v>
                </c:pt>
                <c:pt idx="130">
                  <c:v>2617.9919112190942</c:v>
                </c:pt>
                <c:pt idx="131">
                  <c:v>2611.5724818122521</c:v>
                </c:pt>
                <c:pt idx="132">
                  <c:v>2605.1636469377254</c:v>
                </c:pt>
                <c:pt idx="133">
                  <c:v>2598.7654884870058</c:v>
                </c:pt>
                <c:pt idx="134">
                  <c:v>2592.3780861390537</c:v>
                </c:pt>
              </c:numCache>
            </c:numRef>
          </c:val>
        </c:ser>
        <c:ser>
          <c:idx val="2"/>
          <c:order val="1"/>
          <c:tx>
            <c:strRef>
              <c:f>mod.math.!$V$1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mod.math.!$V$2:$V$136</c:f>
              <c:numCache>
                <c:formatCode>0.00</c:formatCode>
                <c:ptCount val="135"/>
                <c:pt idx="0">
                  <c:v>1154.5288235649405</c:v>
                </c:pt>
                <c:pt idx="1">
                  <c:v>1159.3325357283957</c:v>
                </c:pt>
                <c:pt idx="2">
                  <c:v>1164.0818898804214</c:v>
                </c:pt>
                <c:pt idx="3">
                  <c:v>1168.7770796442351</c:v>
                </c:pt>
                <c:pt idx="4">
                  <c:v>1173.4183022469758</c:v>
                </c:pt>
                <c:pt idx="5">
                  <c:v>1178.0057583994196</c:v>
                </c:pt>
                <c:pt idx="6">
                  <c:v>1182.5396521782793</c:v>
                </c:pt>
                <c:pt idx="7">
                  <c:v>1187.0201909110476</c:v>
                </c:pt>
                <c:pt idx="8">
                  <c:v>1191.4475850633282</c:v>
                </c:pt>
                <c:pt idx="9">
                  <c:v>1195.8220481286114</c:v>
                </c:pt>
                <c:pt idx="10">
                  <c:v>1200.1437965204427</c:v>
                </c:pt>
                <c:pt idx="11">
                  <c:v>1204.4130494669409</c:v>
                </c:pt>
                <c:pt idx="12">
                  <c:v>1208.6300289076191</c:v>
                </c:pt>
                <c:pt idx="13">
                  <c:v>1212.7949593924657</c:v>
                </c:pt>
                <c:pt idx="14">
                  <c:v>1216.9080679832359</c:v>
                </c:pt>
                <c:pt idx="15">
                  <c:v>1220.9695841569214</c:v>
                </c:pt>
                <c:pt idx="16">
                  <c:v>1224.9797397113418</c:v>
                </c:pt>
                <c:pt idx="17">
                  <c:v>1228.9387686728323</c:v>
                </c:pt>
                <c:pt idx="18">
                  <c:v>1232.8469072059718</c:v>
                </c:pt>
                <c:pt idx="19">
                  <c:v>1236.7043935253218</c:v>
                </c:pt>
                <c:pt idx="20">
                  <c:v>1240.5114678091343</c:v>
                </c:pt>
                <c:pt idx="21">
                  <c:v>1244.2683721149872</c:v>
                </c:pt>
                <c:pt idx="22">
                  <c:v>1247.9753502973149</c:v>
                </c:pt>
                <c:pt idx="23">
                  <c:v>1251.6326479267907</c:v>
                </c:pt>
                <c:pt idx="24">
                  <c:v>1255.2405122115317</c:v>
                </c:pt>
                <c:pt idx="25">
                  <c:v>1258.7991919200854</c:v>
                </c:pt>
                <c:pt idx="26">
                  <c:v>1262.3089373061619</c:v>
                </c:pt>
                <c:pt idx="27">
                  <c:v>1265.7700000350883</c:v>
                </c:pt>
                <c:pt idx="28">
                  <c:v>1269.1826331119319</c:v>
                </c:pt>
                <c:pt idx="29">
                  <c:v>1272.5470908112829</c:v>
                </c:pt>
                <c:pt idx="30">
                  <c:v>1275.8636286086419</c:v>
                </c:pt>
                <c:pt idx="31">
                  <c:v>1279.1325031133968</c:v>
                </c:pt>
                <c:pt idx="32">
                  <c:v>1282.3539720033489</c:v>
                </c:pt>
                <c:pt idx="33">
                  <c:v>1285.5282939607637</c:v>
                </c:pt>
                <c:pt idx="34">
                  <c:v>1288.6557286099055</c:v>
                </c:pt>
                <c:pt idx="35">
                  <c:v>1291.7365364560428</c:v>
                </c:pt>
                <c:pt idx="36">
                  <c:v>1294.7709788258819</c:v>
                </c:pt>
                <c:pt idx="37">
                  <c:v>1297.7593178094023</c:v>
                </c:pt>
                <c:pt idx="38">
                  <c:v>1300.7018162030765</c:v>
                </c:pt>
                <c:pt idx="39">
                  <c:v>1303.5987374544293</c:v>
                </c:pt>
                <c:pt idx="40">
                  <c:v>1306.4503456079285</c:v>
                </c:pt>
                <c:pt idx="41">
                  <c:v>1309.256905252166</c:v>
                </c:pt>
                <c:pt idx="42">
                  <c:v>1312.0186814683095</c:v>
                </c:pt>
                <c:pt idx="43">
                  <c:v>1314.7359397798043</c:v>
                </c:pt>
                <c:pt idx="44">
                  <c:v>1317.4089461032859</c:v>
                </c:pt>
                <c:pt idx="45">
                  <c:v>1320.0379667006994</c:v>
                </c:pt>
                <c:pt idx="46">
                  <c:v>1322.6232681325794</c:v>
                </c:pt>
                <c:pt idx="47">
                  <c:v>1325.1651172124873</c:v>
                </c:pt>
                <c:pt idx="48">
                  <c:v>1327.6637809625688</c:v>
                </c:pt>
                <c:pt idx="49">
                  <c:v>1330.1195265702156</c:v>
                </c:pt>
                <c:pt idx="50">
                  <c:v>1332.5326213458056</c:v>
                </c:pt>
                <c:pt idx="51">
                  <c:v>1334.9033326815043</c:v>
                </c:pt>
                <c:pt idx="52">
                  <c:v>1337.231928011103</c:v>
                </c:pt>
                <c:pt idx="53">
                  <c:v>1339.518674770871</c:v>
                </c:pt>
                <c:pt idx="54">
                  <c:v>1341.763840361408</c:v>
                </c:pt>
                <c:pt idx="55">
                  <c:v>1343.9676921104654</c:v>
                </c:pt>
                <c:pt idx="56">
                  <c:v>1346.1304972367298</c:v>
                </c:pt>
                <c:pt idx="57">
                  <c:v>1348.2525228145412</c:v>
                </c:pt>
                <c:pt idx="58">
                  <c:v>1350.3340357395261</c:v>
                </c:pt>
                <c:pt idx="59">
                  <c:v>1352.3753026951299</c:v>
                </c:pt>
                <c:pt idx="60">
                  <c:v>1354.3765901200341</c:v>
                </c:pt>
                <c:pt idx="61">
                  <c:v>1356.3381641764306</c:v>
                </c:pt>
                <c:pt idx="62">
                  <c:v>1358.2602907191408</c:v>
                </c:pt>
                <c:pt idx="63">
                  <c:v>1360.143235265567</c:v>
                </c:pt>
                <c:pt idx="64">
                  <c:v>1361.9872629664494</c:v>
                </c:pt>
                <c:pt idx="65">
                  <c:v>1363.7926385774181</c:v>
                </c:pt>
                <c:pt idx="66">
                  <c:v>1365.5596264313253</c:v>
                </c:pt>
                <c:pt idx="67">
                  <c:v>1367.2884904113339</c:v>
                </c:pt>
                <c:pt idx="68">
                  <c:v>1368.979493924757</c:v>
                </c:pt>
                <c:pt idx="69">
                  <c:v>1370.6328998776223</c:v>
                </c:pt>
                <c:pt idx="70">
                  <c:v>1372.248970649958</c:v>
                </c:pt>
                <c:pt idx="71">
                  <c:v>1373.8279680717746</c:v>
                </c:pt>
                <c:pt idx="72">
                  <c:v>1375.3701533997298</c:v>
                </c:pt>
                <c:pt idx="73">
                  <c:v>1376.8757872944745</c:v>
                </c:pt>
                <c:pt idx="74">
                  <c:v>1378.3451297986455</c:v>
                </c:pt>
                <c:pt idx="75">
                  <c:v>1379.7784403155092</c:v>
                </c:pt>
                <c:pt idx="76">
                  <c:v>1381.1759775882315</c:v>
                </c:pt>
                <c:pt idx="77">
                  <c:v>1382.5379996797683</c:v>
                </c:pt>
                <c:pt idx="78">
                  <c:v>1383.8647639533556</c:v>
                </c:pt>
                <c:pt idx="79">
                  <c:v>1385.1565270535943</c:v>
                </c:pt>
                <c:pt idx="80">
                  <c:v>1386.4135448881143</c:v>
                </c:pt>
                <c:pt idx="81">
                  <c:v>1387.636072609801</c:v>
                </c:pt>
                <c:pt idx="82">
                  <c:v>1388.8243645995824</c:v>
                </c:pt>
                <c:pt idx="83">
                  <c:v>1389.9786744497528</c:v>
                </c:pt>
                <c:pt idx="84">
                  <c:v>1391.099254947834</c:v>
                </c:pt>
                <c:pt idx="85">
                  <c:v>1392.1863580609518</c:v>
                </c:pt>
                <c:pt idx="86">
                  <c:v>1393.2402349207225</c:v>
                </c:pt>
                <c:pt idx="87">
                  <c:v>1394.2611358086394</c:v>
                </c:pt>
                <c:pt idx="88">
                  <c:v>1395.2493101419439</c:v>
                </c:pt>
                <c:pt idx="89">
                  <c:v>1396.2050064599769</c:v>
                </c:pt>
                <c:pt idx="90">
                  <c:v>1397.128472410991</c:v>
                </c:pt>
                <c:pt idx="91">
                  <c:v>1398.0199547394261</c:v>
                </c:pt>
                <c:pt idx="92">
                  <c:v>1398.8796992736266</c:v>
                </c:pt>
                <c:pt idx="93">
                  <c:v>1399.7079509139978</c:v>
                </c:pt>
                <c:pt idx="94">
                  <c:v>1400.5049536215893</c:v>
                </c:pt>
                <c:pt idx="95">
                  <c:v>1401.2709504070956</c:v>
                </c:pt>
                <c:pt idx="96">
                  <c:v>1402.0061833202678</c:v>
                </c:pt>
                <c:pt idx="97">
                  <c:v>1402.7108934397229</c:v>
                </c:pt>
                <c:pt idx="98">
                  <c:v>1403.3853208631458</c:v>
                </c:pt>
                <c:pt idx="99">
                  <c:v>1404.0297046978746</c:v>
                </c:pt>
                <c:pt idx="100">
                  <c:v>1404.6442830518567</c:v>
                </c:pt>
                <c:pt idx="101">
                  <c:v>1405.2292930249746</c:v>
                </c:pt>
                <c:pt idx="102">
                  <c:v>1405.7849707007285</c:v>
                </c:pt>
                <c:pt idx="103">
                  <c:v>1406.311551138268</c:v>
                </c:pt>
                <c:pt idx="104">
                  <c:v>1406.8092683647633</c:v>
                </c:pt>
                <c:pt idx="105">
                  <c:v>1407.2783553681197</c:v>
                </c:pt>
                <c:pt idx="106">
                  <c:v>1407.7190440900038</c:v>
                </c:pt>
                <c:pt idx="107">
                  <c:v>1408.1315654192076</c:v>
                </c:pt>
                <c:pt idx="108">
                  <c:v>1408.5161491853078</c:v>
                </c:pt>
                <c:pt idx="109">
                  <c:v>1408.8730241526414</c:v>
                </c:pt>
                <c:pt idx="110">
                  <c:v>1409.2024180145754</c:v>
                </c:pt>
                <c:pt idx="111">
                  <c:v>1409.5045573880686</c:v>
                </c:pt>
                <c:pt idx="112">
                  <c:v>1409.7796678085174</c:v>
                </c:pt>
                <c:pt idx="113">
                  <c:v>1410.0279737248825</c:v>
                </c:pt>
                <c:pt idx="114">
                  <c:v>1410.2496984950812</c:v>
                </c:pt>
                <c:pt idx="115">
                  <c:v>1410.4450643816558</c:v>
                </c:pt>
                <c:pt idx="116">
                  <c:v>1410.6142925476893</c:v>
                </c:pt>
                <c:pt idx="117">
                  <c:v>1410.7576030529842</c:v>
                </c:pt>
                <c:pt idx="118">
                  <c:v>1410.8752148504839</c:v>
                </c:pt>
                <c:pt idx="119">
                  <c:v>1410.9673457829358</c:v>
                </c:pt>
                <c:pt idx="120">
                  <c:v>1411.0342125797927</c:v>
                </c:pt>
                <c:pt idx="121">
                  <c:v>1411.0760308543427</c:v>
                </c:pt>
                <c:pt idx="122">
                  <c:v>1411.0930151010657</c:v>
                </c:pt>
                <c:pt idx="123">
                  <c:v>1411.0853786932062</c:v>
                </c:pt>
                <c:pt idx="124">
                  <c:v>1411.0533338805635</c:v>
                </c:pt>
                <c:pt idx="125">
                  <c:v>1410.9970917874944</c:v>
                </c:pt>
                <c:pt idx="126">
                  <c:v>1410.9168624111094</c:v>
                </c:pt>
                <c:pt idx="127">
                  <c:v>1410.8128546196785</c:v>
                </c:pt>
                <c:pt idx="128">
                  <c:v>1410.6852761512284</c:v>
                </c:pt>
                <c:pt idx="129">
                  <c:v>1410.5343336123265</c:v>
                </c:pt>
                <c:pt idx="130">
                  <c:v>1410.3602324770529</c:v>
                </c:pt>
                <c:pt idx="131">
                  <c:v>1410.1631770861522</c:v>
                </c:pt>
                <c:pt idx="132">
                  <c:v>1409.9433706463622</c:v>
                </c:pt>
                <c:pt idx="133">
                  <c:v>1409.7010152299099</c:v>
                </c:pt>
                <c:pt idx="134">
                  <c:v>1409.4363117741811</c:v>
                </c:pt>
              </c:numCache>
            </c:numRef>
          </c:val>
        </c:ser>
        <c:ser>
          <c:idx val="3"/>
          <c:order val="2"/>
          <c:tx>
            <c:strRef>
              <c:f>mod.math.!$W$1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mod.math.!$W$2:$W$136</c:f>
              <c:numCache>
                <c:formatCode>0.00</c:formatCode>
                <c:ptCount val="135"/>
                <c:pt idx="0">
                  <c:v>241.52903340204068</c:v>
                </c:pt>
                <c:pt idx="1">
                  <c:v>239.19737987234839</c:v>
                </c:pt>
                <c:pt idx="2">
                  <c:v>236.94721362752381</c:v>
                </c:pt>
                <c:pt idx="3">
                  <c:v>234.77610355420589</c:v>
                </c:pt>
                <c:pt idx="4">
                  <c:v>232.6816858046675</c:v>
                </c:pt>
                <c:pt idx="5">
                  <c:v>230.66166196877316</c:v>
                </c:pt>
                <c:pt idx="6">
                  <c:v>228.7137972955336</c:v>
                </c:pt>
                <c:pt idx="7">
                  <c:v>226.83591896290719</c:v>
                </c:pt>
                <c:pt idx="8">
                  <c:v>225.02591439453829</c:v>
                </c:pt>
                <c:pt idx="9">
                  <c:v>223.28172962215604</c:v>
                </c:pt>
                <c:pt idx="10">
                  <c:v>221.60136769239398</c:v>
                </c:pt>
                <c:pt idx="11">
                  <c:v>219.98288711682176</c:v>
                </c:pt>
                <c:pt idx="12">
                  <c:v>218.42440036401626</c:v>
                </c:pt>
                <c:pt idx="13">
                  <c:v>216.92407239252853</c:v>
                </c:pt>
                <c:pt idx="14">
                  <c:v>215.48011922363727</c:v>
                </c:pt>
                <c:pt idx="15">
                  <c:v>214.09080655280562</c:v>
                </c:pt>
                <c:pt idx="16">
                  <c:v>212.75444839879219</c:v>
                </c:pt>
                <c:pt idx="17">
                  <c:v>211.46940578939135</c:v>
                </c:pt>
                <c:pt idx="18">
                  <c:v>210.23408548281009</c:v>
                </c:pt>
                <c:pt idx="19">
                  <c:v>209.04693872371087</c:v>
                </c:pt>
                <c:pt idx="20">
                  <c:v>207.90646003298161</c:v>
                </c:pt>
                <c:pt idx="21">
                  <c:v>206.81118603031507</c:v>
                </c:pt>
                <c:pt idx="22">
                  <c:v>205.75969428870749</c:v>
                </c:pt>
                <c:pt idx="23">
                  <c:v>204.75060222000931</c:v>
                </c:pt>
                <c:pt idx="24">
                  <c:v>203.78256599068479</c:v>
                </c:pt>
                <c:pt idx="25">
                  <c:v>202.85427946696151</c:v>
                </c:pt>
                <c:pt idx="26">
                  <c:v>201.96447318856971</c:v>
                </c:pt>
                <c:pt idx="27">
                  <c:v>201.11191337029751</c:v>
                </c:pt>
                <c:pt idx="28">
                  <c:v>200.29540093060504</c:v>
                </c:pt>
                <c:pt idx="29">
                  <c:v>199.51377054656501</c:v>
                </c:pt>
                <c:pt idx="30">
                  <c:v>198.76588973441244</c:v>
                </c:pt>
                <c:pt idx="31">
                  <c:v>198.05065795501218</c:v>
                </c:pt>
                <c:pt idx="32">
                  <c:v>197.36700574356425</c:v>
                </c:pt>
                <c:pt idx="33">
                  <c:v>196.7138938628915</c:v>
                </c:pt>
                <c:pt idx="34">
                  <c:v>196.09031247966925</c:v>
                </c:pt>
                <c:pt idx="35">
                  <c:v>195.49528036297426</c:v>
                </c:pt>
                <c:pt idx="36">
                  <c:v>194.92784410454743</c:v>
                </c:pt>
                <c:pt idx="37">
                  <c:v>194.38707736018091</c:v>
                </c:pt>
                <c:pt idx="38">
                  <c:v>193.87208011165768</c:v>
                </c:pt>
                <c:pt idx="39">
                  <c:v>193.38197794868444</c:v>
                </c:pt>
                <c:pt idx="40">
                  <c:v>192.91592137027669</c:v>
                </c:pt>
                <c:pt idx="41">
                  <c:v>192.47308510506826</c:v>
                </c:pt>
                <c:pt idx="42">
                  <c:v>192.05266745003124</c:v>
                </c:pt>
                <c:pt idx="43">
                  <c:v>191.6538896271087</c:v>
                </c:pt>
                <c:pt idx="44">
                  <c:v>191.27599515727232</c:v>
                </c:pt>
                <c:pt idx="45">
                  <c:v>190.91824925153429</c:v>
                </c:pt>
                <c:pt idx="46">
                  <c:v>190.57993821845264</c:v>
                </c:pt>
                <c:pt idx="47">
                  <c:v>190.26036888768354</c:v>
                </c:pt>
                <c:pt idx="48">
                  <c:v>189.95886804914534</c:v>
                </c:pt>
                <c:pt idx="49">
                  <c:v>189.67478190737069</c:v>
                </c:pt>
                <c:pt idx="50">
                  <c:v>189.40747555063587</c:v>
                </c:pt>
                <c:pt idx="51">
                  <c:v>189.15633243446635</c:v>
                </c:pt>
                <c:pt idx="52">
                  <c:v>188.92075387912854</c:v>
                </c:pt>
                <c:pt idx="53">
                  <c:v>188.70015858073009</c:v>
                </c:pt>
                <c:pt idx="54">
                  <c:v>188.49398213555818</c:v>
                </c:pt>
                <c:pt idx="55">
                  <c:v>188.30167657729854</c:v>
                </c:pt>
                <c:pt idx="56">
                  <c:v>188.12270992678521</c:v>
                </c:pt>
                <c:pt idx="57">
                  <c:v>187.95656575394295</c:v>
                </c:pt>
                <c:pt idx="58">
                  <c:v>187.80274275158962</c:v>
                </c:pt>
                <c:pt idx="59">
                  <c:v>187.66075432077994</c:v>
                </c:pt>
                <c:pt idx="60">
                  <c:v>187.53012816737632</c:v>
                </c:pt>
                <c:pt idx="61">
                  <c:v>187.4104059095431</c:v>
                </c:pt>
                <c:pt idx="62">
                  <c:v>187.30114269586835</c:v>
                </c:pt>
                <c:pt idx="63">
                  <c:v>187.201906833826</c:v>
                </c:pt>
                <c:pt idx="64">
                  <c:v>187.112279428297</c:v>
                </c:pt>
                <c:pt idx="65">
                  <c:v>187.03185402987867</c:v>
                </c:pt>
                <c:pt idx="66">
                  <c:v>186.96023629271616</c:v>
                </c:pt>
                <c:pt idx="67">
                  <c:v>186.89704364159846</c:v>
                </c:pt>
                <c:pt idx="68">
                  <c:v>186.84190494806882</c:v>
                </c:pt>
                <c:pt idx="69">
                  <c:v>186.79446021530433</c:v>
                </c:pt>
                <c:pt idx="70">
                  <c:v>186.75436027152841</c:v>
                </c:pt>
                <c:pt idx="71">
                  <c:v>186.72126647172539</c:v>
                </c:pt>
                <c:pt idx="72">
                  <c:v>186.69485040743029</c:v>
                </c:pt>
                <c:pt idx="73">
                  <c:v>186.67479362437948</c:v>
                </c:pt>
                <c:pt idx="74">
                  <c:v>186.66078734780447</c:v>
                </c:pt>
                <c:pt idx="75">
                  <c:v>186.65253221516684</c:v>
                </c:pt>
                <c:pt idx="76">
                  <c:v>186.64973801612885</c:v>
                </c:pt>
                <c:pt idx="77">
                  <c:v>186.65212343956716</c:v>
                </c:pt>
                <c:pt idx="78">
                  <c:v>186.65941582743716</c:v>
                </c:pt>
                <c:pt idx="79">
                  <c:v>186.67135093530376</c:v>
                </c:pt>
                <c:pt idx="80">
                  <c:v>186.68767269935748</c:v>
                </c:pt>
                <c:pt idx="81">
                  <c:v>186.70813300974092</c:v>
                </c:pt>
                <c:pt idx="82">
                  <c:v>186.73249149001529</c:v>
                </c:pt>
                <c:pt idx="83">
                  <c:v>186.7605152826001</c:v>
                </c:pt>
                <c:pt idx="84">
                  <c:v>186.79197884002465</c:v>
                </c:pt>
                <c:pt idx="85">
                  <c:v>186.8266637218361</c:v>
                </c:pt>
                <c:pt idx="86">
                  <c:v>186.86435839700704</c:v>
                </c:pt>
                <c:pt idx="87">
                  <c:v>186.90485805169897</c:v>
                </c:pt>
                <c:pt idx="88">
                  <c:v>186.94796440223271</c:v>
                </c:pt>
                <c:pt idx="89">
                  <c:v>186.99348551312767</c:v>
                </c:pt>
                <c:pt idx="90">
                  <c:v>187.04123562007101</c:v>
                </c:pt>
                <c:pt idx="91">
                  <c:v>187.09103495768579</c:v>
                </c:pt>
                <c:pt idx="92">
                  <c:v>187.1427095919656</c:v>
                </c:pt>
                <c:pt idx="93">
                  <c:v>187.19609125725242</c:v>
                </c:pt>
                <c:pt idx="94">
                  <c:v>187.25101719763239</c:v>
                </c:pt>
                <c:pt idx="95">
                  <c:v>187.30733001263252</c:v>
                </c:pt>
                <c:pt idx="96">
                  <c:v>187.36487750709978</c:v>
                </c:pt>
                <c:pt idx="97">
                  <c:v>187.42351254515182</c:v>
                </c:pt>
                <c:pt idx="98">
                  <c:v>187.48309290808743</c:v>
                </c:pt>
                <c:pt idx="99">
                  <c:v>187.5434811561513</c:v>
                </c:pt>
                <c:pt idx="100">
                  <c:v>187.60454449404799</c:v>
                </c:pt>
                <c:pt idx="101">
                  <c:v>187.6661546401042</c:v>
                </c:pt>
                <c:pt idx="102">
                  <c:v>187.72818769898095</c:v>
                </c:pt>
                <c:pt idx="103">
                  <c:v>187.79052403783945</c:v>
                </c:pt>
                <c:pt idx="104">
                  <c:v>187.85304816586822</c:v>
                </c:pt>
                <c:pt idx="105">
                  <c:v>187.91564861707926</c:v>
                </c:pt>
                <c:pt idx="106">
                  <c:v>187.97821783628638</c:v>
                </c:pt>
                <c:pt idx="107">
                  <c:v>188.04065206817967</c:v>
                </c:pt>
                <c:pt idx="108">
                  <c:v>188.10285124941112</c:v>
                </c:pt>
                <c:pt idx="109">
                  <c:v>188.16471890361197</c:v>
                </c:pt>
                <c:pt idx="110">
                  <c:v>188.22616203926168</c:v>
                </c:pt>
                <c:pt idx="111">
                  <c:v>188.28709105033155</c:v>
                </c:pt>
                <c:pt idx="112">
                  <c:v>188.34741961962834</c:v>
                </c:pt>
                <c:pt idx="113">
                  <c:v>188.40706462476493</c:v>
                </c:pt>
                <c:pt idx="114">
                  <c:v>188.46594604668718</c:v>
                </c:pt>
                <c:pt idx="115">
                  <c:v>188.52398688068806</c:v>
                </c:pt>
                <c:pt idx="116">
                  <c:v>188.58111304984163</c:v>
                </c:pt>
                <c:pt idx="117">
                  <c:v>188.63725332079238</c:v>
                </c:pt>
                <c:pt idx="118">
                  <c:v>188.69233922183517</c:v>
                </c:pt>
                <c:pt idx="119">
                  <c:v>188.74630496322501</c:v>
                </c:pt>
                <c:pt idx="120">
                  <c:v>188.79908735965637</c:v>
                </c:pt>
                <c:pt idx="121">
                  <c:v>188.85062575485253</c:v>
                </c:pt>
                <c:pt idx="122">
                  <c:v>188.90086194820981</c:v>
                </c:pt>
                <c:pt idx="123">
                  <c:v>188.94974012343962</c:v>
                </c:pt>
                <c:pt idx="124">
                  <c:v>188.99720677915519</c:v>
                </c:pt>
                <c:pt idx="125">
                  <c:v>189.04321066135068</c:v>
                </c:pt>
                <c:pt idx="126">
                  <c:v>189.08770269772111</c:v>
                </c:pt>
                <c:pt idx="127">
                  <c:v>189.13063593377396</c:v>
                </c:pt>
                <c:pt idx="128">
                  <c:v>189.17196547068403</c:v>
                </c:pt>
                <c:pt idx="129">
                  <c:v>189.21164840484386</c:v>
                </c:pt>
                <c:pt idx="130">
                  <c:v>189.24964376906567</c:v>
                </c:pt>
                <c:pt idx="131">
                  <c:v>189.28591247538782</c:v>
                </c:pt>
                <c:pt idx="132">
                  <c:v>189.32041725944555</c:v>
                </c:pt>
                <c:pt idx="133">
                  <c:v>189.35312262636052</c:v>
                </c:pt>
                <c:pt idx="134">
                  <c:v>189.38399479811096</c:v>
                </c:pt>
              </c:numCache>
            </c:numRef>
          </c:val>
        </c:ser>
        <c:ser>
          <c:idx val="4"/>
          <c:order val="3"/>
          <c:tx>
            <c:strRef>
              <c:f>mod.math.!$X$1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mod.math.!$X$2:$X$136</c:f>
              <c:numCache>
                <c:formatCode>0.00</c:formatCode>
                <c:ptCount val="135"/>
                <c:pt idx="0">
                  <c:v>82.180003066254699</c:v>
                </c:pt>
                <c:pt idx="1">
                  <c:v>82.677242875249476</c:v>
                </c:pt>
                <c:pt idx="2">
                  <c:v>83.163231226244704</c:v>
                </c:pt>
                <c:pt idx="3">
                  <c:v>83.638308819265603</c:v>
                </c:pt>
                <c:pt idx="4">
                  <c:v>84.102806532346904</c:v>
                </c:pt>
                <c:pt idx="5">
                  <c:v>84.557045687099958</c:v>
                </c:pt>
                <c:pt idx="6">
                  <c:v>85.001338307226831</c:v>
                </c:pt>
                <c:pt idx="7">
                  <c:v>85.435987370175326</c:v>
                </c:pt>
                <c:pt idx="8">
                  <c:v>85.861287052120247</c:v>
                </c:pt>
                <c:pt idx="9">
                  <c:v>86.277522966441438</c:v>
                </c:pt>
                <c:pt idx="10">
                  <c:v>86.684972395875889</c:v>
                </c:pt>
                <c:pt idx="11">
                  <c:v>87.08390451851335</c:v>
                </c:pt>
                <c:pt idx="12">
                  <c:v>87.474580627792136</c:v>
                </c:pt>
                <c:pt idx="13">
                  <c:v>87.857254346665115</c:v>
                </c:pt>
                <c:pt idx="14">
                  <c:v>88.232171836080454</c:v>
                </c:pt>
                <c:pt idx="15">
                  <c:v>88.599571997936039</c:v>
                </c:pt>
                <c:pt idx="16">
                  <c:v>88.959686672647877</c:v>
                </c:pt>
                <c:pt idx="17">
                  <c:v>89.312740831482188</c:v>
                </c:pt>
                <c:pt idx="18">
                  <c:v>89.65895276378302</c:v>
                </c:pt>
                <c:pt idx="19">
                  <c:v>89.998534259236862</c:v>
                </c:pt>
                <c:pt idx="20">
                  <c:v>90.331690785303579</c:v>
                </c:pt>
                <c:pt idx="21">
                  <c:v>90.658621659939797</c:v>
                </c:pt>
                <c:pt idx="22">
                  <c:v>90.979520219742881</c:v>
                </c:pt>
                <c:pt idx="23">
                  <c:v>91.294573983638543</c:v>
                </c:pt>
                <c:pt idx="24">
                  <c:v>91.60396481222017</c:v>
                </c:pt>
                <c:pt idx="25">
                  <c:v>91.907869062870304</c:v>
                </c:pt>
                <c:pt idx="26">
                  <c:v>92.206457740763199</c:v>
                </c:pt>
                <c:pt idx="27">
                  <c:v>92.499896645862918</c:v>
                </c:pt>
                <c:pt idx="28">
                  <c:v>92.788346516025058</c:v>
                </c:pt>
                <c:pt idx="29">
                  <c:v>93.071963166299781</c:v>
                </c:pt>
                <c:pt idx="30">
                  <c:v>93.350897624541687</c:v>
                </c:pt>
                <c:pt idx="31">
                  <c:v>93.625296263420353</c:v>
                </c:pt>
                <c:pt idx="32">
                  <c:v>93.895300928932272</c:v>
                </c:pt>
                <c:pt idx="33">
                  <c:v>94.161049065498673</c:v>
                </c:pt>
                <c:pt idx="34">
                  <c:v>94.422673837746856</c:v>
                </c:pt>
                <c:pt idx="35">
                  <c:v>94.68030424905993</c:v>
                </c:pt>
                <c:pt idx="36">
                  <c:v>94.934065256980091</c:v>
                </c:pt>
                <c:pt idx="37">
                  <c:v>95.184077885548106</c:v>
                </c:pt>
                <c:pt idx="38">
                  <c:v>95.43045933466118</c:v>
                </c:pt>
                <c:pt idx="39">
                  <c:v>95.673323086528967</c:v>
                </c:pt>
                <c:pt idx="40">
                  <c:v>95.912779009301289</c:v>
                </c:pt>
                <c:pt idx="41">
                  <c:v>96.148933457944111</c:v>
                </c:pt>
                <c:pt idx="42">
                  <c:v>96.381889372440071</c:v>
                </c:pt>
                <c:pt idx="43">
                  <c:v>96.611746373372455</c:v>
                </c:pt>
                <c:pt idx="44">
                  <c:v>96.83860085497713</c:v>
                </c:pt>
                <c:pt idx="45">
                  <c:v>97.062546075721002</c:v>
                </c:pt>
                <c:pt idx="46">
                  <c:v>97.283672246468825</c:v>
                </c:pt>
                <c:pt idx="47">
                  <c:v>97.502066616307673</c:v>
                </c:pt>
                <c:pt idx="48">
                  <c:v>97.717813556093915</c:v>
                </c:pt>
                <c:pt idx="49">
                  <c:v>97.930994639771598</c:v>
                </c:pt>
                <c:pt idx="50">
                  <c:v>98.141688723532184</c:v>
                </c:pt>
                <c:pt idx="51">
                  <c:v>98.349972022866496</c:v>
                </c:pt>
                <c:pt idx="52">
                  <c:v>98.55591818756443</c:v>
                </c:pt>
                <c:pt idx="53">
                  <c:v>98.759598374720895</c:v>
                </c:pt>
                <c:pt idx="54">
                  <c:v>98.961081319794857</c:v>
                </c:pt>
                <c:pt idx="55">
                  <c:v>99.16043340577761</c:v>
                </c:pt>
                <c:pt idx="56">
                  <c:v>99.357718730516751</c:v>
                </c:pt>
                <c:pt idx="57">
                  <c:v>99.552999172242949</c:v>
                </c:pt>
                <c:pt idx="58">
                  <c:v>99.746334453356383</c:v>
                </c:pt>
                <c:pt idx="59">
                  <c:v>99.937782202504138</c:v>
                </c:pt>
                <c:pt idx="60">
                  <c:v>100.12739801500641</c:v>
                </c:pt>
                <c:pt idx="61">
                  <c:v>100.31523551166583</c:v>
                </c:pt>
                <c:pt idx="62">
                  <c:v>100.50134639600856</c:v>
                </c:pt>
                <c:pt idx="63">
                  <c:v>100.68578050999588</c:v>
                </c:pt>
                <c:pt idx="64">
                  <c:v>100.8685858882447</c:v>
                </c:pt>
                <c:pt idx="65">
                  <c:v>101.04980881080172</c:v>
                </c:pt>
                <c:pt idx="66">
                  <c:v>101.22949385450153</c:v>
                </c:pt>
                <c:pt idx="67">
                  <c:v>101.40768394295355</c:v>
                </c:pt>
                <c:pt idx="68">
                  <c:v>101.58442039518764</c:v>
                </c:pt>
                <c:pt idx="69">
                  <c:v>101.75974297299797</c:v>
                </c:pt>
                <c:pt idx="70">
                  <c:v>101.93368992701659</c:v>
                </c:pt>
                <c:pt idx="71">
                  <c:v>102.10629804155292</c:v>
                </c:pt>
                <c:pt idx="72">
                  <c:v>102.27760267822595</c:v>
                </c:pt>
                <c:pt idx="73">
                  <c:v>102.44763781842954</c:v>
                </c:pt>
                <c:pt idx="74">
                  <c:v>102.61643610465325</c:v>
                </c:pt>
                <c:pt idx="75">
                  <c:v>102.78402888069274</c:v>
                </c:pt>
                <c:pt idx="76">
                  <c:v>102.95044623077854</c:v>
                </c:pt>
                <c:pt idx="77">
                  <c:v>103.11571701765115</c:v>
                </c:pt>
                <c:pt idx="78">
                  <c:v>103.27986891961132</c:v>
                </c:pt>
                <c:pt idx="79">
                  <c:v>103.44292846656668</c:v>
                </c:pt>
                <c:pt idx="80">
                  <c:v>103.60492107511391</c:v>
                </c:pt>
                <c:pt idx="81">
                  <c:v>103.76587108266421</c:v>
                </c:pt>
                <c:pt idx="82">
                  <c:v>103.92580178065498</c:v>
                </c:pt>
                <c:pt idx="83">
                  <c:v>104.08473544685404</c:v>
                </c:pt>
                <c:pt idx="84">
                  <c:v>104.2426933768005</c:v>
                </c:pt>
                <c:pt idx="85">
                  <c:v>104.39969591438069</c:v>
                </c:pt>
                <c:pt idx="86">
                  <c:v>104.55576248158695</c:v>
                </c:pt>
                <c:pt idx="87">
                  <c:v>104.7109116074605</c:v>
                </c:pt>
                <c:pt idx="88">
                  <c:v>104.8651609562512</c:v>
                </c:pt>
                <c:pt idx="89">
                  <c:v>105.01852735481049</c:v>
                </c:pt>
                <c:pt idx="90">
                  <c:v>105.1710268192391</c:v>
                </c:pt>
                <c:pt idx="91">
                  <c:v>105.32267458080753</c:v>
                </c:pt>
                <c:pt idx="92">
                  <c:v>105.47348511117048</c:v>
                </c:pt>
                <c:pt idx="93">
                  <c:v>105.62347214689191</c:v>
                </c:pt>
                <c:pt idx="94">
                  <c:v>105.77264871329777</c:v>
                </c:pt>
                <c:pt idx="95">
                  <c:v>105.92102714768004</c:v>
                </c:pt>
                <c:pt idx="96">
                  <c:v>106.06861912185968</c:v>
                </c:pt>
                <c:pt idx="97">
                  <c:v>106.21543566413374</c:v>
                </c:pt>
                <c:pt idx="98">
                  <c:v>106.36148718061838</c:v>
                </c:pt>
                <c:pt idx="99">
                  <c:v>106.50678347600405</c:v>
                </c:pt>
                <c:pt idx="100">
                  <c:v>106.65133377373883</c:v>
                </c:pt>
                <c:pt idx="101">
                  <c:v>106.79514673565637</c:v>
                </c:pt>
                <c:pt idx="102">
                  <c:v>106.93823048105924</c:v>
                </c:pt>
                <c:pt idx="103">
                  <c:v>107.08059260527682</c:v>
                </c:pt>
                <c:pt idx="104">
                  <c:v>107.22224019770579</c:v>
                </c:pt>
                <c:pt idx="105">
                  <c:v>107.3631798593529</c:v>
                </c:pt>
                <c:pt idx="106">
                  <c:v>107.50341771988764</c:v>
                </c:pt>
                <c:pt idx="107">
                  <c:v>107.64295945422276</c:v>
                </c:pt>
                <c:pt idx="108">
                  <c:v>107.78181029862878</c:v>
                </c:pt>
                <c:pt idx="109">
                  <c:v>107.91997506640155</c:v>
                </c:pt>
                <c:pt idx="110">
                  <c:v>108.05745816309047</c:v>
                </c:pt>
                <c:pt idx="111">
                  <c:v>108.19426360129722</c:v>
                </c:pt>
                <c:pt idx="112">
                  <c:v>108.33039501506295</c:v>
                </c:pt>
                <c:pt idx="113">
                  <c:v>108.4658556738479</c:v>
                </c:pt>
                <c:pt idx="114">
                  <c:v>108.60064849611638</c:v>
                </c:pt>
                <c:pt idx="115">
                  <c:v>108.73477606253999</c:v>
                </c:pt>
                <c:pt idx="116">
                  <c:v>108.86824062882545</c:v>
                </c:pt>
                <c:pt idx="117">
                  <c:v>109.00104413817837</c:v>
                </c:pt>
                <c:pt idx="118">
                  <c:v>109.13318823341382</c:v>
                </c:pt>
                <c:pt idx="119">
                  <c:v>109.26467426872136</c:v>
                </c:pt>
                <c:pt idx="120">
                  <c:v>109.39550332109184</c:v>
                </c:pt>
                <c:pt idx="121">
                  <c:v>109.52567620142122</c:v>
                </c:pt>
                <c:pt idx="122">
                  <c:v>109.65519346529146</c:v>
                </c:pt>
                <c:pt idx="123">
                  <c:v>109.78405542344444</c:v>
                </c:pt>
                <c:pt idx="124">
                  <c:v>109.91226215195155</c:v>
                </c:pt>
                <c:pt idx="125">
                  <c:v>110.03981350209062</c:v>
                </c:pt>
                <c:pt idx="126">
                  <c:v>110.16670910993554</c:v>
                </c:pt>
                <c:pt idx="127">
                  <c:v>110.29294840566729</c:v>
                </c:pt>
                <c:pt idx="128">
                  <c:v>110.41853062261413</c:v>
                </c:pt>
                <c:pt idx="129">
                  <c:v>110.54345480602655</c:v>
                </c:pt>
                <c:pt idx="130">
                  <c:v>110.66771982159491</c:v>
                </c:pt>
                <c:pt idx="131">
                  <c:v>110.79132436371765</c:v>
                </c:pt>
                <c:pt idx="132">
                  <c:v>110.91426696352306</c:v>
                </c:pt>
                <c:pt idx="133">
                  <c:v>111.03654599665668</c:v>
                </c:pt>
                <c:pt idx="134">
                  <c:v>111.15815969083536</c:v>
                </c:pt>
              </c:numCache>
            </c:numRef>
          </c:val>
        </c:ser>
        <c:ser>
          <c:idx val="5"/>
          <c:order val="4"/>
          <c:tx>
            <c:strRef>
              <c:f>mod.math.!$Y$1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mod.math.!$Y$2:$Y$136</c:f>
              <c:numCache>
                <c:formatCode>0.00</c:formatCode>
                <c:ptCount val="135"/>
                <c:pt idx="0">
                  <c:v>52.114148285917622</c:v>
                </c:pt>
                <c:pt idx="1">
                  <c:v>52.221948130873727</c:v>
                </c:pt>
                <c:pt idx="2">
                  <c:v>52.318822213654499</c:v>
                </c:pt>
                <c:pt idx="3">
                  <c:v>52.405270436102484</c:v>
                </c:pt>
                <c:pt idx="4">
                  <c:v>52.481774926834817</c:v>
                </c:pt>
                <c:pt idx="5">
                  <c:v>52.548800597617372</c:v>
                </c:pt>
                <c:pt idx="6">
                  <c:v>52.606795683418596</c:v>
                </c:pt>
                <c:pt idx="7">
                  <c:v>52.656192266603625</c:v>
                </c:pt>
                <c:pt idx="8">
                  <c:v>52.697406785720034</c:v>
                </c:pt>
                <c:pt idx="9">
                  <c:v>52.730840529311166</c:v>
                </c:pt>
                <c:pt idx="10">
                  <c:v>52.756880115184657</c:v>
                </c:pt>
                <c:pt idx="11">
                  <c:v>52.775897955547094</c:v>
                </c:pt>
                <c:pt idx="12">
                  <c:v>52.78825270840845</c:v>
                </c:pt>
                <c:pt idx="13">
                  <c:v>52.794289715645945</c:v>
                </c:pt>
                <c:pt idx="14">
                  <c:v>52.7943414281077</c:v>
                </c:pt>
                <c:pt idx="15">
                  <c:v>52.788727818125182</c:v>
                </c:pt>
                <c:pt idx="16">
                  <c:v>52.777756779793066</c:v>
                </c:pt>
                <c:pt idx="17">
                  <c:v>52.761724517365778</c:v>
                </c:pt>
                <c:pt idx="18">
                  <c:v>52.740915922109252</c:v>
                </c:pt>
                <c:pt idx="19">
                  <c:v>52.715604937938252</c:v>
                </c:pt>
                <c:pt idx="20">
                  <c:v>52.686054916158938</c:v>
                </c:pt>
                <c:pt idx="21">
                  <c:v>52.65251895962831</c:v>
                </c:pt>
                <c:pt idx="22">
                  <c:v>52.615240256633967</c:v>
                </c:pt>
                <c:pt idx="23">
                  <c:v>52.57445240478684</c:v>
                </c:pt>
                <c:pt idx="24">
                  <c:v>52.530379725214928</c:v>
                </c:pt>
                <c:pt idx="25">
                  <c:v>52.483237567334257</c:v>
                </c:pt>
                <c:pt idx="26">
                  <c:v>52.433232604468301</c:v>
                </c:pt>
                <c:pt idx="27">
                  <c:v>52.3805631205786</c:v>
                </c:pt>
                <c:pt idx="28">
                  <c:v>52.325419288360365</c:v>
                </c:pt>
                <c:pt idx="29">
                  <c:v>52.267983438954104</c:v>
                </c:pt>
                <c:pt idx="30">
                  <c:v>52.208430323510768</c:v>
                </c:pt>
                <c:pt idx="31">
                  <c:v>52.146927366848175</c:v>
                </c:pt>
                <c:pt idx="32">
                  <c:v>52.083634913424078</c:v>
                </c:pt>
                <c:pt idx="33">
                  <c:v>52.01870646584895</c:v>
                </c:pt>
                <c:pt idx="34">
                  <c:v>51.952288916152384</c:v>
                </c:pt>
                <c:pt idx="35">
                  <c:v>51.884522770013547</c:v>
                </c:pt>
                <c:pt idx="36">
                  <c:v>51.81554236415775</c:v>
                </c:pt>
                <c:pt idx="37">
                  <c:v>51.745476077117416</c:v>
                </c:pt>
                <c:pt idx="38">
                  <c:v>51.674446533549172</c:v>
                </c:pt>
                <c:pt idx="39">
                  <c:v>51.602570802294125</c:v>
                </c:pt>
                <c:pt idx="40">
                  <c:v>51.52996058836149</c:v>
                </c:pt>
                <c:pt idx="41">
                  <c:v>51.456722419013389</c:v>
                </c:pt>
                <c:pt idx="42">
                  <c:v>51.382957824120609</c:v>
                </c:pt>
                <c:pt idx="43">
                  <c:v>51.308763510956894</c:v>
                </c:pt>
                <c:pt idx="44">
                  <c:v>51.234231533592663</c:v>
                </c:pt>
                <c:pt idx="45">
                  <c:v>51.159449457045767</c:v>
                </c:pt>
                <c:pt idx="46">
                  <c:v>51.084500516342018</c:v>
                </c:pt>
                <c:pt idx="47">
                  <c:v>51.009463770633687</c:v>
                </c:pt>
                <c:pt idx="48">
                  <c:v>50.934414252520526</c:v>
                </c:pt>
                <c:pt idx="49">
                  <c:v>50.859423112712946</c:v>
                </c:pt>
                <c:pt idx="50">
                  <c:v>50.784557760173968</c:v>
                </c:pt>
                <c:pt idx="51">
                  <c:v>50.709881997872486</c:v>
                </c:pt>
                <c:pt idx="52">
                  <c:v>50.635456154275545</c:v>
                </c:pt>
                <c:pt idx="53">
                  <c:v>50.561337210705403</c:v>
                </c:pt>
                <c:pt idx="54">
                  <c:v>50.487578924682651</c:v>
                </c:pt>
                <c:pt idx="55">
                  <c:v>50.414231949372649</c:v>
                </c:pt>
                <c:pt idx="56">
                  <c:v>50.341343949251225</c:v>
                </c:pt>
                <c:pt idx="57">
                  <c:v>50.268959712099544</c:v>
                </c:pt>
                <c:pt idx="58">
                  <c:v>50.197121257437175</c:v>
                </c:pt>
                <c:pt idx="59">
                  <c:v>50.125867941498115</c:v>
                </c:pt>
                <c:pt idx="60">
                  <c:v>50.05523655885294</c:v>
                </c:pt>
                <c:pt idx="61">
                  <c:v>49.985261440774053</c:v>
                </c:pt>
                <c:pt idx="62">
                  <c:v>49.915974550442954</c:v>
                </c:pt>
                <c:pt idx="63">
                  <c:v>49.847405575091685</c:v>
                </c:pt>
                <c:pt idx="64">
                  <c:v>49.779582015169481</c:v>
                </c:pt>
                <c:pt idx="65">
                  <c:v>49.712529270623975</c:v>
                </c:pt>
                <c:pt idx="66">
                  <c:v>49.646270724381722</c:v>
                </c:pt>
                <c:pt idx="67">
                  <c:v>49.580827823111903</c:v>
                </c:pt>
                <c:pt idx="68">
                  <c:v>49.516220155354802</c:v>
                </c:pt>
                <c:pt idx="69">
                  <c:v>49.452465527092485</c:v>
                </c:pt>
                <c:pt idx="70">
                  <c:v>49.389580034839639</c:v>
                </c:pt>
                <c:pt idx="71">
                  <c:v>49.327578136327745</c:v>
                </c:pt>
                <c:pt idx="72">
                  <c:v>49.266472718854935</c:v>
                </c:pt>
                <c:pt idx="73">
                  <c:v>49.206275165372269</c:v>
                </c:pt>
                <c:pt idx="74">
                  <c:v>49.14699541837367</c:v>
                </c:pt>
                <c:pt idx="75">
                  <c:v>49.088642041656215</c:v>
                </c:pt>
                <c:pt idx="76">
                  <c:v>49.031222280014632</c:v>
                </c:pt>
                <c:pt idx="77">
                  <c:v>48.974742116932624</c:v>
                </c:pt>
                <c:pt idx="78">
                  <c:v>48.919206330331434</c:v>
                </c:pt>
                <c:pt idx="79">
                  <c:v>48.864618546434727</c:v>
                </c:pt>
                <c:pt idx="80">
                  <c:v>48.810981291806605</c:v>
                </c:pt>
                <c:pt idx="81">
                  <c:v>48.758296043618657</c:v>
                </c:pt>
                <c:pt idx="82">
                  <c:v>48.70656327819934</c:v>
                </c:pt>
                <c:pt idx="83">
                  <c:v>48.655782517918709</c:v>
                </c:pt>
                <c:pt idx="84">
                  <c:v>48.605952376458994</c:v>
                </c:pt>
                <c:pt idx="85">
                  <c:v>48.557070602520398</c:v>
                </c:pt>
                <c:pt idx="86">
                  <c:v>48.509134122009705</c:v>
                </c:pt>
                <c:pt idx="87">
                  <c:v>48.462139078759279</c:v>
                </c:pt>
                <c:pt idx="88">
                  <c:v>48.416080873820313</c:v>
                </c:pt>
                <c:pt idx="89">
                  <c:v>48.37095420337527</c:v>
                </c:pt>
                <c:pt idx="90">
                  <c:v>48.326753095311481</c:v>
                </c:pt>
                <c:pt idx="91">
                  <c:v>48.283470944497751</c:v>
                </c:pt>
                <c:pt idx="92">
                  <c:v>48.241100546803551</c:v>
                </c:pt>
                <c:pt idx="93">
                  <c:v>48.19963413190051</c:v>
                </c:pt>
                <c:pt idx="94">
                  <c:v>48.159063394883539</c:v>
                </c:pt>
                <c:pt idx="95">
                  <c:v>48.119379526748432</c:v>
                </c:pt>
                <c:pt idx="96">
                  <c:v>48.080573243761918</c:v>
                </c:pt>
                <c:pt idx="97">
                  <c:v>48.042634815758376</c:v>
                </c:pt>
                <c:pt idx="98">
                  <c:v>48.005554093397173</c:v>
                </c:pt>
                <c:pt idx="99">
                  <c:v>47.969320534413214</c:v>
                </c:pt>
                <c:pt idx="100">
                  <c:v>47.933923228892382</c:v>
                </c:pt>
                <c:pt idx="101">
                  <c:v>47.899350923602192</c:v>
                </c:pt>
                <c:pt idx="102">
                  <c:v>47.865592045408647</c:v>
                </c:pt>
                <c:pt idx="103">
                  <c:v>47.832634723806812</c:v>
                </c:pt>
                <c:pt idx="104">
                  <c:v>47.800466812594308</c:v>
                </c:pt>
                <c:pt idx="105">
                  <c:v>47.769075910714847</c:v>
                </c:pt>
                <c:pt idx="106">
                  <c:v>47.738449382297652</c:v>
                </c:pt>
                <c:pt idx="107">
                  <c:v>47.708574375919483</c:v>
                </c:pt>
                <c:pt idx="108">
                  <c:v>47.679437843113305</c:v>
                </c:pt>
                <c:pt idx="109">
                  <c:v>47.651026556148217</c:v>
                </c:pt>
                <c:pt idx="110">
                  <c:v>47.62332712510463</c:v>
                </c:pt>
                <c:pt idx="111">
                  <c:v>47.596326014266147</c:v>
                </c:pt>
                <c:pt idx="112">
                  <c:v>47.570009557851805</c:v>
                </c:pt>
                <c:pt idx="113">
                  <c:v>47.54436397510915</c:v>
                </c:pt>
                <c:pt idx="114">
                  <c:v>47.519375384789114</c:v>
                </c:pt>
                <c:pt idx="115">
                  <c:v>47.495029819023529</c:v>
                </c:pt>
                <c:pt idx="116">
                  <c:v>47.471313236623772</c:v>
                </c:pt>
                <c:pt idx="117">
                  <c:v>47.448211535820668</c:v>
                </c:pt>
                <c:pt idx="118">
                  <c:v>47.425710566463465</c:v>
                </c:pt>
                <c:pt idx="119">
                  <c:v>47.403796141695722</c:v>
                </c:pt>
                <c:pt idx="120">
                  <c:v>47.382454049126068</c:v>
                </c:pt>
                <c:pt idx="121">
                  <c:v>47.361670061509813</c:v>
                </c:pt>
                <c:pt idx="122">
                  <c:v>47.341429946958627</c:v>
                </c:pt>
                <c:pt idx="123">
                  <c:v>47.321719478693289</c:v>
                </c:pt>
                <c:pt idx="124">
                  <c:v>47.302524444355655</c:v>
                </c:pt>
                <c:pt idx="125">
                  <c:v>47.283830654894061</c:v>
                </c:pt>
                <c:pt idx="126">
                  <c:v>47.265623953036929</c:v>
                </c:pt>
                <c:pt idx="127">
                  <c:v>47.24789022136882</c:v>
                </c:pt>
                <c:pt idx="128">
                  <c:v>47.230615390021903</c:v>
                </c:pt>
                <c:pt idx="129">
                  <c:v>47.213785443996613</c:v>
                </c:pt>
                <c:pt idx="130">
                  <c:v>47.197386430123757</c:v>
                </c:pt>
                <c:pt idx="131">
                  <c:v>47.181404463681019</c:v>
                </c:pt>
                <c:pt idx="132">
                  <c:v>47.165825734675238</c:v>
                </c:pt>
                <c:pt idx="133">
                  <c:v>47.150636513802638</c:v>
                </c:pt>
                <c:pt idx="134">
                  <c:v>47.135823158097722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99680"/>
        <c:axId val="203001216"/>
      </c:areaChart>
      <c:catAx>
        <c:axId val="20299968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203001216"/>
        <c:crosses val="autoZero"/>
        <c:auto val="1"/>
        <c:lblAlgn val="ctr"/>
        <c:lblOffset val="100"/>
        <c:noMultiLvlLbl val="0"/>
      </c:catAx>
      <c:valAx>
        <c:axId val="203001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299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4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5">
        <row r="43">
          <cell r="AJ43">
            <v>8.108319033774616E-3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abSelected="1" zoomScale="70" zoomScaleNormal="70" workbookViewId="0">
      <selection activeCell="C25" sqref="C25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20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21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21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21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21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21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21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21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21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21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21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21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22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9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9"/>
      <c r="B24" s="45" t="s">
        <v>58</v>
      </c>
      <c r="C24" s="76">
        <v>75</v>
      </c>
      <c r="I24" s="7"/>
    </row>
    <row r="25" spans="1:16" ht="15.75" customHeight="1" thickBot="1">
      <c r="A25" s="119"/>
      <c r="B25" s="45" t="s">
        <v>71</v>
      </c>
      <c r="C25" s="46">
        <f>C24/100*C23</f>
        <v>2250</v>
      </c>
      <c r="E25" s="9" t="s">
        <v>57</v>
      </c>
      <c r="G25" s="116" t="s">
        <v>141</v>
      </c>
      <c r="H25" s="117"/>
      <c r="I25" s="117"/>
      <c r="J25" s="118" t="s">
        <v>144</v>
      </c>
      <c r="K25" s="118"/>
    </row>
    <row r="26" spans="1:16" ht="15.75" thickBot="1">
      <c r="A26" s="119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9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9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9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9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9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9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9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9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8.108319033774616E-3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2" sqref="J2:J13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184"/>
  <sheetViews>
    <sheetView topLeftCell="A142" zoomScale="85" zoomScaleNormal="85" workbookViewId="0">
      <selection activeCell="D161" sqref="D161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1" bestFit="1" customWidth="1"/>
    <col min="9" max="9" width="9.25" style="111" bestFit="1" customWidth="1"/>
    <col min="10" max="13" width="8.25" style="111" bestFit="1" customWidth="1"/>
    <col min="14" max="14" width="13.375" style="111" bestFit="1" customWidth="1"/>
    <col min="15" max="15" width="11" style="111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10" t="s">
        <v>149</v>
      </c>
      <c r="B1" s="5" t="s">
        <v>81</v>
      </c>
      <c r="C1" s="2"/>
      <c r="D1" s="29"/>
      <c r="E1" s="110" t="s">
        <v>148</v>
      </c>
      <c r="F1" s="111"/>
      <c r="G1" s="111"/>
      <c r="H1" s="111"/>
      <c r="I1" s="111"/>
      <c r="J1" s="111"/>
      <c r="K1" s="111"/>
      <c r="L1" s="111"/>
      <c r="M1" s="111"/>
      <c r="N1" s="109" t="s">
        <v>147</v>
      </c>
      <c r="O1" s="111"/>
      <c r="P1" s="109"/>
      <c r="Q1" s="106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2">
        <f>-(Données!I$44*1E-24*B$12+Données!F$44)</f>
        <v>-5.7434633429516339E-9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O2" s="112">
        <f t="array" ref="O2:O9">MMULT($F$2:$M$9,B2:B9)</f>
        <v>-1.0936535204340274E-7</v>
      </c>
      <c r="Q2" s="107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 t="shared" ref="T2:T33" si="2">$F$148*EXP($F$24*$S2)+$G$148*EXP($G$24*$S2)+$H$148*EXP($H$24*$S2)+$I$148*EXP($I$24*$S2)+$J$148*EXP($J$24*$S2)+$K$148*EXP($K$24*$S2)+$L$148*EXP($L$24*$S2)+$M$148*EXP($M$24*$S2)</f>
        <v>19.041708027546772</v>
      </c>
      <c r="U2" s="42">
        <f>$F$149*EXP($F$24*$S2)+$G$149*EXP($G$24*$S2)+$H$149*EXP($H$24*$S2)+$I$149*EXP($I$24*$S2)+$J$149*EXP($J$24*$S2)+$K$149*EXP($K$24*$S2)+$L$149*EXP($L$24*$S2)+$M$149*EXP($M$24*$S2)</f>
        <v>3461.582080376133</v>
      </c>
      <c r="V2" s="42">
        <f t="shared" ref="V2:V33" si="3">$F$150*EXP($F$24*$S2)+$G$150*EXP($G$24*$S2)+$H$150*EXP($H$24*$S2)+$I$150*EXP($I$24*$S2)+$J$150*EXP($J$24*$S2)+$K$150*EXP($K$24*$S2)+$L$150*EXP($L$24*$S2)+$M$150*EXP($M$24*$S2)</f>
        <v>1154.5288235649405</v>
      </c>
      <c r="W2" s="42">
        <f t="shared" ref="W2:W33" si="4">$F$151*EXP($F$24*$S2)+$G$151*EXP($G$24*$S2)+$H$151*EXP($H$24*$S2)+$I$151*EXP($I$24*$S2)+$J$151*EXP($J$24*$S2)+$K$151*EXP($K$24*$S2)+$L$151*EXP($L$24*$S2)+$M$151*EXP($M$24*$S2)</f>
        <v>241.52903340204068</v>
      </c>
      <c r="X2" s="42">
        <f t="shared" ref="X2:X33" si="5">$F$152*EXP($F$24*$S2)+$G$152*EXP($G$24*$S2)+$H$152*EXP($H$24*$S2)+$I$152*EXP($I$24*$S2)+$J$152*EXP($J$24*$S2)+$K$152*EXP($K$24*$S2)+$L$152*EXP($L$24*$S2)+$M$152*EXP($M$24*$S2)</f>
        <v>82.180003066254699</v>
      </c>
      <c r="Y2" s="42">
        <f t="shared" ref="Y2:Y33" si="6">$F$153*EXP($F$24*$S2)+$G$153*EXP($G$24*$S2)+$H$153*EXP($H$24*$S2)+$I$153*EXP($I$24*$S2)+$J$153*EXP($J$24*$S2)+$K$153*EXP($K$24*$S2)+$L$153*EXP($L$24*$S2)+$M$153*EXP($M$24*$S2)</f>
        <v>52.114148285917622</v>
      </c>
      <c r="Z2" s="42">
        <f t="shared" ref="Z2:Z33" si="7">$F$154*EXP($F$24*$S2)+$G$154*EXP($G$24*$S2)+$H$154*EXP($H$24*$S2)+$I$154*EXP($I$24*$S2)+$J$154*EXP($J$24*$S2)+$K$154*EXP($K$24*$S2)+$L$154*EXP($L$24*$S2)+$M$154*EXP($M$24*$S2)</f>
        <v>138.97314965789133</v>
      </c>
      <c r="AA2" s="42">
        <f t="shared" ref="AA2:AA33" si="8">$F$155*EXP($F$24*$S2)+$G$155*EXP($G$24*$S2)+$H$155*EXP($H$24*$S2)+$I$155*EXP($I$24*$S2)+$J$155*EXP($J$24*$S2)+$K$155*EXP($K$24*$S2)+$L$155*EXP($L$24*$S2)+$M$155*EXP($M$24*$S2)</f>
        <v>26586.632553782747</v>
      </c>
    </row>
    <row r="3" spans="1:29" ht="15.75" thickBot="1">
      <c r="A3" s="101" t="s">
        <v>9</v>
      </c>
      <c r="B3" s="73">
        <f>Données!D11</f>
        <v>3461.5820803761339</v>
      </c>
      <c r="F3" s="112">
        <f>Données!H$44*1E-24*B$12</f>
        <v>1.5619926534195389E-9</v>
      </c>
      <c r="G3" s="112">
        <f>-(Données!I$45*1E-24*B$12+Données!F$45)</f>
        <v>-6.9349911725794344E-9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2">
        <f>(Données!H$51*1E-24*B$12)</f>
        <v>8.2599399375528609E-10</v>
      </c>
      <c r="O3" s="112">
        <v>-2.015899358916743E-6</v>
      </c>
      <c r="Q3" s="108">
        <v>1</v>
      </c>
      <c r="R3" s="27">
        <f t="shared" si="0"/>
        <v>8.3333333333333329E-2</v>
      </c>
      <c r="S3" s="18">
        <f t="shared" si="1"/>
        <v>2628000</v>
      </c>
      <c r="T3" s="42">
        <f t="shared" si="2"/>
        <v>18.756454084060483</v>
      </c>
      <c r="U3" s="42">
        <f t="shared" ref="U3:U33" si="9">$F$149*EXP($F$24*$S3)+$G$149*EXP($G$24*$S3)+$H$149*EXP($H$24*$S3)+$I$149*EXP($I$24*$S3)+$J$149*EXP($J$24*$S3)+$K$149*EXP($K$24*$S3)+$L$149*EXP($L$24*$S3)+$M$149*EXP($M$24*$S3)</f>
        <v>3456.2578200755306</v>
      </c>
      <c r="V3" s="42">
        <f t="shared" si="3"/>
        <v>1159.3325357283957</v>
      </c>
      <c r="W3" s="42">
        <f t="shared" si="4"/>
        <v>239.19737987234839</v>
      </c>
      <c r="X3" s="42">
        <f t="shared" si="5"/>
        <v>82.677242875249476</v>
      </c>
      <c r="Y3" s="42">
        <f t="shared" si="6"/>
        <v>52.221948130873727</v>
      </c>
      <c r="Z3" s="42">
        <f t="shared" si="7"/>
        <v>136.30978258140138</v>
      </c>
      <c r="AA3" s="42">
        <f t="shared" si="8"/>
        <v>26518.179832723614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10"/>
      <c r="F4" s="113">
        <v>0</v>
      </c>
      <c r="G4" s="112">
        <f>Données!H$45*1E-24*B$12</f>
        <v>1.4380810506627284E-9</v>
      </c>
      <c r="H4" s="112">
        <f>-(Données!I$46*1E-24*B$12+Données!F$46)</f>
        <v>-2.71952737369777E-9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O4" s="112">
        <v>1.8382628556946444E-6</v>
      </c>
      <c r="P4" s="110"/>
      <c r="Q4" s="108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18.475473381827381</v>
      </c>
      <c r="U4" s="42">
        <f t="shared" si="9"/>
        <v>3450.8815096753633</v>
      </c>
      <c r="V4" s="42">
        <f t="shared" si="3"/>
        <v>1164.0818898804214</v>
      </c>
      <c r="W4" s="42">
        <f t="shared" si="4"/>
        <v>236.94721362752381</v>
      </c>
      <c r="X4" s="42">
        <f t="shared" si="5"/>
        <v>83.163231226244704</v>
      </c>
      <c r="Y4" s="42">
        <f t="shared" si="6"/>
        <v>52.318822213654499</v>
      </c>
      <c r="Z4" s="42">
        <f t="shared" si="7"/>
        <v>133.69745750500215</v>
      </c>
      <c r="AA4" s="42">
        <f t="shared" si="8"/>
        <v>26449.903357182317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3">
        <v>0</v>
      </c>
      <c r="G5" s="113">
        <v>0</v>
      </c>
      <c r="H5" s="112">
        <f>Données!H$46*1E-24*B$12</f>
        <v>1.427077800367472E-9</v>
      </c>
      <c r="I5" s="112">
        <f>-(Données!I$47*1E-24*B$12+Données!F$47)</f>
        <v>-1.0560453001086941E-8</v>
      </c>
      <c r="J5" s="113">
        <v>0</v>
      </c>
      <c r="K5" s="113">
        <v>0</v>
      </c>
      <c r="L5" s="113">
        <v>0</v>
      </c>
      <c r="M5" s="113">
        <v>0</v>
      </c>
      <c r="O5" s="112">
        <v>-9.0305355164630673E-7</v>
      </c>
      <c r="Q5" s="108">
        <v>3</v>
      </c>
      <c r="R5" s="27">
        <f t="shared" si="0"/>
        <v>0.25</v>
      </c>
      <c r="S5" s="18">
        <f t="shared" si="1"/>
        <v>7884000</v>
      </c>
      <c r="T5" s="42">
        <f t="shared" si="2"/>
        <v>18.198701905638476</v>
      </c>
      <c r="U5" s="42">
        <f t="shared" si="9"/>
        <v>3445.4544850796105</v>
      </c>
      <c r="V5" s="42">
        <f t="shared" si="3"/>
        <v>1168.7770796442351</v>
      </c>
      <c r="W5" s="42">
        <f t="shared" si="4"/>
        <v>234.77610355420589</v>
      </c>
      <c r="X5" s="42">
        <f t="shared" si="5"/>
        <v>83.638308819265603</v>
      </c>
      <c r="Y5" s="42">
        <f t="shared" si="6"/>
        <v>52.405270436102484</v>
      </c>
      <c r="Z5" s="42">
        <f t="shared" si="7"/>
        <v>131.13519624428579</v>
      </c>
      <c r="AA5" s="42">
        <f t="shared" si="8"/>
        <v>26381.802673378868</v>
      </c>
    </row>
    <row r="6" spans="1:29" ht="15.75" thickBot="1">
      <c r="A6" s="101" t="s">
        <v>13</v>
      </c>
      <c r="B6" s="73">
        <f>Données!D14</f>
        <v>82.180003066254471</v>
      </c>
      <c r="F6" s="113">
        <v>0</v>
      </c>
      <c r="G6" s="113">
        <v>0</v>
      </c>
      <c r="H6" s="113">
        <v>0</v>
      </c>
      <c r="I6" s="112">
        <f>Données!H$47*1E-24*B$12</f>
        <v>1.4051025590107522E-9</v>
      </c>
      <c r="J6" s="112">
        <f>-(Données!I$48*1E-24*B$12+Données!F$48)</f>
        <v>-2.3381555221817427E-9</v>
      </c>
      <c r="K6" s="112">
        <f>Données!I$49*1E-24*B$12*0.85*0.16</f>
        <v>8.475601142601187E-10</v>
      </c>
      <c r="L6" s="113">
        <v>0</v>
      </c>
      <c r="M6" s="113">
        <v>0</v>
      </c>
      <c r="O6" s="112">
        <v>1.9139330840210629E-7</v>
      </c>
      <c r="Q6" s="108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17.926076599263393</v>
      </c>
      <c r="U6" s="42">
        <f t="shared" si="9"/>
        <v>3439.978056832434</v>
      </c>
      <c r="V6" s="42">
        <f t="shared" si="3"/>
        <v>1173.4183022469758</v>
      </c>
      <c r="W6" s="42">
        <f t="shared" si="4"/>
        <v>232.6816858046675</v>
      </c>
      <c r="X6" s="42">
        <f t="shared" si="5"/>
        <v>84.102806532346904</v>
      </c>
      <c r="Y6" s="42">
        <f t="shared" si="6"/>
        <v>52.481774926834817</v>
      </c>
      <c r="Z6" s="42">
        <f t="shared" si="7"/>
        <v>128.62203936090978</v>
      </c>
      <c r="AA6" s="42">
        <f t="shared" si="8"/>
        <v>26313.877328701627</v>
      </c>
    </row>
    <row r="7" spans="1:29" ht="15.75" thickBot="1">
      <c r="A7" s="101" t="s">
        <v>14</v>
      </c>
      <c r="B7" s="73">
        <f>Données!D15</f>
        <v>52.114148285917473</v>
      </c>
      <c r="D7" s="3" t="s">
        <v>187</v>
      </c>
      <c r="F7" s="113">
        <v>0</v>
      </c>
      <c r="G7" s="113">
        <v>0</v>
      </c>
      <c r="H7" s="113">
        <v>0</v>
      </c>
      <c r="I7" s="113">
        <f>Données!F$47</f>
        <v>1.5343492432592516E-9</v>
      </c>
      <c r="J7" s="113">
        <v>0</v>
      </c>
      <c r="K7" s="112">
        <f>-(Données!I$49*1E-24*B$12+Données!F$49)</f>
        <v>-6.2828676916701522E-9</v>
      </c>
      <c r="L7" s="113">
        <v>0</v>
      </c>
      <c r="M7" s="113">
        <v>0</v>
      </c>
      <c r="O7" s="112">
        <v>4.3163591081061186E-8</v>
      </c>
      <c r="P7" s="110"/>
      <c r="Q7" s="108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17.657535351084405</v>
      </c>
      <c r="U7" s="42">
        <f t="shared" si="9"/>
        <v>3434.4535105825639</v>
      </c>
      <c r="V7" s="42">
        <f t="shared" si="3"/>
        <v>1178.0057583994196</v>
      </c>
      <c r="W7" s="42">
        <f t="shared" si="4"/>
        <v>230.66166196877316</v>
      </c>
      <c r="X7" s="42">
        <f t="shared" si="5"/>
        <v>84.557045687099958</v>
      </c>
      <c r="Y7" s="42">
        <f t="shared" si="6"/>
        <v>52.548800597617372</v>
      </c>
      <c r="Z7" s="42">
        <f t="shared" si="7"/>
        <v>126.1570458033478</v>
      </c>
      <c r="AA7" s="42">
        <f t="shared" si="8"/>
        <v>26246.126871704291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186</v>
      </c>
      <c r="F8" s="113">
        <v>0</v>
      </c>
      <c r="G8" s="112">
        <f>Données!F$45</f>
        <v>9.1163637120235491E-13</v>
      </c>
      <c r="H8" s="113">
        <v>0</v>
      </c>
      <c r="I8" s="113">
        <v>0</v>
      </c>
      <c r="J8" s="113">
        <v>0</v>
      </c>
      <c r="K8" s="113">
        <v>0</v>
      </c>
      <c r="L8" s="112">
        <f>-(Données!I$50*1E-24*B$12+Données!F$50)</f>
        <v>-7.3617684041897035E-9</v>
      </c>
      <c r="M8" s="113">
        <v>0</v>
      </c>
      <c r="O8" s="112">
        <v>-1.0199324380558183E-6</v>
      </c>
      <c r="Q8" s="108">
        <v>6</v>
      </c>
      <c r="R8" s="27">
        <f t="shared" si="0"/>
        <v>0.5</v>
      </c>
      <c r="S8" s="18">
        <f t="shared" si="1"/>
        <v>15768000</v>
      </c>
      <c r="T8" s="42">
        <f t="shared" si="2"/>
        <v>17.393016979945706</v>
      </c>
      <c r="U8" s="42">
        <f t="shared" si="9"/>
        <v>3428.8821075392261</v>
      </c>
      <c r="V8" s="42">
        <f t="shared" si="3"/>
        <v>1182.5396521782793</v>
      </c>
      <c r="W8" s="42">
        <f t="shared" si="4"/>
        <v>228.7137972955336</v>
      </c>
      <c r="X8" s="42">
        <f t="shared" si="5"/>
        <v>85.001338307226831</v>
      </c>
      <c r="Y8" s="42">
        <f t="shared" si="6"/>
        <v>52.606795683418596</v>
      </c>
      <c r="Z8" s="42">
        <f t="shared" si="7"/>
        <v>123.73929255452508</v>
      </c>
      <c r="AA8" s="42">
        <f t="shared" si="8"/>
        <v>26178.550852102904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3">
        <v>0</v>
      </c>
      <c r="G9" s="113">
        <v>0</v>
      </c>
      <c r="H9" s="113">
        <v>0</v>
      </c>
      <c r="I9" s="113">
        <v>0</v>
      </c>
      <c r="J9" s="112">
        <f>Données!F$48</f>
        <v>5.8612141092503409E-14</v>
      </c>
      <c r="K9" s="113">
        <v>0</v>
      </c>
      <c r="L9" s="113">
        <v>0</v>
      </c>
      <c r="M9" s="112">
        <f>-(Données!I$51*1E-24*B$12+Données!F$51)</f>
        <v>-9.8098353166876458E-10</v>
      </c>
      <c r="O9" s="112">
        <v>-2.6081043881043615E-5</v>
      </c>
      <c r="Q9" s="108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17.132461221214609</v>
      </c>
      <c r="U9" s="42">
        <f t="shared" si="9"/>
        <v>3423.2650849197771</v>
      </c>
      <c r="V9" s="42">
        <f t="shared" si="3"/>
        <v>1187.0201909110476</v>
      </c>
      <c r="W9" s="42">
        <f t="shared" si="4"/>
        <v>226.83591896290719</v>
      </c>
      <c r="X9" s="42">
        <f t="shared" si="5"/>
        <v>85.435987370175326</v>
      </c>
      <c r="Y9" s="42">
        <f t="shared" si="6"/>
        <v>52.656192266603625</v>
      </c>
      <c r="Z9" s="42">
        <f t="shared" si="7"/>
        <v>121.36787428620633</v>
      </c>
      <c r="AA9" s="42">
        <f t="shared" si="8"/>
        <v>26111.148820772843</v>
      </c>
      <c r="AC9" s="19"/>
    </row>
    <row r="10" spans="1:29">
      <c r="Q10" s="108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16.875808713051605</v>
      </c>
      <c r="U10" s="42">
        <f t="shared" si="9"/>
        <v>3417.6036563891876</v>
      </c>
      <c r="V10" s="42">
        <f t="shared" si="3"/>
        <v>1191.4475850633282</v>
      </c>
      <c r="W10" s="42">
        <f t="shared" si="4"/>
        <v>225.02591439453829</v>
      </c>
      <c r="X10" s="42">
        <f t="shared" si="5"/>
        <v>85.861287052120247</v>
      </c>
      <c r="Y10" s="42">
        <f t="shared" si="6"/>
        <v>52.697406785720034</v>
      </c>
      <c r="Z10" s="42">
        <f t="shared" si="7"/>
        <v>119.04190302000701</v>
      </c>
      <c r="AA10" s="42">
        <f t="shared" si="8"/>
        <v>26043.920329745855</v>
      </c>
      <c r="AC10" s="19"/>
    </row>
    <row r="11" spans="1:29" ht="15.75" thickBot="1">
      <c r="B11" s="101" t="s">
        <v>59</v>
      </c>
      <c r="N11" s="109" t="s">
        <v>150</v>
      </c>
      <c r="Q11" s="108">
        <v>9</v>
      </c>
      <c r="R11" s="27">
        <f t="shared" si="0"/>
        <v>0.75</v>
      </c>
      <c r="S11" s="18">
        <f t="shared" si="1"/>
        <v>23652000</v>
      </c>
      <c r="T11" s="42">
        <f t="shared" si="2"/>
        <v>16.623000982886108</v>
      </c>
      <c r="U11" s="42">
        <f t="shared" si="9"/>
        <v>3411.8990124915317</v>
      </c>
      <c r="V11" s="42">
        <f t="shared" si="3"/>
        <v>1195.8220481286114</v>
      </c>
      <c r="W11" s="42">
        <f t="shared" si="4"/>
        <v>223.28172962215604</v>
      </c>
      <c r="X11" s="42">
        <f t="shared" si="5"/>
        <v>86.277522966441438</v>
      </c>
      <c r="Y11" s="42">
        <f t="shared" si="6"/>
        <v>52.730840529311166</v>
      </c>
      <c r="Z11" s="42">
        <f t="shared" si="7"/>
        <v>116.76050779490096</v>
      </c>
      <c r="AA11" s="42">
        <f t="shared" si="8"/>
        <v>25976.864932207071</v>
      </c>
      <c r="AC11" s="19"/>
    </row>
    <row r="12" spans="1:29">
      <c r="B12" s="75">
        <f>IF(R2&lt;Données!C$26/365,Données!C$30,0)</f>
        <v>3125923379334265</v>
      </c>
      <c r="O12" s="112">
        <f t="array" ref="O12:O19">MMULT($F$2:$M$9,O2:O9)</f>
        <v>6.2813589045028421E-16</v>
      </c>
      <c r="Q12" s="108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16.373980434094737</v>
      </c>
      <c r="U12" s="42">
        <f t="shared" si="9"/>
        <v>3406.15232107362</v>
      </c>
      <c r="V12" s="42">
        <f t="shared" si="3"/>
        <v>1200.1437965204427</v>
      </c>
      <c r="W12" s="42">
        <f t="shared" si="4"/>
        <v>221.60136769239398</v>
      </c>
      <c r="X12" s="42">
        <f t="shared" si="5"/>
        <v>86.684972395875889</v>
      </c>
      <c r="Y12" s="42">
        <f t="shared" si="6"/>
        <v>52.756880115184657</v>
      </c>
      <c r="Z12" s="42">
        <f t="shared" si="7"/>
        <v>114.52283434109968</v>
      </c>
      <c r="AA12" s="42">
        <f t="shared" si="8"/>
        <v>25909.982182492036</v>
      </c>
      <c r="AC12" s="19"/>
    </row>
    <row r="13" spans="1:29" ht="15">
      <c r="E13" s="110" t="s">
        <v>154</v>
      </c>
      <c r="O13" s="112">
        <v>-7.7333692141443642E-15</v>
      </c>
      <c r="Q13" s="108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16.128690332879241</v>
      </c>
      <c r="U13" s="42">
        <f t="shared" si="9"/>
        <v>3400.364727700919</v>
      </c>
      <c r="V13" s="42">
        <f t="shared" si="3"/>
        <v>1204.4130494669409</v>
      </c>
      <c r="W13" s="42">
        <f t="shared" si="4"/>
        <v>219.98288711682176</v>
      </c>
      <c r="X13" s="42">
        <f t="shared" si="5"/>
        <v>87.08390451851335</v>
      </c>
      <c r="Y13" s="42">
        <f t="shared" si="6"/>
        <v>52.775897955547094</v>
      </c>
      <c r="Z13" s="42">
        <f t="shared" si="7"/>
        <v>112.32804476018156</v>
      </c>
      <c r="AA13" s="42">
        <f t="shared" si="8"/>
        <v>25843.271636083748</v>
      </c>
      <c r="AC13" s="19"/>
    </row>
    <row r="14" spans="1:29">
      <c r="F14" s="112">
        <f t="array" ref="F14:M21">MINVERSE(F2:M9)</f>
        <v>-174110974.56157666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O14" s="112">
        <v>-7.8982328242147285E-15</v>
      </c>
      <c r="Q14" s="108">
        <v>12</v>
      </c>
      <c r="R14" s="27">
        <f t="shared" si="0"/>
        <v>1</v>
      </c>
      <c r="S14" s="18">
        <f t="shared" si="1"/>
        <v>31536000</v>
      </c>
      <c r="T14" s="42">
        <f t="shared" si="2"/>
        <v>15.887074795340945</v>
      </c>
      <c r="U14" s="42">
        <f t="shared" si="9"/>
        <v>3394.5373560659064</v>
      </c>
      <c r="V14" s="42">
        <f t="shared" si="3"/>
        <v>1208.6300289076191</v>
      </c>
      <c r="W14" s="42">
        <f t="shared" si="4"/>
        <v>218.42440036401626</v>
      </c>
      <c r="X14" s="42">
        <f t="shared" si="5"/>
        <v>87.474580627792136</v>
      </c>
      <c r="Y14" s="42">
        <f t="shared" si="6"/>
        <v>52.78825270840845</v>
      </c>
      <c r="Z14" s="42">
        <f t="shared" si="7"/>
        <v>110.17531721135087</v>
      </c>
      <c r="AA14" s="42">
        <f t="shared" si="8"/>
        <v>25776.732849609696</v>
      </c>
      <c r="AC14" s="19"/>
    </row>
    <row r="15" spans="1:29">
      <c r="F15" s="112">
        <v>-39215645.951032281</v>
      </c>
      <c r="G15" s="112">
        <v>-144196340.80662197</v>
      </c>
      <c r="H15" s="112">
        <v>-243.80557610643598</v>
      </c>
      <c r="I15" s="112">
        <v>-464.61092584502109</v>
      </c>
      <c r="J15" s="112">
        <v>-3043.5721667766384</v>
      </c>
      <c r="K15" s="112">
        <v>-410.57849695803412</v>
      </c>
      <c r="L15" s="112">
        <v>0</v>
      </c>
      <c r="M15" s="112">
        <v>-121414180.34321976</v>
      </c>
      <c r="O15" s="112">
        <v>1.2159998702227401E-14</v>
      </c>
      <c r="Q15" s="108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15.649078774748851</v>
      </c>
      <c r="U15" s="42">
        <f t="shared" si="9"/>
        <v>3388.6713083889854</v>
      </c>
      <c r="V15" s="42">
        <f t="shared" si="3"/>
        <v>1212.7949593924657</v>
      </c>
      <c r="W15" s="42">
        <f t="shared" si="4"/>
        <v>216.92407239252853</v>
      </c>
      <c r="X15" s="42">
        <f t="shared" si="5"/>
        <v>87.857254346665115</v>
      </c>
      <c r="Y15" s="42">
        <f t="shared" si="6"/>
        <v>52.794289715645945</v>
      </c>
      <c r="Z15" s="42">
        <f t="shared" si="7"/>
        <v>108.06384560370941</v>
      </c>
      <c r="AA15" s="42">
        <f t="shared" si="8"/>
        <v>25710.365380838924</v>
      </c>
      <c r="AC15" s="25"/>
    </row>
    <row r="16" spans="1:29">
      <c r="F16" s="112">
        <v>-20737161.124801189</v>
      </c>
      <c r="G16" s="112">
        <v>-76250758.604040101</v>
      </c>
      <c r="H16" s="112">
        <v>-367711081.08114684</v>
      </c>
      <c r="I16" s="112">
        <v>-245.68539918026383</v>
      </c>
      <c r="J16" s="112">
        <v>-1609.435338543647</v>
      </c>
      <c r="K16" s="112">
        <v>-217.11315061414484</v>
      </c>
      <c r="L16" s="112">
        <v>0</v>
      </c>
      <c r="M16" s="112">
        <v>-64203594.242892787</v>
      </c>
      <c r="O16" s="112">
        <v>-1.679806439102451E-15</v>
      </c>
      <c r="Q16" s="108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15.414648048998467</v>
      </c>
      <c r="U16" s="42">
        <f t="shared" si="9"/>
        <v>3382.7676658121059</v>
      </c>
      <c r="V16" s="42">
        <f t="shared" si="3"/>
        <v>1216.9080679832359</v>
      </c>
      <c r="W16" s="42">
        <f t="shared" si="4"/>
        <v>215.48011922363727</v>
      </c>
      <c r="X16" s="42">
        <f t="shared" si="5"/>
        <v>88.232171836080454</v>
      </c>
      <c r="Y16" s="42">
        <f t="shared" si="6"/>
        <v>52.7943414281077</v>
      </c>
      <c r="Z16" s="42">
        <f t="shared" si="7"/>
        <v>105.99283929442521</v>
      </c>
      <c r="AA16" s="42">
        <f t="shared" si="8"/>
        <v>25644.168788679097</v>
      </c>
      <c r="AC16" s="19"/>
    </row>
    <row r="17" spans="5:29">
      <c r="F17" s="112">
        <v>-2802298.564351473</v>
      </c>
      <c r="G17" s="112">
        <v>-10304081.165249703</v>
      </c>
      <c r="H17" s="112">
        <v>-49690323.010387696</v>
      </c>
      <c r="I17" s="112">
        <v>-94692940.777185738</v>
      </c>
      <c r="J17" s="112">
        <v>-217.48967042665191</v>
      </c>
      <c r="K17" s="112">
        <v>-29.33940024896615</v>
      </c>
      <c r="L17" s="112">
        <v>0</v>
      </c>
      <c r="M17" s="112">
        <v>-8676097.8945129272</v>
      </c>
      <c r="O17" s="112">
        <v>-1.6567906654507515E-15</v>
      </c>
      <c r="Q17" s="108">
        <v>15</v>
      </c>
      <c r="R17" s="27">
        <f t="shared" si="0"/>
        <v>1.25</v>
      </c>
      <c r="S17" s="18">
        <f t="shared" si="1"/>
        <v>39420000</v>
      </c>
      <c r="T17" s="42">
        <f t="shared" si="2"/>
        <v>15.183729208258496</v>
      </c>
      <c r="U17" s="42">
        <f t="shared" si="9"/>
        <v>3376.8274887852176</v>
      </c>
      <c r="V17" s="42">
        <f t="shared" si="3"/>
        <v>1220.9695841569214</v>
      </c>
      <c r="W17" s="42">
        <f t="shared" si="4"/>
        <v>214.09080655280562</v>
      </c>
      <c r="X17" s="42">
        <f t="shared" si="5"/>
        <v>88.599571997936039</v>
      </c>
      <c r="Y17" s="42">
        <f t="shared" si="6"/>
        <v>52.788727818125182</v>
      </c>
      <c r="Z17" s="42">
        <f t="shared" si="7"/>
        <v>103.96152279268573</v>
      </c>
      <c r="AA17" s="42">
        <f t="shared" si="8"/>
        <v>25578.142633173549</v>
      </c>
      <c r="AC17" s="19"/>
    </row>
    <row r="18" spans="5:29">
      <c r="F18" s="112">
        <v>-1932098.9842954478</v>
      </c>
      <c r="G18" s="112">
        <v>-7104348.1971322941</v>
      </c>
      <c r="H18" s="112">
        <v>-34259954.966611959</v>
      </c>
      <c r="I18" s="112">
        <v>-65287880.821467891</v>
      </c>
      <c r="J18" s="112">
        <v>-427687697.04381108</v>
      </c>
      <c r="K18" s="112">
        <v>-57695156.282646455</v>
      </c>
      <c r="L18" s="112">
        <v>0</v>
      </c>
      <c r="M18" s="112">
        <v>-5981903.6211495632</v>
      </c>
      <c r="O18" s="112">
        <v>7.5066686297112245E-15</v>
      </c>
      <c r="Q18" s="108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14.956269642802608</v>
      </c>
      <c r="U18" s="42">
        <f t="shared" si="9"/>
        <v>3370.8518174456899</v>
      </c>
      <c r="V18" s="42">
        <f t="shared" si="3"/>
        <v>1224.9797397113418</v>
      </c>
      <c r="W18" s="42">
        <f t="shared" si="4"/>
        <v>212.75444839879219</v>
      </c>
      <c r="X18" s="42">
        <f t="shared" si="5"/>
        <v>88.959686672647877</v>
      </c>
      <c r="Y18" s="42">
        <f t="shared" si="6"/>
        <v>52.777756779793066</v>
      </c>
      <c r="Z18" s="42">
        <f t="shared" si="7"/>
        <v>101.96913546932419</v>
      </c>
      <c r="AA18" s="42">
        <f t="shared" si="8"/>
        <v>25512.286475498382</v>
      </c>
      <c r="AC18" s="19"/>
    </row>
    <row r="19" spans="5:29">
      <c r="F19" s="112">
        <v>-684353.84805249562</v>
      </c>
      <c r="G19" s="112">
        <v>-2516376.2654661373</v>
      </c>
      <c r="H19" s="112">
        <v>-12134953.853855375</v>
      </c>
      <c r="I19" s="112">
        <v>-23125115.656358119</v>
      </c>
      <c r="J19" s="112">
        <v>-53.113502879945216</v>
      </c>
      <c r="K19" s="112">
        <v>-159162995.95846817</v>
      </c>
      <c r="L19" s="112">
        <v>0</v>
      </c>
      <c r="M19" s="112">
        <v>-2118803.847570817</v>
      </c>
      <c r="O19" s="112">
        <v>2.5585085754005783E-14</v>
      </c>
      <c r="Q19" s="108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14.732217531023466</v>
      </c>
      <c r="U19" s="42">
        <f t="shared" si="9"/>
        <v>3364.84167199082</v>
      </c>
      <c r="V19" s="42">
        <f t="shared" si="3"/>
        <v>1228.9387686728323</v>
      </c>
      <c r="W19" s="42">
        <f t="shared" si="4"/>
        <v>211.46940578939135</v>
      </c>
      <c r="X19" s="42">
        <f t="shared" si="5"/>
        <v>89.312740831482188</v>
      </c>
      <c r="Y19" s="42">
        <f t="shared" si="6"/>
        <v>52.761724517365778</v>
      </c>
      <c r="Z19" s="42">
        <f t="shared" si="7"/>
        <v>100.01493127201086</v>
      </c>
      <c r="AA19" s="42">
        <f t="shared" si="8"/>
        <v>25446.599877959521</v>
      </c>
      <c r="AC19" s="19"/>
    </row>
    <row r="20" spans="5:29">
      <c r="F20" s="112">
        <v>-4856.2257335899403</v>
      </c>
      <c r="G20" s="112">
        <v>-17856.392874135228</v>
      </c>
      <c r="H20" s="112">
        <v>-3.0191391317618447E-2</v>
      </c>
      <c r="I20" s="112">
        <v>-5.7534575281839709E-2</v>
      </c>
      <c r="J20" s="112">
        <v>-0.37689736124185258</v>
      </c>
      <c r="K20" s="112">
        <v>-5.0843529775742476E-2</v>
      </c>
      <c r="L20" s="112">
        <v>-135836927.36528951</v>
      </c>
      <c r="M20" s="112">
        <v>-15035.189468553255</v>
      </c>
      <c r="Q20" s="108">
        <v>18</v>
      </c>
      <c r="R20" s="27">
        <f t="shared" si="0"/>
        <v>1.5</v>
      </c>
      <c r="S20" s="18">
        <f t="shared" si="1"/>
        <v>47304000</v>
      </c>
      <c r="T20" s="42">
        <f t="shared" si="2"/>
        <v>14.51152182762633</v>
      </c>
      <c r="U20" s="42">
        <f t="shared" si="9"/>
        <v>3358.7980530435625</v>
      </c>
      <c r="V20" s="42">
        <f t="shared" si="3"/>
        <v>1232.8469072059718</v>
      </c>
      <c r="W20" s="42">
        <f t="shared" si="4"/>
        <v>210.23408548281009</v>
      </c>
      <c r="X20" s="42">
        <f t="shared" si="5"/>
        <v>89.65895276378302</v>
      </c>
      <c r="Y20" s="42">
        <f t="shared" si="6"/>
        <v>52.740915922109252</v>
      </c>
      <c r="Z20" s="42">
        <f t="shared" si="7"/>
        <v>98.098178445902036</v>
      </c>
      <c r="AA20" s="42">
        <f t="shared" si="8"/>
        <v>25381.082403989843</v>
      </c>
      <c r="AC20" s="19"/>
    </row>
    <row r="21" spans="5:29" ht="15">
      <c r="F21" s="112">
        <v>-115.43971393644661</v>
      </c>
      <c r="G21" s="112">
        <v>-424.47303696550819</v>
      </c>
      <c r="H21" s="112">
        <v>-2046.975560242028</v>
      </c>
      <c r="I21" s="112">
        <v>-3900.8427346673543</v>
      </c>
      <c r="J21" s="112">
        <v>-25553.631466184463</v>
      </c>
      <c r="K21" s="112">
        <v>-3447.1900202442325</v>
      </c>
      <c r="L21" s="112">
        <v>0</v>
      </c>
      <c r="M21" s="112">
        <v>-1019385461.9669962</v>
      </c>
      <c r="N21" s="109" t="s">
        <v>151</v>
      </c>
      <c r="Q21" s="108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14.294132251999532</v>
      </c>
      <c r="U21" s="42">
        <f t="shared" si="9"/>
        <v>3352.7219420115985</v>
      </c>
      <c r="V21" s="42">
        <f t="shared" si="3"/>
        <v>1236.7043935253218</v>
      </c>
      <c r="W21" s="42">
        <f t="shared" si="4"/>
        <v>209.04693872371087</v>
      </c>
      <c r="X21" s="42">
        <f t="shared" si="5"/>
        <v>89.998534259236862</v>
      </c>
      <c r="Y21" s="42">
        <f t="shared" si="6"/>
        <v>52.715604937938252</v>
      </c>
      <c r="Z21" s="42">
        <f t="shared" si="7"/>
        <v>96.218159259642903</v>
      </c>
      <c r="AA21" s="42">
        <f t="shared" si="8"/>
        <v>25315.733618146238</v>
      </c>
      <c r="AC21" s="19"/>
    </row>
    <row r="22" spans="5:29">
      <c r="O22" s="112">
        <f t="array" ref="O22:O29">MMULT($F$2:$M$9,O12:O19)</f>
        <v>-3.6076754611934906E-24</v>
      </c>
      <c r="Q22" s="108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14.079999276759141</v>
      </c>
      <c r="U22" s="42">
        <f t="shared" si="9"/>
        <v>3346.6143014398667</v>
      </c>
      <c r="V22" s="42">
        <f t="shared" si="3"/>
        <v>1240.5114678091343</v>
      </c>
      <c r="W22" s="42">
        <f t="shared" si="4"/>
        <v>207.90646003298161</v>
      </c>
      <c r="X22" s="42">
        <f t="shared" si="5"/>
        <v>90.331690785303579</v>
      </c>
      <c r="Y22" s="42">
        <f t="shared" si="6"/>
        <v>52.686054916158938</v>
      </c>
      <c r="Z22" s="42">
        <f t="shared" si="7"/>
        <v>94.374169736620814</v>
      </c>
      <c r="AA22" s="42">
        <f t="shared" si="8"/>
        <v>25250.553086106745</v>
      </c>
      <c r="AC22" s="19"/>
    </row>
    <row r="23" spans="5:29">
      <c r="F23" s="114" t="s">
        <v>156</v>
      </c>
      <c r="G23" s="114" t="s">
        <v>157</v>
      </c>
      <c r="H23" s="114" t="s">
        <v>158</v>
      </c>
      <c r="I23" s="114" t="s">
        <v>159</v>
      </c>
      <c r="J23" s="114" t="s">
        <v>160</v>
      </c>
      <c r="K23" s="114" t="s">
        <v>161</v>
      </c>
      <c r="L23" s="114" t="s">
        <v>162</v>
      </c>
      <c r="M23" s="114" t="s">
        <v>163</v>
      </c>
      <c r="O23" s="112">
        <v>7.5745118043143909E-23</v>
      </c>
      <c r="Q23" s="108">
        <v>21</v>
      </c>
      <c r="R23" s="27">
        <f t="shared" si="0"/>
        <v>1.75</v>
      </c>
      <c r="S23" s="18">
        <f t="shared" si="1"/>
        <v>55188000</v>
      </c>
      <c r="T23" s="42">
        <f t="shared" si="2"/>
        <v>13.869074116465256</v>
      </c>
      <c r="U23" s="42">
        <f t="shared" si="9"/>
        <v>3340.4760753566757</v>
      </c>
      <c r="V23" s="42">
        <f t="shared" si="3"/>
        <v>1244.2683721149872</v>
      </c>
      <c r="W23" s="42">
        <f t="shared" si="4"/>
        <v>206.81118603031507</v>
      </c>
      <c r="X23" s="42">
        <f t="shared" si="5"/>
        <v>90.658621659939797</v>
      </c>
      <c r="Y23" s="42">
        <f t="shared" si="6"/>
        <v>52.65251895962831</v>
      </c>
      <c r="Z23" s="42">
        <f t="shared" si="7"/>
        <v>92.565519391369051</v>
      </c>
      <c r="AA23" s="42">
        <f t="shared" si="8"/>
        <v>25185.540374667635</v>
      </c>
      <c r="AC23" s="19"/>
    </row>
    <row r="24" spans="5:29">
      <c r="F24" s="112">
        <f>F2</f>
        <v>-5.7434633429516339E-9</v>
      </c>
      <c r="G24" s="112">
        <f>G3</f>
        <v>-6.9349911725794344E-9</v>
      </c>
      <c r="H24" s="112">
        <f>H4</f>
        <v>-2.71952737369777E-9</v>
      </c>
      <c r="I24" s="112">
        <f>I5</f>
        <v>-1.0560453001086941E-8</v>
      </c>
      <c r="J24" s="112">
        <f>J6</f>
        <v>-2.3381555221817427E-9</v>
      </c>
      <c r="K24" s="112">
        <f>K7</f>
        <v>-6.2828676916701522E-9</v>
      </c>
      <c r="L24" s="112">
        <f>L8</f>
        <v>-7.3617684041897035E-9</v>
      </c>
      <c r="M24" s="112">
        <f>M9</f>
        <v>-9.8098353166876458E-10</v>
      </c>
      <c r="O24" s="112">
        <v>1.0358248644650676E-23</v>
      </c>
      <c r="Q24" s="108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13.661308716507328</v>
      </c>
      <c r="U24" s="42">
        <f t="shared" si="9"/>
        <v>3334.3081896135132</v>
      </c>
      <c r="V24" s="42">
        <f t="shared" si="3"/>
        <v>1247.9753502973149</v>
      </c>
      <c r="W24" s="42">
        <f t="shared" si="4"/>
        <v>205.75969428870749</v>
      </c>
      <c r="X24" s="42">
        <f t="shared" si="5"/>
        <v>90.979520219742881</v>
      </c>
      <c r="Y24" s="42">
        <f t="shared" si="6"/>
        <v>52.615240256633967</v>
      </c>
      <c r="Z24" s="42">
        <f t="shared" si="7"/>
        <v>90.791530971022041</v>
      </c>
      <c r="AA24" s="42">
        <f t="shared" si="8"/>
        <v>25120.695051740571</v>
      </c>
      <c r="AC24" s="19"/>
    </row>
    <row r="25" spans="5:29">
      <c r="H25" s="19"/>
      <c r="I25" s="19"/>
      <c r="J25" s="19"/>
      <c r="K25" s="19"/>
      <c r="L25" s="19"/>
      <c r="M25" s="19"/>
      <c r="O25" s="112">
        <v>-1.3968648751372118E-22</v>
      </c>
      <c r="Q25" s="108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13.456655742155982</v>
      </c>
      <c r="U25" s="42">
        <f t="shared" si="9"/>
        <v>3328.1115522186669</v>
      </c>
      <c r="V25" s="42">
        <f t="shared" si="3"/>
        <v>1251.6326479267907</v>
      </c>
      <c r="W25" s="42">
        <f t="shared" si="4"/>
        <v>204.75060222000931</v>
      </c>
      <c r="X25" s="42">
        <f t="shared" si="5"/>
        <v>91.294573983638543</v>
      </c>
      <c r="Y25" s="42">
        <f t="shared" si="6"/>
        <v>52.57445240478684</v>
      </c>
      <c r="Z25" s="42">
        <f t="shared" si="7"/>
        <v>89.051540201725288</v>
      </c>
      <c r="AA25" s="42">
        <f t="shared" si="8"/>
        <v>25056.016686349696</v>
      </c>
      <c r="AC25" s="19"/>
    </row>
    <row r="26" spans="5:29">
      <c r="E26" s="111"/>
      <c r="F26" s="111"/>
      <c r="O26" s="112">
        <v>1.9609464310136456E-23</v>
      </c>
      <c r="Q26" s="108">
        <v>24</v>
      </c>
      <c r="R26" s="27">
        <f t="shared" si="0"/>
        <v>2</v>
      </c>
      <c r="S26" s="18">
        <f t="shared" si="1"/>
        <v>63072000</v>
      </c>
      <c r="T26" s="42">
        <f t="shared" si="2"/>
        <v>13.255068567778855</v>
      </c>
      <c r="U26" s="42">
        <f t="shared" si="9"/>
        <v>3321.8870536647723</v>
      </c>
      <c r="V26" s="42">
        <f t="shared" si="3"/>
        <v>1255.2405122115317</v>
      </c>
      <c r="W26" s="42">
        <f t="shared" si="4"/>
        <v>203.78256599068479</v>
      </c>
      <c r="X26" s="42">
        <f t="shared" si="5"/>
        <v>91.60396481222017</v>
      </c>
      <c r="Y26" s="42">
        <f t="shared" si="6"/>
        <v>52.530379725214928</v>
      </c>
      <c r="Z26" s="42">
        <f t="shared" si="7"/>
        <v>87.344895539905096</v>
      </c>
      <c r="AA26" s="42">
        <f t="shared" si="8"/>
        <v>24991.504848628789</v>
      </c>
      <c r="AC26" s="19"/>
    </row>
    <row r="27" spans="5:29">
      <c r="E27" s="111"/>
      <c r="F27" s="111"/>
      <c r="O27" s="112">
        <v>2.9067081350617313E-23</v>
      </c>
      <c r="Q27" s="108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13.056501266217976</v>
      </c>
      <c r="U27" s="42">
        <f t="shared" si="9"/>
        <v>3315.6355672503914</v>
      </c>
      <c r="V27" s="42">
        <f t="shared" si="3"/>
        <v>1258.7991919200854</v>
      </c>
      <c r="W27" s="42">
        <f t="shared" si="4"/>
        <v>202.85427946696151</v>
      </c>
      <c r="X27" s="42">
        <f t="shared" si="5"/>
        <v>91.907869062870304</v>
      </c>
      <c r="Y27" s="42">
        <f t="shared" si="6"/>
        <v>52.483237567334257</v>
      </c>
      <c r="Z27" s="42">
        <f t="shared" si="7"/>
        <v>85.670957928304844</v>
      </c>
      <c r="AA27" s="42">
        <f t="shared" si="8"/>
        <v>24927.159109818425</v>
      </c>
      <c r="AC27" s="19"/>
    </row>
    <row r="28" spans="5:29" ht="15">
      <c r="E28" s="110" t="s">
        <v>167</v>
      </c>
      <c r="F28" s="111">
        <f>1000000000</f>
        <v>1000000000</v>
      </c>
      <c r="O28" s="112">
        <v>-5.5269405959577659E-23</v>
      </c>
      <c r="Q28" s="108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12.86090859832629</v>
      </c>
      <c r="U28" s="42">
        <f t="shared" si="9"/>
        <v>3309.3579493957373</v>
      </c>
      <c r="V28" s="42">
        <f t="shared" si="3"/>
        <v>1262.3089373061619</v>
      </c>
      <c r="W28" s="42">
        <f t="shared" si="4"/>
        <v>201.96447318856971</v>
      </c>
      <c r="X28" s="42">
        <f t="shared" si="5"/>
        <v>92.206457740763199</v>
      </c>
      <c r="Y28" s="42">
        <f t="shared" si="6"/>
        <v>52.433232604468301</v>
      </c>
      <c r="Z28" s="42">
        <f t="shared" si="7"/>
        <v>84.029100556696719</v>
      </c>
      <c r="AA28" s="42">
        <f t="shared" si="8"/>
        <v>24862.979042263083</v>
      </c>
      <c r="AC28" s="19"/>
    </row>
    <row r="29" spans="5:29">
      <c r="F29" s="113">
        <f t="array" ref="F29:M36">F2:M9*F28</f>
        <v>-5.7434633429516335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O29" s="112">
        <v>-2.5098646238064806E-23</v>
      </c>
      <c r="Q29" s="108">
        <v>27</v>
      </c>
      <c r="R29" s="27">
        <f t="shared" si="0"/>
        <v>2.25</v>
      </c>
      <c r="S29" s="18">
        <f t="shared" si="1"/>
        <v>70956000</v>
      </c>
      <c r="T29" s="42">
        <f t="shared" si="2"/>
        <v>12.668246002660917</v>
      </c>
      <c r="U29" s="42">
        <f t="shared" si="9"/>
        <v>3303.0550399526473</v>
      </c>
      <c r="V29" s="42">
        <f t="shared" si="3"/>
        <v>1265.7700000350883</v>
      </c>
      <c r="W29" s="42">
        <f t="shared" si="4"/>
        <v>201.11191337029751</v>
      </c>
      <c r="X29" s="42">
        <f t="shared" si="5"/>
        <v>92.499896645862918</v>
      </c>
      <c r="Y29" s="42">
        <f t="shared" si="6"/>
        <v>52.3805631205786</v>
      </c>
      <c r="Z29" s="42">
        <f t="shared" si="7"/>
        <v>82.418708627179015</v>
      </c>
      <c r="AA29" s="42">
        <f t="shared" si="8"/>
        <v>24798.964219408339</v>
      </c>
      <c r="AC29" s="19"/>
    </row>
    <row r="30" spans="5:29">
      <c r="F30" s="112">
        <v>1.561992653419539</v>
      </c>
      <c r="G30" s="112">
        <v>-6.9349911725794344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2">
        <v>0.82599399375528604</v>
      </c>
      <c r="Q30" s="108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12.478469585330824</v>
      </c>
      <c r="U30" s="42">
        <f t="shared" si="9"/>
        <v>3296.7276625089098</v>
      </c>
      <c r="V30" s="42">
        <f t="shared" si="3"/>
        <v>1269.1826331119319</v>
      </c>
      <c r="W30" s="42">
        <f t="shared" si="4"/>
        <v>200.29540093060504</v>
      </c>
      <c r="X30" s="42">
        <f t="shared" si="5"/>
        <v>92.788346516025058</v>
      </c>
      <c r="Y30" s="42">
        <f t="shared" si="6"/>
        <v>52.325419288360365</v>
      </c>
      <c r="Z30" s="42">
        <f t="shared" si="7"/>
        <v>80.839179123971149</v>
      </c>
      <c r="AA30" s="42">
        <f t="shared" si="8"/>
        <v>24735.114215798007</v>
      </c>
      <c r="AC30" s="19"/>
    </row>
    <row r="31" spans="5:29" ht="15">
      <c r="E31" s="110"/>
      <c r="F31" s="113">
        <v>0</v>
      </c>
      <c r="G31" s="112">
        <v>1.4380810506627284</v>
      </c>
      <c r="H31" s="112">
        <v>-2.7195273736977699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09" t="s">
        <v>152</v>
      </c>
      <c r="Q31" s="108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12.291536109996578</v>
      </c>
      <c r="U31" s="42">
        <f t="shared" si="9"/>
        <v>3290.3766246870528</v>
      </c>
      <c r="V31" s="42">
        <f t="shared" si="3"/>
        <v>1272.5470908112829</v>
      </c>
      <c r="W31" s="42">
        <f t="shared" si="4"/>
        <v>199.51377054656501</v>
      </c>
      <c r="X31" s="42">
        <f t="shared" si="5"/>
        <v>93.071963166299781</v>
      </c>
      <c r="Y31" s="42">
        <f t="shared" si="6"/>
        <v>52.267983438954104</v>
      </c>
      <c r="Z31" s="42">
        <f t="shared" si="7"/>
        <v>79.289920587620657</v>
      </c>
      <c r="AA31" s="42">
        <f t="shared" si="8"/>
        <v>24671.428607071346</v>
      </c>
      <c r="AC31" s="19"/>
    </row>
    <row r="32" spans="5:29">
      <c r="F32" s="113">
        <v>0</v>
      </c>
      <c r="G32" s="113">
        <v>0</v>
      </c>
      <c r="H32" s="112">
        <v>1.427077800367472</v>
      </c>
      <c r="I32" s="112">
        <v>-10.560453001086941</v>
      </c>
      <c r="J32" s="113">
        <v>0</v>
      </c>
      <c r="K32" s="113">
        <v>0</v>
      </c>
      <c r="L32" s="113">
        <v>0</v>
      </c>
      <c r="M32" s="113">
        <v>0</v>
      </c>
      <c r="O32" s="112">
        <f t="array" ref="O32:O39">MMULT($F$2:$M$9,O22:O29)</f>
        <v>2.0720551764630942E-32</v>
      </c>
      <c r="Q32" s="108">
        <v>30</v>
      </c>
      <c r="R32" s="27">
        <f t="shared" si="0"/>
        <v>2.5</v>
      </c>
      <c r="S32" s="18">
        <f t="shared" si="1"/>
        <v>78840000</v>
      </c>
      <c r="T32" s="42">
        <f t="shared" si="2"/>
        <v>12.107402988019894</v>
      </c>
      <c r="U32" s="42">
        <f t="shared" si="9"/>
        <v>3284.0027184376786</v>
      </c>
      <c r="V32" s="42">
        <f t="shared" si="3"/>
        <v>1275.8636286086419</v>
      </c>
      <c r="W32" s="42">
        <f t="shared" si="4"/>
        <v>198.76588973441244</v>
      </c>
      <c r="X32" s="42">
        <f t="shared" si="5"/>
        <v>93.350897624541687</v>
      </c>
      <c r="Y32" s="42">
        <f t="shared" si="6"/>
        <v>52.208430323510768</v>
      </c>
      <c r="Z32" s="42">
        <f t="shared" si="7"/>
        <v>77.770352893536895</v>
      </c>
      <c r="AA32" s="42">
        <f t="shared" si="8"/>
        <v>24607.906969960201</v>
      </c>
      <c r="AC32" s="19"/>
    </row>
    <row r="33" spans="2:29">
      <c r="F33" s="113">
        <v>0</v>
      </c>
      <c r="G33" s="113">
        <v>0</v>
      </c>
      <c r="H33" s="113">
        <v>0</v>
      </c>
      <c r="I33" s="112">
        <v>1.4051025590107522</v>
      </c>
      <c r="J33" s="112">
        <v>-2.3381555221817427</v>
      </c>
      <c r="K33" s="112">
        <v>0.84756011426011868</v>
      </c>
      <c r="L33" s="113">
        <v>0</v>
      </c>
      <c r="M33" s="113">
        <v>0</v>
      </c>
      <c r="O33" s="112">
        <v>-5.5165821860552669E-31</v>
      </c>
      <c r="Q33" s="108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11.926028268760779</v>
      </c>
      <c r="U33" s="42">
        <f t="shared" si="9"/>
        <v>3277.6067203274702</v>
      </c>
      <c r="V33" s="42">
        <f t="shared" si="3"/>
        <v>1279.1325031133968</v>
      </c>
      <c r="W33" s="42">
        <f t="shared" si="4"/>
        <v>198.05065795501218</v>
      </c>
      <c r="X33" s="42">
        <f t="shared" si="5"/>
        <v>93.625296263420353</v>
      </c>
      <c r="Y33" s="42">
        <f t="shared" si="6"/>
        <v>52.146927366848175</v>
      </c>
      <c r="Z33" s="42">
        <f t="shared" si="7"/>
        <v>76.279907034768982</v>
      </c>
      <c r="AA33" s="42">
        <f t="shared" si="8"/>
        <v>24544.548882286203</v>
      </c>
      <c r="AC33" s="19"/>
    </row>
    <row r="34" spans="2:29">
      <c r="F34" s="113">
        <v>0</v>
      </c>
      <c r="G34" s="113">
        <v>0</v>
      </c>
      <c r="H34" s="113">
        <v>0</v>
      </c>
      <c r="I34" s="113">
        <v>1.5343492432592516</v>
      </c>
      <c r="J34" s="113">
        <v>0</v>
      </c>
      <c r="K34" s="112">
        <v>-6.2828676916701518</v>
      </c>
      <c r="L34" s="113">
        <v>0</v>
      </c>
      <c r="M34" s="113">
        <v>0</v>
      </c>
      <c r="O34" s="112">
        <v>8.0758078205361449E-32</v>
      </c>
      <c r="Q34" s="108">
        <v>32</v>
      </c>
      <c r="R34" s="27">
        <f t="shared" si="0"/>
        <v>2.6666666666666665</v>
      </c>
      <c r="S34" s="18">
        <f t="shared" si="1"/>
        <v>84096000</v>
      </c>
      <c r="T34" s="42">
        <f t="shared" ref="T34:T65" si="10">$F$148*EXP($F$24*$S34)+$G$148*EXP($G$24*$S34)+$H$148*EXP($H$24*$S34)+$I$148*EXP($I$24*$S34)+$J$148*EXP($J$24*$S34)+$K$148*EXP($K$24*$S34)+$L$148*EXP($L$24*$S34)+$M$148*EXP($M$24*$S34)</f>
        <v>11.747370630019992</v>
      </c>
      <c r="U34" s="42">
        <f t="shared" ref="U34:U65" si="11">$F$149*EXP($F$24*$S34)+$G$149*EXP($G$24*$S34)+$H$149*EXP($H$24*$S34)+$I$149*EXP($I$24*$S34)+$J$149*EXP($J$24*$S34)+$K$149*EXP($K$24*$S34)+$L$149*EXP($L$24*$S34)+$M$149*EXP($M$24*$S34)</f>
        <v>3271.1893918219348</v>
      </c>
      <c r="V34" s="42">
        <f t="shared" ref="V34:V65" si="12">$F$150*EXP($F$24*$S34)+$G$150*EXP($G$24*$S34)+$H$150*EXP($H$24*$S34)+$I$150*EXP($I$24*$S34)+$J$150*EXP($J$24*$S34)+$K$150*EXP($K$24*$S34)+$L$150*EXP($L$24*$S34)+$M$150*EXP($M$24*$S34)</f>
        <v>1282.3539720033489</v>
      </c>
      <c r="W34" s="42">
        <f t="shared" ref="W34:W65" si="13">$F$151*EXP($F$24*$S34)+$G$151*EXP($G$24*$S34)+$H$151*EXP($H$24*$S34)+$I$151*EXP($I$24*$S34)+$J$151*EXP($J$24*$S34)+$K$151*EXP($K$24*$S34)+$L$151*EXP($L$24*$S34)+$M$151*EXP($M$24*$S34)</f>
        <v>197.36700574356425</v>
      </c>
      <c r="X34" s="42">
        <f t="shared" ref="X34:X65" si="14">$F$152*EXP($F$24*$S34)+$G$152*EXP($G$24*$S34)+$H$152*EXP($H$24*$S34)+$I$152*EXP($I$24*$S34)+$J$152*EXP($J$24*$S34)+$K$152*EXP($K$24*$S34)+$L$152*EXP($L$24*$S34)+$M$152*EXP($M$24*$S34)</f>
        <v>93.895300928932272</v>
      </c>
      <c r="Y34" s="42">
        <f t="shared" ref="Y34:Y65" si="15">$F$153*EXP($F$24*$S34)+$G$153*EXP($G$24*$S34)+$H$153*EXP($H$24*$S34)+$I$153*EXP($I$24*$S34)+$J$153*EXP($J$24*$S34)+$K$153*EXP($K$24*$S34)+$L$153*EXP($L$24*$S34)+$M$153*EXP($M$24*$S34)</f>
        <v>52.083634913424078</v>
      </c>
      <c r="Z34" s="42">
        <f t="shared" ref="Z34:Z65" si="16">$F$154*EXP($F$24*$S34)+$G$154*EXP($G$24*$S34)+$H$154*EXP($H$24*$S34)+$I$154*EXP($I$24*$S34)+$J$154*EXP($J$24*$S34)+$K$154*EXP($K$24*$S34)+$L$154*EXP($L$24*$S34)+$M$154*EXP($M$24*$S34)</f>
        <v>74.818024908946768</v>
      </c>
      <c r="AA34" s="42">
        <f t="shared" ref="AA34:AA65" si="17">$F$155*EXP($F$24*$S34)+$G$155*EXP($G$24*$S34)+$H$155*EXP($H$24*$S34)+$I$155*EXP($I$24*$S34)+$J$155*EXP($J$24*$S34)+$K$155*EXP($K$24*$S34)+$L$155*EXP($L$24*$S34)+$M$155*EXP($M$24*$S34)</f>
        <v>24481.353922957976</v>
      </c>
      <c r="AC34" s="19"/>
    </row>
    <row r="35" spans="2:29">
      <c r="F35" s="113">
        <v>0</v>
      </c>
      <c r="G35" s="112">
        <v>9.1163637120235494E-4</v>
      </c>
      <c r="H35" s="113">
        <v>0</v>
      </c>
      <c r="I35" s="113">
        <v>0</v>
      </c>
      <c r="J35" s="113">
        <v>0</v>
      </c>
      <c r="K35" s="113">
        <v>0</v>
      </c>
      <c r="L35" s="112">
        <v>-7.3617684041897036</v>
      </c>
      <c r="M35" s="113">
        <v>0</v>
      </c>
      <c r="O35" s="112">
        <v>1.4899346129670376E-30</v>
      </c>
      <c r="Q35" s="108">
        <v>33</v>
      </c>
      <c r="R35" s="27">
        <f t="shared" si="0"/>
        <v>2.75</v>
      </c>
      <c r="S35" s="18">
        <f t="shared" si="1"/>
        <v>86724000</v>
      </c>
      <c r="T35" s="42">
        <f t="shared" si="10"/>
        <v>11.571389368624718</v>
      </c>
      <c r="U35" s="42">
        <f t="shared" si="11"/>
        <v>3264.7514795630123</v>
      </c>
      <c r="V35" s="42">
        <f t="shared" si="12"/>
        <v>1285.5282939607637</v>
      </c>
      <c r="W35" s="42">
        <f t="shared" si="13"/>
        <v>196.7138938628915</v>
      </c>
      <c r="X35" s="42">
        <f t="shared" si="14"/>
        <v>94.161049065498673</v>
      </c>
      <c r="Y35" s="42">
        <f t="shared" si="15"/>
        <v>52.01870646584895</v>
      </c>
      <c r="Z35" s="42">
        <f t="shared" si="16"/>
        <v>73.384159109304633</v>
      </c>
      <c r="AA35" s="42">
        <f t="shared" si="17"/>
        <v>24418.32167196833</v>
      </c>
      <c r="AC35" s="19"/>
    </row>
    <row r="36" spans="2:29">
      <c r="F36" s="113">
        <v>0</v>
      </c>
      <c r="G36" s="113">
        <v>0</v>
      </c>
      <c r="H36" s="113">
        <v>0</v>
      </c>
      <c r="I36" s="113">
        <v>0</v>
      </c>
      <c r="J36" s="112">
        <v>5.8612141092503411E-5</v>
      </c>
      <c r="K36" s="113">
        <v>0</v>
      </c>
      <c r="L36" s="113">
        <v>0</v>
      </c>
      <c r="M36" s="112">
        <v>-0.98098353166876462</v>
      </c>
      <c r="O36" s="112">
        <v>-2.1748771953778711E-31</v>
      </c>
      <c r="Q36" s="108">
        <v>34</v>
      </c>
      <c r="R36" s="27">
        <f t="shared" si="0"/>
        <v>2.8333333333333335</v>
      </c>
      <c r="S36" s="18">
        <f t="shared" si="1"/>
        <v>89352000</v>
      </c>
      <c r="T36" s="42">
        <f t="shared" si="10"/>
        <v>11.398044391155235</v>
      </c>
      <c r="U36" s="42">
        <f t="shared" si="11"/>
        <v>3258.2937156416119</v>
      </c>
      <c r="V36" s="42">
        <f t="shared" si="12"/>
        <v>1288.6557286099055</v>
      </c>
      <c r="W36" s="42">
        <f t="shared" si="13"/>
        <v>196.09031247966925</v>
      </c>
      <c r="X36" s="42">
        <f t="shared" si="14"/>
        <v>94.422673837746856</v>
      </c>
      <c r="Y36" s="42">
        <f t="shared" si="15"/>
        <v>51.952288916152384</v>
      </c>
      <c r="Z36" s="42">
        <f t="shared" si="16"/>
        <v>71.977772719710103</v>
      </c>
      <c r="AA36" s="42">
        <f t="shared" si="17"/>
        <v>24355.451710391455</v>
      </c>
      <c r="AC36" s="19"/>
    </row>
    <row r="37" spans="2:29">
      <c r="O37" s="112">
        <v>-3.9695248271916252E-31</v>
      </c>
      <c r="Q37" s="108">
        <v>35</v>
      </c>
      <c r="R37" s="27">
        <f t="shared" si="0"/>
        <v>2.9166666666666665</v>
      </c>
      <c r="S37" s="18">
        <f t="shared" si="1"/>
        <v>91980000</v>
      </c>
      <c r="T37" s="42">
        <f t="shared" si="10"/>
        <v>11.227296204810541</v>
      </c>
      <c r="U37" s="42">
        <f t="shared" si="11"/>
        <v>3251.8168178651945</v>
      </c>
      <c r="V37" s="42">
        <f t="shared" si="12"/>
        <v>1291.7365364560428</v>
      </c>
      <c r="W37" s="42">
        <f t="shared" si="13"/>
        <v>195.49528036297426</v>
      </c>
      <c r="X37" s="42">
        <f t="shared" si="14"/>
        <v>94.68030424905993</v>
      </c>
      <c r="Y37" s="42">
        <f t="shared" si="15"/>
        <v>51.884522770013547</v>
      </c>
      <c r="Z37" s="42">
        <f t="shared" si="16"/>
        <v>70.598339113620682</v>
      </c>
      <c r="AA37" s="42">
        <f t="shared" si="17"/>
        <v>24292.743620380163</v>
      </c>
      <c r="AC37" s="19"/>
    </row>
    <row r="38" spans="2:29">
      <c r="O38" s="112">
        <v>4.0694961851610207E-31</v>
      </c>
      <c r="Q38" s="108">
        <v>36</v>
      </c>
      <c r="R38" s="27">
        <f t="shared" si="0"/>
        <v>3</v>
      </c>
      <c r="S38" s="18">
        <f t="shared" si="1"/>
        <v>94608000</v>
      </c>
      <c r="T38" s="42">
        <f t="shared" si="10"/>
        <v>11.059105908410777</v>
      </c>
      <c r="U38" s="42">
        <f t="shared" si="11"/>
        <v>3245.3214900204707</v>
      </c>
      <c r="V38" s="42">
        <f t="shared" si="12"/>
        <v>1294.7709788258819</v>
      </c>
      <c r="W38" s="42">
        <f t="shared" si="13"/>
        <v>194.92784410454743</v>
      </c>
      <c r="X38" s="42">
        <f t="shared" si="14"/>
        <v>94.934065256980091</v>
      </c>
      <c r="Y38" s="42">
        <f t="shared" si="15"/>
        <v>51.81554236415775</v>
      </c>
      <c r="Z38" s="42">
        <f t="shared" si="16"/>
        <v>69.245341756893211</v>
      </c>
      <c r="AA38" s="42">
        <f t="shared" si="17"/>
        <v>24230.196985163089</v>
      </c>
      <c r="AC38" s="19"/>
    </row>
    <row r="39" spans="2:29">
      <c r="O39" s="112">
        <v>2.4622507979410659E-32</v>
      </c>
      <c r="Q39" s="108">
        <v>37</v>
      </c>
      <c r="R39" s="27">
        <f t="shared" si="0"/>
        <v>3.0833333333333335</v>
      </c>
      <c r="S39" s="18">
        <f t="shared" si="1"/>
        <v>97236000</v>
      </c>
      <c r="T39" s="42">
        <f t="shared" si="10"/>
        <v>10.893435183534468</v>
      </c>
      <c r="U39" s="42">
        <f t="shared" si="11"/>
        <v>3238.8084221313197</v>
      </c>
      <c r="V39" s="42">
        <f t="shared" si="12"/>
        <v>1297.7593178094023</v>
      </c>
      <c r="W39" s="42">
        <f t="shared" si="13"/>
        <v>194.38707736018091</v>
      </c>
      <c r="X39" s="42">
        <f t="shared" si="14"/>
        <v>95.184077885548106</v>
      </c>
      <c r="Y39" s="42">
        <f t="shared" si="15"/>
        <v>51.745476077117416</v>
      </c>
      <c r="Z39" s="42">
        <f t="shared" si="16"/>
        <v>67.918274014372415</v>
      </c>
      <c r="AA39" s="42">
        <f t="shared" si="17"/>
        <v>24167.811389041937</v>
      </c>
      <c r="AC39" s="19"/>
    </row>
    <row r="40" spans="2:29">
      <c r="Q40" s="108">
        <v>38</v>
      </c>
      <c r="R40" s="27">
        <f t="shared" si="0"/>
        <v>3.1666666666666665</v>
      </c>
      <c r="S40" s="18">
        <f t="shared" si="1"/>
        <v>99864000</v>
      </c>
      <c r="T40" s="42">
        <f t="shared" si="10"/>
        <v>10.730246285788521</v>
      </c>
      <c r="U40" s="42">
        <f t="shared" si="11"/>
        <v>3232.2782907120045</v>
      </c>
      <c r="V40" s="42">
        <f t="shared" si="12"/>
        <v>1300.7018162030765</v>
      </c>
      <c r="W40" s="42">
        <f t="shared" si="13"/>
        <v>193.87208011165768</v>
      </c>
      <c r="X40" s="42">
        <f t="shared" si="14"/>
        <v>95.43045933466118</v>
      </c>
      <c r="Y40" s="42">
        <f t="shared" si="15"/>
        <v>51.674446533549172</v>
      </c>
      <c r="Z40" s="42">
        <f t="shared" si="16"/>
        <v>66.61663896018581</v>
      </c>
      <c r="AA40" s="42">
        <f t="shared" si="17"/>
        <v>24105.586417388706</v>
      </c>
      <c r="AC40" s="19"/>
    </row>
    <row r="41" spans="2:29" ht="15">
      <c r="F41" s="114" t="s">
        <v>156</v>
      </c>
      <c r="G41" s="114" t="s">
        <v>157</v>
      </c>
      <c r="H41" s="114" t="s">
        <v>158</v>
      </c>
      <c r="I41" s="114" t="s">
        <v>159</v>
      </c>
      <c r="J41" s="114" t="s">
        <v>160</v>
      </c>
      <c r="K41" s="114" t="s">
        <v>161</v>
      </c>
      <c r="L41" s="114" t="s">
        <v>162</v>
      </c>
      <c r="M41" s="114" t="s">
        <v>163</v>
      </c>
      <c r="N41" s="109" t="s">
        <v>153</v>
      </c>
      <c r="Q41" s="108">
        <v>39</v>
      </c>
      <c r="R41" s="27">
        <f t="shared" si="0"/>
        <v>3.25</v>
      </c>
      <c r="S41" s="18">
        <f t="shared" si="1"/>
        <v>102492000</v>
      </c>
      <c r="T41" s="42">
        <f t="shared" si="10"/>
        <v>10.569502036209002</v>
      </c>
      <c r="U41" s="42">
        <f t="shared" si="11"/>
        <v>3225.7317590157704</v>
      </c>
      <c r="V41" s="42">
        <f t="shared" si="12"/>
        <v>1303.5987374544293</v>
      </c>
      <c r="W41" s="42">
        <f t="shared" si="13"/>
        <v>193.38197794868444</v>
      </c>
      <c r="X41" s="42">
        <f t="shared" si="14"/>
        <v>95.673323086528967</v>
      </c>
      <c r="Y41" s="42">
        <f t="shared" si="15"/>
        <v>51.602570802294125</v>
      </c>
      <c r="Z41" s="42">
        <f t="shared" si="16"/>
        <v>65.339949191674137</v>
      </c>
      <c r="AA41" s="42">
        <f t="shared" si="17"/>
        <v>24043.521656642934</v>
      </c>
      <c r="AC41" s="19"/>
    </row>
    <row r="42" spans="2:29" ht="15">
      <c r="C42" s="110" t="s">
        <v>164</v>
      </c>
      <c r="D42" s="110" t="s">
        <v>165</v>
      </c>
      <c r="E42" s="111"/>
      <c r="F42" s="112">
        <f>F29</f>
        <v>-5.7434633429516335</v>
      </c>
      <c r="G42" s="112">
        <f>G30</f>
        <v>-6.9349911725794344</v>
      </c>
      <c r="H42" s="112">
        <f>H31</f>
        <v>-2.7195273736977699</v>
      </c>
      <c r="I42" s="112">
        <f>I32</f>
        <v>-10.560453001086941</v>
      </c>
      <c r="J42" s="112">
        <f>J33</f>
        <v>-2.3381555221817427</v>
      </c>
      <c r="K42" s="112">
        <f>K34</f>
        <v>-6.2828676916701518</v>
      </c>
      <c r="L42" s="112">
        <f>L35</f>
        <v>-7.3617684041897036</v>
      </c>
      <c r="M42" s="112">
        <f>M36</f>
        <v>-0.98098353166876462</v>
      </c>
      <c r="O42" s="112">
        <f t="array" ref="O42:O49">MMULT($F$2:$M$9,O32:O39)</f>
        <v>-1.190077295058896E-40</v>
      </c>
      <c r="Q42" s="108">
        <v>40</v>
      </c>
      <c r="R42" s="27">
        <f t="shared" si="0"/>
        <v>3.3333333333333335</v>
      </c>
      <c r="S42" s="18">
        <f t="shared" si="1"/>
        <v>105120000</v>
      </c>
      <c r="T42" s="42">
        <f t="shared" si="10"/>
        <v>10.411165812790738</v>
      </c>
      <c r="U42" s="42">
        <f t="shared" si="11"/>
        <v>3219.1694772789215</v>
      </c>
      <c r="V42" s="42">
        <f t="shared" si="12"/>
        <v>1306.4503456079285</v>
      </c>
      <c r="W42" s="42">
        <f t="shared" si="13"/>
        <v>192.91592137027669</v>
      </c>
      <c r="X42" s="42">
        <f t="shared" si="14"/>
        <v>95.912779009301289</v>
      </c>
      <c r="Y42" s="42">
        <f t="shared" si="15"/>
        <v>51.52996058836149</v>
      </c>
      <c r="Z42" s="42">
        <f t="shared" si="16"/>
        <v>64.087726646887717</v>
      </c>
      <c r="AA42" s="42">
        <f t="shared" si="17"/>
        <v>23981.61669430897</v>
      </c>
      <c r="AC42" s="19"/>
    </row>
    <row r="43" spans="2:29">
      <c r="B43" s="123"/>
      <c r="C43" s="111">
        <f t="array" ref="C43:C51">_xll.MatCharPoly(F29:M36)</f>
        <v>121358.6601646489</v>
      </c>
      <c r="D43" s="115" t="s">
        <v>166</v>
      </c>
      <c r="E43" s="115" t="s">
        <v>120</v>
      </c>
      <c r="H43" s="19"/>
      <c r="I43" s="19"/>
      <c r="J43" s="19"/>
      <c r="K43" s="19"/>
      <c r="L43" s="19"/>
      <c r="M43" s="19"/>
      <c r="O43" s="112">
        <v>3.8784482696435612E-39</v>
      </c>
      <c r="Q43" s="108">
        <v>41</v>
      </c>
      <c r="R43" s="27">
        <f t="shared" si="0"/>
        <v>3.4166666666666665</v>
      </c>
      <c r="S43" s="18">
        <f t="shared" si="1"/>
        <v>107748000</v>
      </c>
      <c r="T43" s="42">
        <f t="shared" si="10"/>
        <v>10.255201542143805</v>
      </c>
      <c r="U43" s="42">
        <f t="shared" si="11"/>
        <v>3212.5920829604365</v>
      </c>
      <c r="V43" s="42">
        <f t="shared" si="12"/>
        <v>1309.256905252166</v>
      </c>
      <c r="W43" s="42">
        <f t="shared" si="13"/>
        <v>192.47308510506826</v>
      </c>
      <c r="X43" s="42">
        <f t="shared" si="14"/>
        <v>96.148933457944111</v>
      </c>
      <c r="Y43" s="42">
        <f t="shared" si="15"/>
        <v>51.456722419013389</v>
      </c>
      <c r="Z43" s="42">
        <f t="shared" si="16"/>
        <v>62.85950242558016</v>
      </c>
      <c r="AA43" s="42">
        <f t="shared" si="17"/>
        <v>23919.87111895319</v>
      </c>
      <c r="AC43" s="19"/>
    </row>
    <row r="44" spans="2:29">
      <c r="B44" s="123"/>
      <c r="C44" s="111">
        <v>306161.7370420915</v>
      </c>
      <c r="D44" s="111">
        <f t="array" ref="D44:E51">_xll.Poly_Roots(C43:C51)</f>
        <v>-10.560452952226983</v>
      </c>
      <c r="E44" s="111">
        <v>0</v>
      </c>
      <c r="F44" s="114" t="s">
        <v>155</v>
      </c>
      <c r="I44" s="19"/>
      <c r="J44" s="19"/>
      <c r="K44" s="19"/>
      <c r="L44" s="19"/>
      <c r="M44" s="19"/>
      <c r="O44" s="112">
        <v>-1.0129530349456707E-39</v>
      </c>
      <c r="Q44" s="108">
        <v>42</v>
      </c>
      <c r="R44" s="27">
        <f t="shared" si="0"/>
        <v>3.5</v>
      </c>
      <c r="S44" s="18">
        <f t="shared" si="1"/>
        <v>110376000</v>
      </c>
      <c r="T44" s="42">
        <f t="shared" si="10"/>
        <v>10.101573691275004</v>
      </c>
      <c r="U44" s="42">
        <f t="shared" si="11"/>
        <v>3206.0002009772334</v>
      </c>
      <c r="V44" s="42">
        <f t="shared" si="12"/>
        <v>1312.0186814683095</v>
      </c>
      <c r="W44" s="42">
        <f t="shared" si="13"/>
        <v>192.05266745003124</v>
      </c>
      <c r="X44" s="42">
        <f t="shared" si="14"/>
        <v>96.381889372440071</v>
      </c>
      <c r="Y44" s="42">
        <f t="shared" si="15"/>
        <v>51.382957824120609</v>
      </c>
      <c r="Z44" s="42">
        <f t="shared" si="16"/>
        <v>61.654816613632548</v>
      </c>
      <c r="AA44" s="42">
        <f t="shared" si="17"/>
        <v>23858.284520201312</v>
      </c>
      <c r="AC44" s="19"/>
    </row>
    <row r="45" spans="2:29">
      <c r="B45" s="123"/>
      <c r="C45" s="111">
        <v>297529.37065854389</v>
      </c>
      <c r="D45" s="111">
        <v>-7.3617684042309399</v>
      </c>
      <c r="E45" s="111">
        <v>0</v>
      </c>
      <c r="F45" s="112">
        <f t="array" ref="F45:M52">_xll.SYSLINSING(F$29:M$36-F42*_xll.M_ID(),,0.000001)</f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-392586.77713702735</v>
      </c>
      <c r="O45" s="112">
        <v>-1.5619136394323852E-38</v>
      </c>
      <c r="Q45" s="108">
        <v>43</v>
      </c>
      <c r="R45" s="27">
        <f t="shared" si="0"/>
        <v>3.5833333333333335</v>
      </c>
      <c r="S45" s="18">
        <f t="shared" si="1"/>
        <v>113004000</v>
      </c>
      <c r="T45" s="42">
        <f t="shared" si="10"/>
        <v>9.9502472594924658</v>
      </c>
      <c r="U45" s="42">
        <f t="shared" si="11"/>
        <v>3199.3944439351299</v>
      </c>
      <c r="V45" s="42">
        <f t="shared" si="12"/>
        <v>1314.7359397798043</v>
      </c>
      <c r="W45" s="42">
        <f t="shared" si="13"/>
        <v>191.6538896271087</v>
      </c>
      <c r="X45" s="42">
        <f t="shared" si="14"/>
        <v>96.611746373372455</v>
      </c>
      <c r="Y45" s="42">
        <f t="shared" si="15"/>
        <v>51.308763510956894</v>
      </c>
      <c r="Z45" s="42">
        <f t="shared" si="16"/>
        <v>60.473218110842502</v>
      </c>
      <c r="AA45" s="42">
        <f t="shared" si="17"/>
        <v>23796.856488735648</v>
      </c>
      <c r="AC45" s="19"/>
    </row>
    <row r="46" spans="2:29">
      <c r="B46" s="123"/>
      <c r="C46" s="111">
        <v>149747.40168069126</v>
      </c>
      <c r="D46" s="111">
        <v>-6.934991032542885</v>
      </c>
      <c r="E46" s="111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-514647.5142886492</v>
      </c>
      <c r="O46" s="112">
        <v>2.2655899582733793E-39</v>
      </c>
      <c r="Q46" s="108">
        <v>44</v>
      </c>
      <c r="R46" s="27">
        <f t="shared" si="0"/>
        <v>3.6666666666666665</v>
      </c>
      <c r="S46" s="18">
        <f t="shared" si="1"/>
        <v>115632000</v>
      </c>
      <c r="T46" s="42">
        <f t="shared" si="10"/>
        <v>9.8011877704315182</v>
      </c>
      <c r="U46" s="42">
        <f t="shared" si="11"/>
        <v>3192.7754123556051</v>
      </c>
      <c r="V46" s="42">
        <f t="shared" si="12"/>
        <v>1317.4089461032859</v>
      </c>
      <c r="W46" s="42">
        <f t="shared" si="13"/>
        <v>191.27599515727232</v>
      </c>
      <c r="X46" s="42">
        <f t="shared" si="14"/>
        <v>96.83860085497713</v>
      </c>
      <c r="Y46" s="42">
        <f t="shared" si="15"/>
        <v>51.234231533592663</v>
      </c>
      <c r="Z46" s="42">
        <f t="shared" si="16"/>
        <v>59.314264462013291</v>
      </c>
      <c r="AA46" s="42">
        <f t="shared" si="17"/>
        <v>23735.586616292348</v>
      </c>
      <c r="AC46" s="19"/>
    </row>
    <row r="47" spans="2:29">
      <c r="B47" s="123"/>
      <c r="C47" s="111">
        <v>43428.843676661316</v>
      </c>
      <c r="D47" s="111">
        <v>-6.2828683133392822</v>
      </c>
      <c r="E47" s="111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244748.84574087002</v>
      </c>
      <c r="O47" s="112">
        <v>4.7800799747162207E-39</v>
      </c>
      <c r="Q47" s="108">
        <v>45</v>
      </c>
      <c r="R47" s="27">
        <f t="shared" si="0"/>
        <v>3.75</v>
      </c>
      <c r="S47" s="18">
        <f t="shared" si="1"/>
        <v>118260000</v>
      </c>
      <c r="T47" s="42">
        <f t="shared" si="10"/>
        <v>9.6543612642000074</v>
      </c>
      <c r="U47" s="42">
        <f t="shared" si="11"/>
        <v>3186.1436948984251</v>
      </c>
      <c r="V47" s="42">
        <f t="shared" si="12"/>
        <v>1320.0379667006994</v>
      </c>
      <c r="W47" s="42">
        <f t="shared" si="13"/>
        <v>190.91824925153429</v>
      </c>
      <c r="X47" s="42">
        <f t="shared" si="14"/>
        <v>97.062546075721002</v>
      </c>
      <c r="Y47" s="42">
        <f t="shared" si="15"/>
        <v>51.159449457045767</v>
      </c>
      <c r="Z47" s="42">
        <f t="shared" si="16"/>
        <v>58.17752169128002</v>
      </c>
      <c r="AA47" s="42">
        <f t="shared" si="17"/>
        <v>23674.474495658756</v>
      </c>
      <c r="AC47" s="19"/>
    </row>
    <row r="48" spans="2:29">
      <c r="B48" s="123"/>
      <c r="C48" s="111">
        <v>7532.7582946600423</v>
      </c>
      <c r="D48" s="111">
        <v>-5.7434633428738344</v>
      </c>
      <c r="E48" s="111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72509.112373217271</v>
      </c>
      <c r="O48" s="112">
        <v>-2.9963717553854474E-39</v>
      </c>
      <c r="Q48" s="108">
        <v>46</v>
      </c>
      <c r="R48" s="27">
        <f t="shared" si="0"/>
        <v>3.8333333333333335</v>
      </c>
      <c r="S48" s="18">
        <f t="shared" si="1"/>
        <v>120888000</v>
      </c>
      <c r="T48" s="42">
        <f t="shared" si="10"/>
        <v>9.5097342896413011</v>
      </c>
      <c r="U48" s="42">
        <f t="shared" si="11"/>
        <v>3179.4998685802066</v>
      </c>
      <c r="V48" s="42">
        <f t="shared" si="12"/>
        <v>1322.6232681325794</v>
      </c>
      <c r="W48" s="42">
        <f t="shared" si="13"/>
        <v>190.57993821845264</v>
      </c>
      <c r="X48" s="42">
        <f t="shared" si="14"/>
        <v>97.283672246468825</v>
      </c>
      <c r="Y48" s="42">
        <f t="shared" si="15"/>
        <v>51.084500516342018</v>
      </c>
      <c r="Z48" s="42">
        <f t="shared" si="16"/>
        <v>57.062564139610807</v>
      </c>
      <c r="AA48" s="42">
        <f t="shared" si="17"/>
        <v>23613.519720670654</v>
      </c>
      <c r="AC48" s="19"/>
    </row>
    <row r="49" spans="2:29">
      <c r="B49" s="123"/>
      <c r="C49" s="111">
        <v>771.10814192840314</v>
      </c>
      <c r="D49" s="111">
        <v>-2.7195193487220761</v>
      </c>
      <c r="E49" s="111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-81254.151827802751</v>
      </c>
      <c r="O49" s="112">
        <v>-2.416702225708804E-41</v>
      </c>
      <c r="Q49" s="108">
        <v>47</v>
      </c>
      <c r="R49" s="27">
        <f t="shared" si="0"/>
        <v>3.9166666666666665</v>
      </c>
      <c r="S49" s="18">
        <f t="shared" si="1"/>
        <v>123516000</v>
      </c>
      <c r="T49" s="42">
        <f t="shared" si="10"/>
        <v>9.3672738967131757</v>
      </c>
      <c r="U49" s="42">
        <f t="shared" si="11"/>
        <v>3172.8444989890031</v>
      </c>
      <c r="V49" s="42">
        <f t="shared" si="12"/>
        <v>1325.1651172124873</v>
      </c>
      <c r="W49" s="42">
        <f t="shared" si="13"/>
        <v>190.26036888768354</v>
      </c>
      <c r="X49" s="42">
        <f t="shared" si="14"/>
        <v>97.502066616307673</v>
      </c>
      <c r="Y49" s="42">
        <f t="shared" si="15"/>
        <v>51.009463770633687</v>
      </c>
      <c r="Z49" s="42">
        <f t="shared" si="16"/>
        <v>55.968974305422087</v>
      </c>
      <c r="AA49" s="42">
        <f t="shared" si="17"/>
        <v>23552.721886209569</v>
      </c>
      <c r="AC49" s="19"/>
    </row>
    <row r="50" spans="2:29">
      <c r="B50" s="124"/>
      <c r="C50" s="111">
        <v>42.922210040026137</v>
      </c>
      <c r="D50" s="111">
        <v>-2.3381643328711612</v>
      </c>
      <c r="E50" s="111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206253.99473244269</v>
      </c>
      <c r="Q50" s="108">
        <v>48</v>
      </c>
      <c r="R50" s="27">
        <f t="shared" si="0"/>
        <v>4</v>
      </c>
      <c r="S50" s="18">
        <f t="shared" si="1"/>
        <v>126144000</v>
      </c>
      <c r="T50" s="42">
        <f t="shared" si="10"/>
        <v>9.2269476289808843</v>
      </c>
      <c r="U50" s="42">
        <f t="shared" si="11"/>
        <v>3166.1781404949738</v>
      </c>
      <c r="V50" s="42">
        <f t="shared" si="12"/>
        <v>1327.6637809625688</v>
      </c>
      <c r="W50" s="42">
        <f t="shared" si="13"/>
        <v>189.95886804914534</v>
      </c>
      <c r="X50" s="42">
        <f t="shared" si="14"/>
        <v>97.717813556093915</v>
      </c>
      <c r="Y50" s="42">
        <f t="shared" si="15"/>
        <v>50.934414252520526</v>
      </c>
      <c r="Z50" s="42">
        <f t="shared" si="16"/>
        <v>54.896342688248282</v>
      </c>
      <c r="AA50" s="42">
        <f t="shared" si="17"/>
        <v>23492.080588200093</v>
      </c>
      <c r="AC50" s="19"/>
    </row>
    <row r="51" spans="2:29">
      <c r="C51" s="111">
        <v>1</v>
      </c>
      <c r="D51" s="111">
        <v>-0.98098231321893792</v>
      </c>
      <c r="E51" s="111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-289.9152969437547</v>
      </c>
      <c r="Q51" s="108">
        <v>49</v>
      </c>
      <c r="R51" s="27">
        <f t="shared" si="0"/>
        <v>4.083333333333333</v>
      </c>
      <c r="S51" s="18">
        <f t="shared" si="1"/>
        <v>128772000</v>
      </c>
      <c r="T51" s="42">
        <f t="shared" si="10"/>
        <v>9.0887235162226894</v>
      </c>
      <c r="U51" s="42">
        <f t="shared" si="11"/>
        <v>3159.5013364572114</v>
      </c>
      <c r="V51" s="42">
        <f t="shared" si="12"/>
        <v>1330.1195265702156</v>
      </c>
      <c r="W51" s="42">
        <f t="shared" si="13"/>
        <v>189.67478190737069</v>
      </c>
      <c r="X51" s="42">
        <f t="shared" si="14"/>
        <v>97.930994639771598</v>
      </c>
      <c r="Y51" s="42">
        <f t="shared" si="15"/>
        <v>50.859423112712946</v>
      </c>
      <c r="Z51" s="42">
        <f t="shared" si="16"/>
        <v>53.844267635407405</v>
      </c>
      <c r="AA51" s="42">
        <f t="shared" si="17"/>
        <v>23431.595423607199</v>
      </c>
      <c r="AC51" s="19"/>
    </row>
    <row r="52" spans="2:29"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1</v>
      </c>
      <c r="Q52" s="108">
        <v>50</v>
      </c>
      <c r="R52" s="27">
        <f t="shared" si="0"/>
        <v>4.166666666666667</v>
      </c>
      <c r="S52" s="18">
        <f t="shared" si="1"/>
        <v>131400000</v>
      </c>
      <c r="T52" s="42">
        <f t="shared" si="10"/>
        <v>8.952570067146139</v>
      </c>
      <c r="U52" s="42">
        <f t="shared" si="11"/>
        <v>3152.8146194268033</v>
      </c>
      <c r="V52" s="42">
        <f t="shared" si="12"/>
        <v>1332.5326213458056</v>
      </c>
      <c r="W52" s="42">
        <f t="shared" si="13"/>
        <v>189.40747555063587</v>
      </c>
      <c r="X52" s="42">
        <f t="shared" si="14"/>
        <v>98.141688723532184</v>
      </c>
      <c r="Y52" s="42">
        <f t="shared" si="15"/>
        <v>50.784557760173968</v>
      </c>
      <c r="Z52" s="42">
        <f t="shared" si="16"/>
        <v>52.812355191605263</v>
      </c>
      <c r="AA52" s="42">
        <f t="shared" si="17"/>
        <v>23371.265990433538</v>
      </c>
      <c r="AC52" s="19"/>
    </row>
    <row r="53" spans="2:29">
      <c r="Q53" s="108">
        <v>51</v>
      </c>
      <c r="R53" s="27">
        <f t="shared" si="0"/>
        <v>4.25</v>
      </c>
      <c r="S53" s="18">
        <f t="shared" si="1"/>
        <v>134028000</v>
      </c>
      <c r="T53" s="42">
        <f t="shared" si="10"/>
        <v>8.8184562622134965</v>
      </c>
      <c r="U53" s="42">
        <f t="shared" si="11"/>
        <v>3146.1185113461866</v>
      </c>
      <c r="V53" s="42">
        <f t="shared" si="12"/>
        <v>1334.9033326815043</v>
      </c>
      <c r="W53" s="42">
        <f t="shared" si="13"/>
        <v>189.15633243446635</v>
      </c>
      <c r="X53" s="42">
        <f t="shared" si="14"/>
        <v>98.349972022866496</v>
      </c>
      <c r="Y53" s="42">
        <f t="shared" si="15"/>
        <v>50.709881997872486</v>
      </c>
      <c r="Z53" s="42">
        <f t="shared" si="16"/>
        <v>51.80021895142162</v>
      </c>
      <c r="AA53" s="42">
        <f t="shared" si="17"/>
        <v>23311.091887716801</v>
      </c>
      <c r="AC53" s="19"/>
    </row>
    <row r="54" spans="2:29">
      <c r="F54" s="114" t="s">
        <v>168</v>
      </c>
      <c r="I54" s="19"/>
      <c r="J54" s="19"/>
      <c r="K54" s="19"/>
      <c r="L54" s="19"/>
      <c r="M54" s="19"/>
      <c r="Q54" s="108">
        <v>52</v>
      </c>
      <c r="R54" s="27">
        <f t="shared" si="0"/>
        <v>4.333333333333333</v>
      </c>
      <c r="S54" s="18">
        <f t="shared" si="1"/>
        <v>136656000</v>
      </c>
      <c r="T54" s="42">
        <f t="shared" si="10"/>
        <v>8.6863515465746097</v>
      </c>
      <c r="U54" s="42">
        <f t="shared" si="11"/>
        <v>3139.41352374487</v>
      </c>
      <c r="V54" s="42">
        <f t="shared" si="12"/>
        <v>1337.231928011103</v>
      </c>
      <c r="W54" s="42">
        <f t="shared" si="13"/>
        <v>188.92075387912854</v>
      </c>
      <c r="X54" s="42">
        <f t="shared" si="14"/>
        <v>98.55591818756443</v>
      </c>
      <c r="Y54" s="42">
        <f t="shared" si="15"/>
        <v>50.635456154275545</v>
      </c>
      <c r="Z54" s="42">
        <f t="shared" si="16"/>
        <v>50.807479914623578</v>
      </c>
      <c r="AA54" s="42">
        <f t="shared" si="17"/>
        <v>23251.072715527029</v>
      </c>
      <c r="AC54" s="19"/>
    </row>
    <row r="55" spans="2:29">
      <c r="E55" s="24"/>
      <c r="F55" s="112">
        <f t="array" ref="F55:M62">_xll.SYSLINSING(F$29:M$36-G42*_xll.M_ID(),,0.0001)</f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Q55" s="108">
        <v>53</v>
      </c>
      <c r="R55" s="27">
        <f t="shared" si="0"/>
        <v>4.416666666666667</v>
      </c>
      <c r="S55" s="18">
        <f t="shared" si="1"/>
        <v>139284000</v>
      </c>
      <c r="T55" s="42">
        <f t="shared" si="10"/>
        <v>8.5562258231056809</v>
      </c>
      <c r="U55" s="42">
        <f t="shared" si="11"/>
        <v>3132.7001579315847</v>
      </c>
      <c r="V55" s="42">
        <f t="shared" si="12"/>
        <v>1339.518674770871</v>
      </c>
      <c r="W55" s="42">
        <f t="shared" si="13"/>
        <v>188.70015858073009</v>
      </c>
      <c r="X55" s="42">
        <f t="shared" si="14"/>
        <v>98.759598374720895</v>
      </c>
      <c r="Y55" s="42">
        <f t="shared" si="15"/>
        <v>50.561337210705403</v>
      </c>
      <c r="Z55" s="42">
        <f t="shared" si="16"/>
        <v>49.833766344251465</v>
      </c>
      <c r="AA55" s="42">
        <f t="shared" si="17"/>
        <v>23191.208074963964</v>
      </c>
      <c r="AC55" s="19"/>
    </row>
    <row r="56" spans="2:29"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468.14414726278824</v>
      </c>
      <c r="M56" s="112">
        <v>0</v>
      </c>
      <c r="Q56" s="108">
        <v>54</v>
      </c>
      <c r="R56" s="27">
        <f t="shared" si="0"/>
        <v>4.5</v>
      </c>
      <c r="S56" s="18">
        <f t="shared" si="1"/>
        <v>141912000</v>
      </c>
      <c r="T56" s="42">
        <f t="shared" si="10"/>
        <v>8.428049445552297</v>
      </c>
      <c r="U56" s="42">
        <f t="shared" si="11"/>
        <v>3125.9789051829339</v>
      </c>
      <c r="V56" s="42">
        <f t="shared" si="12"/>
        <v>1341.763840361408</v>
      </c>
      <c r="W56" s="42">
        <f t="shared" si="13"/>
        <v>188.49398213555818</v>
      </c>
      <c r="X56" s="42">
        <f t="shared" si="14"/>
        <v>98.961081319794857</v>
      </c>
      <c r="Y56" s="42">
        <f t="shared" si="15"/>
        <v>50.487578924682651</v>
      </c>
      <c r="Z56" s="42">
        <f t="shared" si="16"/>
        <v>48.878713627424595</v>
      </c>
      <c r="AA56" s="42">
        <f t="shared" si="17"/>
        <v>23131.497568154406</v>
      </c>
      <c r="AC56" s="19"/>
    </row>
    <row r="57" spans="2:29"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-159.70466341945126</v>
      </c>
      <c r="M57" s="112">
        <v>0</v>
      </c>
      <c r="Q57" s="108">
        <v>55</v>
      </c>
      <c r="R57" s="27">
        <f t="shared" si="0"/>
        <v>4.583333333333333</v>
      </c>
      <c r="S57" s="18">
        <f t="shared" si="1"/>
        <v>144540000</v>
      </c>
      <c r="T57" s="42">
        <f t="shared" si="10"/>
        <v>8.3017932117751982</v>
      </c>
      <c r="U57" s="42">
        <f t="shared" si="11"/>
        <v>3119.2502469285987</v>
      </c>
      <c r="V57" s="42">
        <f t="shared" si="12"/>
        <v>1343.9676921104654</v>
      </c>
      <c r="W57" s="42">
        <f t="shared" si="13"/>
        <v>188.30167657729854</v>
      </c>
      <c r="X57" s="42">
        <f t="shared" si="14"/>
        <v>99.16043340577761</v>
      </c>
      <c r="Y57" s="42">
        <f t="shared" si="15"/>
        <v>50.414231949372649</v>
      </c>
      <c r="Z57" s="42">
        <f t="shared" si="16"/>
        <v>47.941964138814384</v>
      </c>
      <c r="AA57" s="42">
        <f t="shared" si="17"/>
        <v>23071.94079824954</v>
      </c>
      <c r="AC57" s="19"/>
    </row>
    <row r="58" spans="2:29"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-62.863985489782984</v>
      </c>
      <c r="M58" s="112">
        <v>0</v>
      </c>
      <c r="Q58" s="108">
        <v>56</v>
      </c>
      <c r="R58" s="27">
        <f t="shared" si="0"/>
        <v>4.666666666666667</v>
      </c>
      <c r="S58" s="18">
        <f t="shared" si="1"/>
        <v>147168000</v>
      </c>
      <c r="T58" s="42">
        <f t="shared" si="10"/>
        <v>8.1774283570972059</v>
      </c>
      <c r="U58" s="42">
        <f t="shared" si="11"/>
        <v>3112.5146549331694</v>
      </c>
      <c r="V58" s="42">
        <f t="shared" si="12"/>
        <v>1346.1304972367298</v>
      </c>
      <c r="W58" s="42">
        <f t="shared" si="13"/>
        <v>188.12270992678521</v>
      </c>
      <c r="X58" s="42">
        <f t="shared" si="14"/>
        <v>99.357718730516751</v>
      </c>
      <c r="Y58" s="42">
        <f t="shared" si="15"/>
        <v>50.341343949251225</v>
      </c>
      <c r="Z58" s="42">
        <f t="shared" si="16"/>
        <v>47.023167106733865</v>
      </c>
      <c r="AA58" s="42">
        <f t="shared" si="17"/>
        <v>23012.537369422338</v>
      </c>
      <c r="AC58" s="19"/>
    </row>
    <row r="59" spans="2:29"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-8.0559572658529905</v>
      </c>
      <c r="M59" s="112">
        <v>0</v>
      </c>
      <c r="Q59" s="108">
        <v>57</v>
      </c>
      <c r="R59" s="27">
        <f t="shared" si="0"/>
        <v>4.75</v>
      </c>
      <c r="S59" s="18">
        <f t="shared" si="1"/>
        <v>149796000</v>
      </c>
      <c r="T59" s="42">
        <f t="shared" si="10"/>
        <v>8.0549265477498491</v>
      </c>
      <c r="U59" s="42">
        <f t="shared" si="11"/>
        <v>3105.7725914746602</v>
      </c>
      <c r="V59" s="42">
        <f t="shared" si="12"/>
        <v>1348.2525228145412</v>
      </c>
      <c r="W59" s="42">
        <f t="shared" si="13"/>
        <v>187.95656575394295</v>
      </c>
      <c r="X59" s="42">
        <f t="shared" si="14"/>
        <v>99.552999172242949</v>
      </c>
      <c r="Y59" s="42">
        <f t="shared" si="15"/>
        <v>50.268959712099544</v>
      </c>
      <c r="Z59" s="42">
        <f t="shared" si="16"/>
        <v>46.121978481793626</v>
      </c>
      <c r="AA59" s="42">
        <f t="shared" si="17"/>
        <v>22953.286886864902</v>
      </c>
      <c r="AC59" s="19"/>
    </row>
    <row r="60" spans="2:29"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147.90957753893096</v>
      </c>
      <c r="M60" s="112">
        <v>0</v>
      </c>
      <c r="Q60" s="108">
        <v>58</v>
      </c>
      <c r="R60" s="27">
        <f t="shared" si="0"/>
        <v>4.833333333333333</v>
      </c>
      <c r="S60" s="18">
        <f t="shared" si="1"/>
        <v>152424000</v>
      </c>
      <c r="T60" s="42">
        <f t="shared" si="10"/>
        <v>7.9342598744181236</v>
      </c>
      <c r="U60" s="42">
        <f t="shared" si="11"/>
        <v>3099.0245095197624</v>
      </c>
      <c r="V60" s="42">
        <f t="shared" si="12"/>
        <v>1350.3340357395261</v>
      </c>
      <c r="W60" s="42">
        <f t="shared" si="13"/>
        <v>187.80274275158962</v>
      </c>
      <c r="X60" s="42">
        <f t="shared" si="14"/>
        <v>99.746334453356383</v>
      </c>
      <c r="Y60" s="42">
        <f t="shared" si="15"/>
        <v>50.197121257437175</v>
      </c>
      <c r="Z60" s="42">
        <f t="shared" si="16"/>
        <v>45.238060808074586</v>
      </c>
      <c r="AA60" s="42">
        <f t="shared" si="17"/>
        <v>22894.188956785852</v>
      </c>
      <c r="AC60" s="19"/>
    </row>
    <row r="61" spans="2:29"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1</v>
      </c>
      <c r="M61" s="112">
        <v>0</v>
      </c>
      <c r="Q61" s="108">
        <v>59</v>
      </c>
      <c r="R61" s="27">
        <f t="shared" si="0"/>
        <v>4.916666666666667</v>
      </c>
      <c r="S61" s="18">
        <f t="shared" si="1"/>
        <v>155052000</v>
      </c>
      <c r="T61" s="42">
        <f t="shared" si="10"/>
        <v>7.815400845881995</v>
      </c>
      <c r="U61" s="42">
        <f t="shared" si="11"/>
        <v>3092.2708528959088</v>
      </c>
      <c r="V61" s="42">
        <f t="shared" si="12"/>
        <v>1352.3753026951299</v>
      </c>
      <c r="W61" s="42">
        <f t="shared" si="13"/>
        <v>187.66075432077994</v>
      </c>
      <c r="X61" s="42">
        <f t="shared" si="14"/>
        <v>99.937782202504138</v>
      </c>
      <c r="Y61" s="42">
        <f t="shared" si="15"/>
        <v>50.125867941498115</v>
      </c>
      <c r="Z61" s="42">
        <f t="shared" si="16"/>
        <v>44.371083096769802</v>
      </c>
      <c r="AA61" s="42">
        <f t="shared" si="17"/>
        <v>22835.243186407686</v>
      </c>
      <c r="AC61" s="19"/>
    </row>
    <row r="62" spans="2:29"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Q62" s="108">
        <v>60</v>
      </c>
      <c r="R62" s="27">
        <f t="shared" si="0"/>
        <v>5</v>
      </c>
      <c r="S62" s="18">
        <f t="shared" si="1"/>
        <v>157680000</v>
      </c>
      <c r="T62" s="42">
        <f t="shared" si="10"/>
        <v>7.69832238275312</v>
      </c>
      <c r="U62" s="42">
        <f t="shared" si="11"/>
        <v>3085.512056460193</v>
      </c>
      <c r="V62" s="42">
        <f t="shared" si="12"/>
        <v>1354.3765901200341</v>
      </c>
      <c r="W62" s="42">
        <f t="shared" si="13"/>
        <v>187.53012816737632</v>
      </c>
      <c r="X62" s="42">
        <f t="shared" si="14"/>
        <v>100.12739801500641</v>
      </c>
      <c r="Y62" s="42">
        <f t="shared" si="15"/>
        <v>50.05523655885294</v>
      </c>
      <c r="Z62" s="42">
        <f t="shared" si="16"/>
        <v>43.520720702247758</v>
      </c>
      <c r="AA62" s="42">
        <f t="shared" si="17"/>
        <v>22776.449183964207</v>
      </c>
      <c r="AC62" s="19"/>
    </row>
    <row r="63" spans="2:29">
      <c r="Q63" s="108">
        <v>61</v>
      </c>
      <c r="R63" s="27">
        <f t="shared" si="0"/>
        <v>5.083333333333333</v>
      </c>
      <c r="S63" s="18">
        <f t="shared" si="1"/>
        <v>160308000</v>
      </c>
      <c r="T63" s="42">
        <f t="shared" si="10"/>
        <v>7.5829978113054191</v>
      </c>
      <c r="U63" s="42">
        <f t="shared" si="11"/>
        <v>3078.7485462652135</v>
      </c>
      <c r="V63" s="42">
        <f t="shared" si="12"/>
        <v>1356.3381641764306</v>
      </c>
      <c r="W63" s="42">
        <f t="shared" si="13"/>
        <v>187.4104059095431</v>
      </c>
      <c r="X63" s="42">
        <f t="shared" si="14"/>
        <v>100.31523551166583</v>
      </c>
      <c r="Y63" s="42">
        <f t="shared" si="15"/>
        <v>49.985261440774053</v>
      </c>
      <c r="Z63" s="42">
        <f t="shared" si="16"/>
        <v>42.686655200490677</v>
      </c>
      <c r="AA63" s="42">
        <f t="shared" si="17"/>
        <v>22717.806558697892</v>
      </c>
      <c r="AC63" s="19"/>
    </row>
    <row r="64" spans="2:29">
      <c r="F64" s="114" t="s">
        <v>169</v>
      </c>
      <c r="I64" s="19"/>
      <c r="J64" s="19"/>
      <c r="K64" s="19"/>
      <c r="L64" s="19"/>
      <c r="M64" s="19"/>
      <c r="Q64" s="108">
        <v>62</v>
      </c>
      <c r="R64" s="27">
        <f t="shared" si="0"/>
        <v>5.166666666666667</v>
      </c>
      <c r="S64" s="18">
        <f t="shared" si="1"/>
        <v>162936000</v>
      </c>
      <c r="T64" s="42">
        <f t="shared" si="10"/>
        <v>7.4694008573980515</v>
      </c>
      <c r="U64" s="42">
        <f t="shared" si="11"/>
        <v>3071.9807397218819</v>
      </c>
      <c r="V64" s="42">
        <f t="shared" si="12"/>
        <v>1358.2602907191408</v>
      </c>
      <c r="W64" s="42">
        <f t="shared" si="13"/>
        <v>187.30114269586835</v>
      </c>
      <c r="X64" s="42">
        <f t="shared" si="14"/>
        <v>100.50134639600856</v>
      </c>
      <c r="Y64" s="42">
        <f t="shared" si="15"/>
        <v>49.915974550442954</v>
      </c>
      <c r="Z64" s="42">
        <f t="shared" si="16"/>
        <v>41.868574269862577</v>
      </c>
      <c r="AA64" s="42">
        <f t="shared" si="17"/>
        <v>22659.314920857298</v>
      </c>
      <c r="AC64" s="19"/>
    </row>
    <row r="65" spans="1:29">
      <c r="F65" s="112">
        <f t="array" ref="F65:M72">_xll.SYSLINSING(F$29:M$36-H42*_xll.M_ID(),,0.0001)</f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Q65" s="108">
        <v>63</v>
      </c>
      <c r="R65" s="27">
        <f t="shared" si="0"/>
        <v>5.25</v>
      </c>
      <c r="S65" s="18">
        <f t="shared" si="1"/>
        <v>165564000</v>
      </c>
      <c r="T65" s="42">
        <f t="shared" si="10"/>
        <v>7.357505640489447</v>
      </c>
      <c r="U65" s="42">
        <f t="shared" si="11"/>
        <v>3065.2090457592735</v>
      </c>
      <c r="V65" s="42">
        <f t="shared" si="12"/>
        <v>1360.143235265567</v>
      </c>
      <c r="W65" s="42">
        <f t="shared" si="13"/>
        <v>187.201906833826</v>
      </c>
      <c r="X65" s="42">
        <f t="shared" si="14"/>
        <v>100.68578050999588</v>
      </c>
      <c r="Y65" s="42">
        <f t="shared" si="15"/>
        <v>49.847405575091685</v>
      </c>
      <c r="Z65" s="42">
        <f t="shared" si="16"/>
        <v>41.066171574162219</v>
      </c>
      <c r="AA65" s="42">
        <f t="shared" si="17"/>
        <v>22600.973881694477</v>
      </c>
      <c r="AC65" s="19"/>
    </row>
    <row r="66" spans="1:29"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Q66" s="108">
        <v>64</v>
      </c>
      <c r="R66" s="27">
        <f t="shared" ref="R66:R129" si="18">S66/(3600*365*24)</f>
        <v>5.333333333333333</v>
      </c>
      <c r="S66" s="18">
        <f t="shared" ref="S66:S129" si="19">Q66*D$5</f>
        <v>168192000</v>
      </c>
      <c r="T66" s="42">
        <f t="shared" ref="T66:T97" si="20">$F$148*EXP($F$24*$S66)+$G$148*EXP($G$24*$S66)+$H$148*EXP($H$24*$S66)+$I$148*EXP($I$24*$S66)+$J$148*EXP($J$24*$S66)+$K$148*EXP($K$24*$S66)+$L$148*EXP($L$24*$S66)+$M$148*EXP($M$24*$S66)</f>
        <v>7.2472866677409904</v>
      </c>
      <c r="U66" s="42">
        <f t="shared" ref="U66:U97" si="21">$F$149*EXP($F$24*$S66)+$G$149*EXP($G$24*$S66)+$H$149*EXP($H$24*$S66)+$I$149*EXP($I$24*$S66)+$J$149*EXP($J$24*$S66)+$K$149*EXP($K$24*$S66)+$L$149*EXP($L$24*$S66)+$M$149*EXP($M$24*$S66)</f>
        <v>3058.43386498155</v>
      </c>
      <c r="V66" s="42">
        <f t="shared" ref="V66:V97" si="22">$F$150*EXP($F$24*$S66)+$G$150*EXP($G$24*$S66)+$H$150*EXP($H$24*$S66)+$I$150*EXP($I$24*$S66)+$J$150*EXP($J$24*$S66)+$K$150*EXP($K$24*$S66)+$L$150*EXP($L$24*$S66)+$M$150*EXP($M$24*$S66)</f>
        <v>1361.9872629664494</v>
      </c>
      <c r="W66" s="42">
        <f t="shared" ref="W66:W97" si="23">$F$151*EXP($F$24*$S66)+$G$151*EXP($G$24*$S66)+$H$151*EXP($H$24*$S66)+$I$151*EXP($I$24*$S66)+$J$151*EXP($J$24*$S66)+$K$151*EXP($K$24*$S66)+$L$151*EXP($L$24*$S66)+$M$151*EXP($M$24*$S66)</f>
        <v>187.112279428297</v>
      </c>
      <c r="X66" s="42">
        <f t="shared" ref="X66:X97" si="24">$F$152*EXP($F$24*$S66)+$G$152*EXP($G$24*$S66)+$H$152*EXP($H$24*$S66)+$I$152*EXP($I$24*$S66)+$J$152*EXP($J$24*$S66)+$K$152*EXP($K$24*$S66)+$L$152*EXP($L$24*$S66)+$M$152*EXP($M$24*$S66)</f>
        <v>100.8685858882447</v>
      </c>
      <c r="Y66" s="42">
        <f t="shared" ref="Y66:Y97" si="25">$F$153*EXP($F$24*$S66)+$G$153*EXP($G$24*$S66)+$H$153*EXP($H$24*$S66)+$I$153*EXP($I$24*$S66)+$J$153*EXP($J$24*$S66)+$K$153*EXP($K$24*$S66)+$L$153*EXP($L$24*$S66)+$M$153*EXP($M$24*$S66)</f>
        <v>49.779582015169481</v>
      </c>
      <c r="Z66" s="42">
        <f t="shared" ref="Z66:Z97" si="26">$F$154*EXP($F$24*$S66)+$G$154*EXP($G$24*$S66)+$H$154*EXP($H$24*$S66)+$I$154*EXP($I$24*$S66)+$J$154*EXP($J$24*$S66)+$K$154*EXP($K$24*$S66)+$L$154*EXP($L$24*$S66)+$M$154*EXP($M$24*$S66)</f>
        <v>40.279146647917202</v>
      </c>
      <c r="AA66" s="42">
        <f t="shared" ref="AA66:AA97" si="27">$F$155*EXP($F$24*$S66)+$G$155*EXP($G$24*$S66)+$H$155*EXP($H$24*$S66)+$I$155*EXP($I$24*$S66)+$J$155*EXP($J$24*$S66)+$K$155*EXP($K$24*$S66)+$L$155*EXP($L$24*$S66)+$M$155*EXP($M$24*$S66)</f>
        <v>22542.783053462401</v>
      </c>
      <c r="AC66" s="19"/>
    </row>
    <row r="67" spans="1:29"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12.760061351198786</v>
      </c>
      <c r="L67" s="112">
        <v>0</v>
      </c>
      <c r="M67" s="112">
        <v>0</v>
      </c>
      <c r="Q67" s="108">
        <v>65</v>
      </c>
      <c r="R67" s="27">
        <f t="shared" si="18"/>
        <v>5.416666666666667</v>
      </c>
      <c r="S67" s="18">
        <f t="shared" si="19"/>
        <v>170820000</v>
      </c>
      <c r="T67" s="42">
        <f t="shared" si="20"/>
        <v>7.1387188282090515</v>
      </c>
      <c r="U67" s="42">
        <f t="shared" si="21"/>
        <v>3051.6555898220263</v>
      </c>
      <c r="V67" s="42">
        <f t="shared" si="22"/>
        <v>1363.7926385774181</v>
      </c>
      <c r="W67" s="42">
        <f t="shared" si="23"/>
        <v>187.03185402987867</v>
      </c>
      <c r="X67" s="42">
        <f t="shared" si="24"/>
        <v>101.04980881080172</v>
      </c>
      <c r="Y67" s="42">
        <f t="shared" si="25"/>
        <v>49.712529270623975</v>
      </c>
      <c r="Z67" s="42">
        <f t="shared" si="26"/>
        <v>39.507204783876375</v>
      </c>
      <c r="AA67" s="42">
        <f t="shared" si="27"/>
        <v>22484.742049412369</v>
      </c>
      <c r="AC67" s="19"/>
    </row>
    <row r="68" spans="1:29"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2.3223789066452465</v>
      </c>
      <c r="L68" s="112">
        <v>0</v>
      </c>
      <c r="M68" s="112">
        <v>0</v>
      </c>
      <c r="Q68" s="108">
        <v>66</v>
      </c>
      <c r="R68" s="27">
        <f t="shared" si="18"/>
        <v>5.5</v>
      </c>
      <c r="S68" s="18">
        <f t="shared" si="19"/>
        <v>173448000</v>
      </c>
      <c r="T68" s="42">
        <f t="shared" si="20"/>
        <v>7.0317773871240101</v>
      </c>
      <c r="U68" s="42">
        <f t="shared" si="21"/>
        <v>3044.8746046944216</v>
      </c>
      <c r="V68" s="42">
        <f t="shared" si="22"/>
        <v>1365.5596264313253</v>
      </c>
      <c r="W68" s="42">
        <f t="shared" si="23"/>
        <v>186.96023629271616</v>
      </c>
      <c r="X68" s="42">
        <f t="shared" si="24"/>
        <v>101.22949385450153</v>
      </c>
      <c r="Y68" s="42">
        <f t="shared" si="25"/>
        <v>49.646270724381722</v>
      </c>
      <c r="Z68" s="42">
        <f t="shared" si="26"/>
        <v>38.750056922658246</v>
      </c>
      <c r="AA68" s="42">
        <f t="shared" si="27"/>
        <v>22426.850483791437</v>
      </c>
      <c r="AC68" s="19"/>
    </row>
    <row r="69" spans="1:29"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-10.778825554741271</v>
      </c>
      <c r="L69" s="112">
        <v>0</v>
      </c>
      <c r="M69" s="112">
        <v>0</v>
      </c>
      <c r="Q69" s="108">
        <v>67</v>
      </c>
      <c r="R69" s="27">
        <f t="shared" si="18"/>
        <v>5.583333333333333</v>
      </c>
      <c r="S69" s="18">
        <f t="shared" si="19"/>
        <v>176076000</v>
      </c>
      <c r="T69" s="42">
        <f t="shared" si="20"/>
        <v>6.92643798025499</v>
      </c>
      <c r="U69" s="42">
        <f t="shared" si="21"/>
        <v>3038.0912861413522</v>
      </c>
      <c r="V69" s="42">
        <f t="shared" si="22"/>
        <v>1367.2884904113339</v>
      </c>
      <c r="W69" s="42">
        <f t="shared" si="23"/>
        <v>186.89704364159846</v>
      </c>
      <c r="X69" s="42">
        <f t="shared" si="24"/>
        <v>101.40768394295355</v>
      </c>
      <c r="Y69" s="42">
        <f t="shared" si="25"/>
        <v>49.580827823111903</v>
      </c>
      <c r="Z69" s="42">
        <f t="shared" si="26"/>
        <v>38.007419544514214</v>
      </c>
      <c r="AA69" s="42">
        <f t="shared" si="27"/>
        <v>22369.107971839861</v>
      </c>
      <c r="AC69" s="19"/>
    </row>
    <row r="70" spans="1:29"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1</v>
      </c>
      <c r="L70" s="112">
        <v>0</v>
      </c>
      <c r="M70" s="112">
        <v>0</v>
      </c>
      <c r="Q70" s="108">
        <v>68</v>
      </c>
      <c r="R70" s="27">
        <f t="shared" si="18"/>
        <v>5.666666666666667</v>
      </c>
      <c r="S70" s="18">
        <f t="shared" si="19"/>
        <v>178704000</v>
      </c>
      <c r="T70" s="42">
        <f t="shared" si="20"/>
        <v>6.8226766083590098</v>
      </c>
      <c r="U70" s="42">
        <f t="shared" si="21"/>
        <v>3031.3060029801159</v>
      </c>
      <c r="V70" s="42">
        <f t="shared" si="22"/>
        <v>1368.979493924757</v>
      </c>
      <c r="W70" s="42">
        <f t="shared" si="23"/>
        <v>186.84190494806882</v>
      </c>
      <c r="X70" s="42">
        <f t="shared" si="24"/>
        <v>101.58442039518764</v>
      </c>
      <c r="Y70" s="42">
        <f t="shared" si="25"/>
        <v>49.516220155354802</v>
      </c>
      <c r="Z70" s="42">
        <f t="shared" si="26"/>
        <v>37.279014563166093</v>
      </c>
      <c r="AA70" s="42">
        <f t="shared" si="27"/>
        <v>22311.514129788557</v>
      </c>
      <c r="AC70" s="19"/>
    </row>
    <row r="71" spans="1:29"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Q71" s="108">
        <v>69</v>
      </c>
      <c r="R71" s="27">
        <f t="shared" si="18"/>
        <v>5.75</v>
      </c>
      <c r="S71" s="18">
        <f t="shared" si="19"/>
        <v>181332000</v>
      </c>
      <c r="T71" s="42">
        <f t="shared" si="20"/>
        <v>6.7204696317132901</v>
      </c>
      <c r="U71" s="42">
        <f t="shared" si="21"/>
        <v>3024.5191164458083</v>
      </c>
      <c r="V71" s="42">
        <f t="shared" si="22"/>
        <v>1370.6328998776223</v>
      </c>
      <c r="W71" s="42">
        <f t="shared" si="23"/>
        <v>186.79446021530433</v>
      </c>
      <c r="X71" s="42">
        <f t="shared" si="24"/>
        <v>101.75974297299797</v>
      </c>
      <c r="Y71" s="42">
        <f t="shared" si="25"/>
        <v>49.452465527092485</v>
      </c>
      <c r="Z71" s="42">
        <f t="shared" si="26"/>
        <v>36.564569221678042</v>
      </c>
      <c r="AA71" s="42">
        <f t="shared" si="27"/>
        <v>22254.068574856508</v>
      </c>
      <c r="AC71" s="19"/>
    </row>
    <row r="72" spans="1:29"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Q72" s="108">
        <v>70</v>
      </c>
      <c r="R72" s="27">
        <f t="shared" si="18"/>
        <v>5.833333333333333</v>
      </c>
      <c r="S72" s="18">
        <f t="shared" si="19"/>
        <v>183960000</v>
      </c>
      <c r="T72" s="42">
        <f t="shared" si="20"/>
        <v>6.6197937647294669</v>
      </c>
      <c r="U72" s="42">
        <f t="shared" si="21"/>
        <v>3017.7309803318385</v>
      </c>
      <c r="V72" s="42">
        <f t="shared" si="22"/>
        <v>1372.248970649958</v>
      </c>
      <c r="W72" s="42">
        <f t="shared" si="23"/>
        <v>186.75436027152841</v>
      </c>
      <c r="X72" s="42">
        <f t="shared" si="24"/>
        <v>101.93368992701659</v>
      </c>
      <c r="Y72" s="42">
        <f t="shared" si="25"/>
        <v>49.389580034839639</v>
      </c>
      <c r="Z72" s="42">
        <f t="shared" si="26"/>
        <v>35.863815990324056</v>
      </c>
      <c r="AA72" s="42">
        <f t="shared" si="27"/>
        <v>22196.770925248253</v>
      </c>
      <c r="AC72" s="19"/>
    </row>
    <row r="73" spans="1:29">
      <c r="D73" s="24"/>
      <c r="F73" s="111"/>
      <c r="P73" s="24"/>
      <c r="Q73" s="108">
        <v>71</v>
      </c>
      <c r="R73" s="27">
        <f t="shared" si="18"/>
        <v>5.916666666666667</v>
      </c>
      <c r="S73" s="18">
        <f t="shared" si="19"/>
        <v>186588000</v>
      </c>
      <c r="T73" s="42">
        <f t="shared" si="20"/>
        <v>6.5206260706484924</v>
      </c>
      <c r="U73" s="42">
        <f t="shared" si="21"/>
        <v>3010.94194112787</v>
      </c>
      <c r="V73" s="42">
        <f t="shared" si="22"/>
        <v>1373.8279680717746</v>
      </c>
      <c r="W73" s="42">
        <f t="shared" si="23"/>
        <v>186.72126647172539</v>
      </c>
      <c r="X73" s="42">
        <f t="shared" si="24"/>
        <v>102.10629804155292</v>
      </c>
      <c r="Y73" s="42">
        <f t="shared" si="25"/>
        <v>49.327578136327745</v>
      </c>
      <c r="Z73" s="42">
        <f t="shared" si="26"/>
        <v>35.176492466412803</v>
      </c>
      <c r="AA73" s="42">
        <f t="shared" si="27"/>
        <v>22139.620800151348</v>
      </c>
      <c r="AC73" s="19"/>
    </row>
    <row r="74" spans="1:29">
      <c r="F74" s="114" t="s">
        <v>170</v>
      </c>
      <c r="I74" s="19"/>
      <c r="J74" s="19"/>
      <c r="K74" s="19"/>
      <c r="L74" s="19"/>
      <c r="M74" s="19"/>
      <c r="Q74" s="108">
        <v>72</v>
      </c>
      <c r="R74" s="27">
        <f t="shared" si="18"/>
        <v>6</v>
      </c>
      <c r="S74" s="18">
        <f t="shared" si="19"/>
        <v>189216000</v>
      </c>
      <c r="T74" s="42">
        <f t="shared" si="20"/>
        <v>6.422943956314989</v>
      </c>
      <c r="U74" s="42">
        <f t="shared" si="21"/>
        <v>3004.1523381552443</v>
      </c>
      <c r="V74" s="42">
        <f t="shared" si="22"/>
        <v>1375.3701533997298</v>
      </c>
      <c r="W74" s="42">
        <f t="shared" si="23"/>
        <v>186.69485040743029</v>
      </c>
      <c r="X74" s="42">
        <f t="shared" si="24"/>
        <v>102.27760267822595</v>
      </c>
      <c r="Y74" s="42">
        <f t="shared" si="25"/>
        <v>49.266472718854935</v>
      </c>
      <c r="Z74" s="42">
        <f t="shared" si="26"/>
        <v>34.502341276032041</v>
      </c>
      <c r="AA74" s="42">
        <f t="shared" si="27"/>
        <v>22082.617819733816</v>
      </c>
      <c r="AC74" s="19"/>
    </row>
    <row r="75" spans="1:29">
      <c r="F75" s="112">
        <f t="array" ref="F75:M82">_xll.SYSLINSING(F$29:M$36-I42*_xll.M_ID(),,0.0001)</f>
        <v>0</v>
      </c>
      <c r="G75" s="112">
        <v>0</v>
      </c>
      <c r="H75" s="112">
        <v>0</v>
      </c>
      <c r="I75" s="112">
        <v>0</v>
      </c>
      <c r="J75" s="112">
        <v>0</v>
      </c>
      <c r="K75" s="112">
        <v>0</v>
      </c>
      <c r="L75" s="112">
        <v>0</v>
      </c>
      <c r="M75" s="112">
        <v>0</v>
      </c>
      <c r="Q75" s="108">
        <v>73</v>
      </c>
      <c r="R75" s="27">
        <f t="shared" si="18"/>
        <v>6.083333333333333</v>
      </c>
      <c r="S75" s="18">
        <f t="shared" si="19"/>
        <v>191844000</v>
      </c>
      <c r="T75" s="42">
        <f t="shared" si="20"/>
        <v>6.326725167029922</v>
      </c>
      <c r="U75" s="42">
        <f t="shared" si="21"/>
        <v>2997.3625036999433</v>
      </c>
      <c r="V75" s="42">
        <f t="shared" si="22"/>
        <v>1376.8757872944745</v>
      </c>
      <c r="W75" s="42">
        <f t="shared" si="23"/>
        <v>186.67479362437948</v>
      </c>
      <c r="X75" s="42">
        <f t="shared" si="24"/>
        <v>102.44763781842954</v>
      </c>
      <c r="Y75" s="42">
        <f t="shared" si="25"/>
        <v>49.206275165372269</v>
      </c>
      <c r="Z75" s="42">
        <f t="shared" si="26"/>
        <v>33.841109977676219</v>
      </c>
      <c r="AA75" s="42">
        <f t="shared" si="27"/>
        <v>22025.761605141652</v>
      </c>
      <c r="AC75" s="19"/>
    </row>
    <row r="76" spans="1:29"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</v>
      </c>
      <c r="M76" s="112">
        <v>0</v>
      </c>
      <c r="Q76" s="108">
        <v>74</v>
      </c>
      <c r="R76" s="27">
        <f t="shared" si="18"/>
        <v>6.166666666666667</v>
      </c>
      <c r="S76" s="18">
        <f t="shared" si="19"/>
        <v>194472000</v>
      </c>
      <c r="T76" s="42">
        <f t="shared" si="20"/>
        <v>6.231947781480347</v>
      </c>
      <c r="U76" s="42">
        <f t="shared" si="21"/>
        <v>2990.572763143105</v>
      </c>
      <c r="V76" s="42">
        <f t="shared" si="22"/>
        <v>1378.3451297986455</v>
      </c>
      <c r="W76" s="42">
        <f t="shared" si="23"/>
        <v>186.66078734780447</v>
      </c>
      <c r="X76" s="42">
        <f t="shared" si="24"/>
        <v>102.61643610465325</v>
      </c>
      <c r="Y76" s="42">
        <f t="shared" si="25"/>
        <v>49.14699541837367</v>
      </c>
      <c r="Z76" s="42">
        <f t="shared" si="26"/>
        <v>33.192550967720756</v>
      </c>
      <c r="AA76" s="42">
        <f t="shared" si="27"/>
        <v>21969.051778496258</v>
      </c>
      <c r="AC76" s="19"/>
    </row>
    <row r="77" spans="1:29"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2">
        <v>0</v>
      </c>
      <c r="L77" s="112">
        <v>0</v>
      </c>
      <c r="M77" s="112">
        <v>0</v>
      </c>
      <c r="Q77" s="108">
        <v>75</v>
      </c>
      <c r="R77" s="27">
        <f t="shared" si="18"/>
        <v>6.25</v>
      </c>
      <c r="S77" s="18">
        <f t="shared" si="19"/>
        <v>197100000</v>
      </c>
      <c r="T77" s="42">
        <f t="shared" si="20"/>
        <v>6.1385902067451292</v>
      </c>
      <c r="U77" s="42">
        <f t="shared" si="21"/>
        <v>2983.7834350891767</v>
      </c>
      <c r="V77" s="42">
        <f t="shared" si="22"/>
        <v>1379.7784403155092</v>
      </c>
      <c r="W77" s="42">
        <f t="shared" si="23"/>
        <v>186.65253221516684</v>
      </c>
      <c r="X77" s="42">
        <f t="shared" si="24"/>
        <v>102.78402888069274</v>
      </c>
      <c r="Y77" s="42">
        <f t="shared" si="25"/>
        <v>49.088642041656215</v>
      </c>
      <c r="Z77" s="42">
        <f t="shared" si="26"/>
        <v>32.556421387707978</v>
      </c>
      <c r="AA77" s="42">
        <f t="shared" si="27"/>
        <v>21912.487962891995</v>
      </c>
      <c r="AC77" s="19"/>
    </row>
    <row r="78" spans="1:29">
      <c r="A78" s="4"/>
      <c r="B78" s="4"/>
      <c r="D78" s="4"/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2">
        <v>-2.7878824382448801</v>
      </c>
      <c r="L78" s="112">
        <v>0</v>
      </c>
      <c r="M78" s="112">
        <v>0</v>
      </c>
      <c r="Q78" s="108">
        <v>76</v>
      </c>
      <c r="R78" s="27">
        <f t="shared" si="18"/>
        <v>6.333333333333333</v>
      </c>
      <c r="S78" s="18">
        <f t="shared" si="19"/>
        <v>199728000</v>
      </c>
      <c r="T78" s="42">
        <f t="shared" si="20"/>
        <v>6.0466311733754754</v>
      </c>
      <c r="U78" s="42">
        <f t="shared" si="21"/>
        <v>2976.9948314917124</v>
      </c>
      <c r="V78" s="42">
        <f t="shared" si="22"/>
        <v>1381.1759775882315</v>
      </c>
      <c r="W78" s="42">
        <f t="shared" si="23"/>
        <v>186.64973801612885</v>
      </c>
      <c r="X78" s="42">
        <f t="shared" si="24"/>
        <v>102.95044623077854</v>
      </c>
      <c r="Y78" s="42">
        <f t="shared" si="25"/>
        <v>49.031222280014632</v>
      </c>
      <c r="Z78" s="42">
        <f t="shared" si="26"/>
        <v>31.932483033409763</v>
      </c>
      <c r="AA78" s="42">
        <f t="shared" si="27"/>
        <v>21856.069782393617</v>
      </c>
      <c r="AC78" s="19"/>
    </row>
    <row r="79" spans="1:29">
      <c r="A79" s="4"/>
      <c r="B79" s="4"/>
      <c r="D79" s="4"/>
      <c r="F79" s="112">
        <v>0</v>
      </c>
      <c r="G79" s="112">
        <v>0</v>
      </c>
      <c r="H79" s="112">
        <v>0</v>
      </c>
      <c r="I79" s="112">
        <v>0</v>
      </c>
      <c r="J79" s="112">
        <v>0</v>
      </c>
      <c r="K79" s="112">
        <v>0.37333855188460408</v>
      </c>
      <c r="L79" s="112">
        <v>0</v>
      </c>
      <c r="M79" s="112">
        <v>0</v>
      </c>
      <c r="Q79" s="108">
        <v>77</v>
      </c>
      <c r="R79" s="27">
        <f t="shared" si="18"/>
        <v>6.416666666666667</v>
      </c>
      <c r="S79" s="18">
        <f t="shared" si="19"/>
        <v>202356000</v>
      </c>
      <c r="T79" s="42">
        <f t="shared" si="20"/>
        <v>5.9560497305491671</v>
      </c>
      <c r="U79" s="42">
        <f t="shared" si="21"/>
        <v>2970.2072577768804</v>
      </c>
      <c r="V79" s="42">
        <f t="shared" si="22"/>
        <v>1382.5379996797683</v>
      </c>
      <c r="W79" s="42">
        <f t="shared" si="23"/>
        <v>186.65212343956716</v>
      </c>
      <c r="X79" s="42">
        <f t="shared" si="24"/>
        <v>103.11571701765115</v>
      </c>
      <c r="Y79" s="42">
        <f t="shared" si="25"/>
        <v>48.974742116932624</v>
      </c>
      <c r="Z79" s="42">
        <f t="shared" si="26"/>
        <v>31.320502265632904</v>
      </c>
      <c r="AA79" s="42">
        <f t="shared" si="27"/>
        <v>21799.796862033814</v>
      </c>
      <c r="AC79" s="19"/>
    </row>
    <row r="80" spans="1:29">
      <c r="A80" s="4"/>
      <c r="B80" s="4"/>
      <c r="D80" s="4"/>
      <c r="F80" s="112">
        <v>0</v>
      </c>
      <c r="G80" s="112">
        <v>0</v>
      </c>
      <c r="H80" s="112">
        <v>0</v>
      </c>
      <c r="I80" s="112">
        <v>0</v>
      </c>
      <c r="J80" s="112">
        <v>0</v>
      </c>
      <c r="K80" s="112">
        <v>1</v>
      </c>
      <c r="L80" s="112">
        <v>0</v>
      </c>
      <c r="M80" s="112">
        <v>0</v>
      </c>
      <c r="Q80" s="108">
        <v>78</v>
      </c>
      <c r="R80" s="27">
        <f t="shared" si="18"/>
        <v>6.5</v>
      </c>
      <c r="S80" s="18">
        <f t="shared" si="19"/>
        <v>204984000</v>
      </c>
      <c r="T80" s="42">
        <f t="shared" si="20"/>
        <v>5.8668252412973754</v>
      </c>
      <c r="U80" s="42">
        <f t="shared" si="21"/>
        <v>2963.4210129647154</v>
      </c>
      <c r="V80" s="42">
        <f t="shared" si="22"/>
        <v>1383.8647639533556</v>
      </c>
      <c r="W80" s="42">
        <f t="shared" si="23"/>
        <v>186.65941582743716</v>
      </c>
      <c r="X80" s="42">
        <f t="shared" si="24"/>
        <v>103.27986891961132</v>
      </c>
      <c r="Y80" s="42">
        <f t="shared" si="25"/>
        <v>48.919206330331434</v>
      </c>
      <c r="Z80" s="42">
        <f t="shared" si="26"/>
        <v>30.7202499227338</v>
      </c>
      <c r="AA80" s="42">
        <f t="shared" si="27"/>
        <v>21743.668827810707</v>
      </c>
      <c r="AC80" s="19"/>
    </row>
    <row r="81" spans="1:29">
      <c r="A81" s="4"/>
      <c r="B81" s="4"/>
      <c r="D81" s="4"/>
      <c r="F81" s="112">
        <v>0</v>
      </c>
      <c r="G81" s="112">
        <v>0</v>
      </c>
      <c r="H81" s="112">
        <v>0</v>
      </c>
      <c r="I81" s="112">
        <v>0</v>
      </c>
      <c r="J81" s="112">
        <v>0</v>
      </c>
      <c r="K81" s="112">
        <v>0</v>
      </c>
      <c r="L81" s="112">
        <v>0</v>
      </c>
      <c r="M81" s="112">
        <v>0</v>
      </c>
      <c r="Q81" s="108">
        <v>79</v>
      </c>
      <c r="R81" s="27">
        <f t="shared" si="18"/>
        <v>6.583333333333333</v>
      </c>
      <c r="S81" s="18">
        <f t="shared" si="19"/>
        <v>207612000</v>
      </c>
      <c r="T81" s="42">
        <f t="shared" si="20"/>
        <v>5.7789373778029889</v>
      </c>
      <c r="U81" s="42">
        <f t="shared" si="21"/>
        <v>2956.6363897881547</v>
      </c>
      <c r="V81" s="42">
        <f t="shared" si="22"/>
        <v>1385.1565270535943</v>
      </c>
      <c r="W81" s="42">
        <f t="shared" si="23"/>
        <v>186.67135093530376</v>
      </c>
      <c r="X81" s="42">
        <f t="shared" si="24"/>
        <v>103.44292846656668</v>
      </c>
      <c r="Y81" s="42">
        <f t="shared" si="25"/>
        <v>48.864618546434727</v>
      </c>
      <c r="Z81" s="42">
        <f t="shared" si="26"/>
        <v>30.131501234809775</v>
      </c>
      <c r="AA81" s="42">
        <f t="shared" si="27"/>
        <v>21687.685306685344</v>
      </c>
      <c r="AC81" s="19"/>
    </row>
    <row r="82" spans="1:29">
      <c r="A82" s="4"/>
      <c r="B82" s="4"/>
      <c r="D82" s="4"/>
      <c r="F82" s="112">
        <v>0</v>
      </c>
      <c r="G82" s="112">
        <v>0</v>
      </c>
      <c r="H82" s="112">
        <v>0</v>
      </c>
      <c r="I82" s="112">
        <v>0</v>
      </c>
      <c r="J82" s="112">
        <v>0</v>
      </c>
      <c r="K82" s="112">
        <v>0</v>
      </c>
      <c r="L82" s="112">
        <v>0</v>
      </c>
      <c r="M82" s="112">
        <v>0</v>
      </c>
      <c r="Q82" s="108">
        <v>80</v>
      </c>
      <c r="R82" s="27">
        <f t="shared" si="18"/>
        <v>6.666666666666667</v>
      </c>
      <c r="S82" s="18">
        <f t="shared" si="19"/>
        <v>210240000</v>
      </c>
      <c r="T82" s="42">
        <f t="shared" si="20"/>
        <v>5.6923661167693753</v>
      </c>
      <c r="U82" s="42">
        <f t="shared" si="21"/>
        <v>2949.8536748098986</v>
      </c>
      <c r="V82" s="42">
        <f t="shared" si="22"/>
        <v>1386.4135448881143</v>
      </c>
      <c r="W82" s="42">
        <f t="shared" si="23"/>
        <v>186.68767269935748</v>
      </c>
      <c r="X82" s="42">
        <f t="shared" si="24"/>
        <v>103.60492107511391</v>
      </c>
      <c r="Y82" s="42">
        <f t="shared" si="25"/>
        <v>48.810981291806605</v>
      </c>
      <c r="Z82" s="42">
        <f t="shared" si="26"/>
        <v>29.554035739534754</v>
      </c>
      <c r="AA82" s="42">
        <f t="shared" si="27"/>
        <v>21631.845926579255</v>
      </c>
      <c r="AC82" s="19"/>
    </row>
    <row r="83" spans="1:29">
      <c r="A83" s="4"/>
      <c r="B83" s="4"/>
      <c r="D83" s="4"/>
      <c r="Q83" s="108">
        <v>81</v>
      </c>
      <c r="R83" s="27">
        <f t="shared" si="18"/>
        <v>6.75</v>
      </c>
      <c r="S83" s="18">
        <f t="shared" si="19"/>
        <v>212868000</v>
      </c>
      <c r="T83" s="42">
        <f t="shared" si="20"/>
        <v>5.6070917348585096</v>
      </c>
      <c r="U83" s="42">
        <f t="shared" si="21"/>
        <v>2943.0731485371398</v>
      </c>
      <c r="V83" s="42">
        <f t="shared" si="22"/>
        <v>1387.636072609801</v>
      </c>
      <c r="W83" s="42">
        <f t="shared" si="23"/>
        <v>186.70813300974092</v>
      </c>
      <c r="X83" s="42">
        <f t="shared" si="24"/>
        <v>103.76587108266421</v>
      </c>
      <c r="Y83" s="42">
        <f t="shared" si="25"/>
        <v>48.758296043618657</v>
      </c>
      <c r="Z83" s="42">
        <f t="shared" si="26"/>
        <v>28.98763719960796</v>
      </c>
      <c r="AA83" s="42">
        <f t="shared" si="27"/>
        <v>21576.150316371957</v>
      </c>
      <c r="AC83" s="19"/>
    </row>
    <row r="84" spans="1:29">
      <c r="A84" s="4"/>
      <c r="B84" s="4"/>
      <c r="D84" s="4"/>
      <c r="F84" s="114" t="s">
        <v>171</v>
      </c>
      <c r="I84" s="19"/>
      <c r="J84" s="19"/>
      <c r="K84" s="19"/>
      <c r="L84" s="19"/>
      <c r="M84" s="19"/>
      <c r="Q84" s="108">
        <v>82</v>
      </c>
      <c r="R84" s="27">
        <f t="shared" si="18"/>
        <v>6.833333333333333</v>
      </c>
      <c r="S84" s="18">
        <f t="shared" si="19"/>
        <v>215496000</v>
      </c>
      <c r="T84" s="42">
        <f t="shared" si="20"/>
        <v>5.523094804197461</v>
      </c>
      <c r="U84" s="42">
        <f t="shared" si="21"/>
        <v>2936.2950855341946</v>
      </c>
      <c r="V84" s="42">
        <f t="shared" si="22"/>
        <v>1388.8243645995824</v>
      </c>
      <c r="W84" s="42">
        <f t="shared" si="23"/>
        <v>186.73249149001529</v>
      </c>
      <c r="X84" s="42">
        <f t="shared" si="24"/>
        <v>103.92580178065498</v>
      </c>
      <c r="Y84" s="42">
        <f t="shared" si="25"/>
        <v>48.70656327819934</v>
      </c>
      <c r="Z84" s="42">
        <f t="shared" si="26"/>
        <v>28.432093521784552</v>
      </c>
      <c r="AA84" s="42">
        <f t="shared" si="27"/>
        <v>21520.598105898491</v>
      </c>
    </row>
    <row r="85" spans="1:29">
      <c r="A85" s="4"/>
      <c r="B85" s="4"/>
      <c r="D85" s="4"/>
      <c r="F85" s="112">
        <f t="array" ref="F85:M92">_xll.SYSLINSING(F$29:M$36-J42*_xll.M_ID(),,0.0001)</f>
        <v>0</v>
      </c>
      <c r="G85" s="112">
        <v>0</v>
      </c>
      <c r="H85" s="112">
        <v>0</v>
      </c>
      <c r="I85" s="112">
        <v>0</v>
      </c>
      <c r="J85" s="112">
        <v>0</v>
      </c>
      <c r="K85" s="112">
        <v>0</v>
      </c>
      <c r="L85" s="112">
        <v>0</v>
      </c>
      <c r="M85" s="112">
        <v>0</v>
      </c>
      <c r="Q85" s="108">
        <v>83</v>
      </c>
      <c r="R85" s="27">
        <f t="shared" si="18"/>
        <v>6.916666666666667</v>
      </c>
      <c r="S85" s="18">
        <f t="shared" si="19"/>
        <v>218124000</v>
      </c>
      <c r="T85" s="42">
        <f t="shared" si="20"/>
        <v>5.4403561879521769</v>
      </c>
      <c r="U85" s="42">
        <f t="shared" si="21"/>
        <v>2929.5197545330789</v>
      </c>
      <c r="V85" s="42">
        <f t="shared" si="22"/>
        <v>1389.9786744497528</v>
      </c>
      <c r="W85" s="42">
        <f t="shared" si="23"/>
        <v>186.7605152826001</v>
      </c>
      <c r="X85" s="42">
        <f t="shared" si="24"/>
        <v>104.08473544685404</v>
      </c>
      <c r="Y85" s="42">
        <f t="shared" si="25"/>
        <v>48.655782517918709</v>
      </c>
      <c r="Z85" s="42">
        <f t="shared" si="26"/>
        <v>27.88719667745799</v>
      </c>
      <c r="AA85" s="42">
        <f t="shared" si="27"/>
        <v>21465.18892594695</v>
      </c>
    </row>
    <row r="86" spans="1:29">
      <c r="A86" s="4"/>
      <c r="B86" s="4"/>
      <c r="D86" s="4"/>
      <c r="F86" s="112">
        <v>0</v>
      </c>
      <c r="G86" s="112">
        <v>0</v>
      </c>
      <c r="H86" s="112">
        <v>0</v>
      </c>
      <c r="I86" s="112">
        <v>0</v>
      </c>
      <c r="J86" s="112">
        <v>0</v>
      </c>
      <c r="K86" s="112">
        <v>0</v>
      </c>
      <c r="L86" s="112">
        <v>0</v>
      </c>
      <c r="M86" s="112">
        <v>0</v>
      </c>
      <c r="Q86" s="108">
        <v>84</v>
      </c>
      <c r="R86" s="27">
        <f t="shared" si="18"/>
        <v>7</v>
      </c>
      <c r="S86" s="18">
        <f t="shared" si="19"/>
        <v>220752000</v>
      </c>
      <c r="T86" s="42">
        <f t="shared" si="20"/>
        <v>5.3588570359675769</v>
      </c>
      <c r="U86" s="42">
        <f t="shared" si="21"/>
        <v>2922.7474185420588</v>
      </c>
      <c r="V86" s="42">
        <f t="shared" si="22"/>
        <v>1391.099254947834</v>
      </c>
      <c r="W86" s="42">
        <f t="shared" si="23"/>
        <v>186.79197884002465</v>
      </c>
      <c r="X86" s="42">
        <f t="shared" si="24"/>
        <v>104.2426933768005</v>
      </c>
      <c r="Y86" s="42">
        <f t="shared" si="25"/>
        <v>48.605952376458994</v>
      </c>
      <c r="Z86" s="42">
        <f t="shared" si="26"/>
        <v>27.352742624764403</v>
      </c>
      <c r="AA86" s="42">
        <f t="shared" si="27"/>
        <v>21409.922408256061</v>
      </c>
    </row>
    <row r="87" spans="1:29">
      <c r="A87" s="4"/>
      <c r="B87" s="4"/>
      <c r="D87" s="4"/>
      <c r="F87" s="112">
        <v>0</v>
      </c>
      <c r="G87" s="112">
        <v>0</v>
      </c>
      <c r="H87" s="112">
        <v>0</v>
      </c>
      <c r="I87" s="112">
        <v>0</v>
      </c>
      <c r="J87" s="112">
        <v>0</v>
      </c>
      <c r="K87" s="112">
        <v>0</v>
      </c>
      <c r="L87" s="112">
        <v>0</v>
      </c>
      <c r="M87" s="112">
        <v>0</v>
      </c>
      <c r="Q87" s="108">
        <v>85</v>
      </c>
      <c r="R87" s="27">
        <f t="shared" si="18"/>
        <v>7.083333333333333</v>
      </c>
      <c r="S87" s="18">
        <f t="shared" si="19"/>
        <v>223380000</v>
      </c>
      <c r="T87" s="42">
        <f t="shared" si="20"/>
        <v>5.2785787804729756</v>
      </c>
      <c r="U87" s="42">
        <f t="shared" si="21"/>
        <v>2915.9783349522263</v>
      </c>
      <c r="V87" s="42">
        <f t="shared" si="22"/>
        <v>1392.1863580609518</v>
      </c>
      <c r="W87" s="42">
        <f t="shared" si="23"/>
        <v>186.8266637218361</v>
      </c>
      <c r="X87" s="42">
        <f t="shared" si="24"/>
        <v>104.39969591438069</v>
      </c>
      <c r="Y87" s="42">
        <f t="shared" si="25"/>
        <v>48.557070602520398</v>
      </c>
      <c r="Z87" s="42">
        <f t="shared" si="26"/>
        <v>26.828531232179692</v>
      </c>
      <c r="AA87" s="42">
        <f t="shared" si="27"/>
        <v>21354.798185512704</v>
      </c>
    </row>
    <row r="88" spans="1:29">
      <c r="A88" s="4"/>
      <c r="B88" s="4"/>
      <c r="D88" s="4"/>
      <c r="F88" s="112">
        <v>0</v>
      </c>
      <c r="G88" s="112">
        <v>0</v>
      </c>
      <c r="H88" s="112">
        <v>0</v>
      </c>
      <c r="I88" s="112">
        <v>0</v>
      </c>
      <c r="J88" s="112">
        <v>0</v>
      </c>
      <c r="K88" s="112">
        <v>0</v>
      </c>
      <c r="L88" s="112">
        <v>0</v>
      </c>
      <c r="M88" s="112">
        <v>0</v>
      </c>
      <c r="Q88" s="108">
        <v>86</v>
      </c>
      <c r="R88" s="27">
        <f t="shared" si="18"/>
        <v>7.166666666666667</v>
      </c>
      <c r="S88" s="18">
        <f t="shared" si="19"/>
        <v>226008000</v>
      </c>
      <c r="T88" s="42">
        <f t="shared" si="20"/>
        <v>5.1995031318518175</v>
      </c>
      <c r="U88" s="42">
        <f t="shared" si="21"/>
        <v>2909.2127556421192</v>
      </c>
      <c r="V88" s="42">
        <f t="shared" si="22"/>
        <v>1393.2402349207225</v>
      </c>
      <c r="W88" s="42">
        <f t="shared" si="23"/>
        <v>186.86435839700704</v>
      </c>
      <c r="X88" s="42">
        <f t="shared" si="24"/>
        <v>104.55576248158695</v>
      </c>
      <c r="Y88" s="42">
        <f t="shared" si="25"/>
        <v>48.509134122009705</v>
      </c>
      <c r="Z88" s="42">
        <f t="shared" si="26"/>
        <v>26.314366203580857</v>
      </c>
      <c r="AA88" s="42">
        <f t="shared" si="27"/>
        <v>21299.815891349474</v>
      </c>
    </row>
    <row r="89" spans="1:29">
      <c r="A89" s="4"/>
      <c r="B89" s="4"/>
      <c r="D89" s="4"/>
      <c r="F89" s="112">
        <v>0</v>
      </c>
      <c r="G89" s="112">
        <v>0</v>
      </c>
      <c r="H89" s="112">
        <v>0</v>
      </c>
      <c r="I89" s="112">
        <v>0</v>
      </c>
      <c r="J89" s="112">
        <v>1</v>
      </c>
      <c r="K89" s="112">
        <v>0</v>
      </c>
      <c r="L89" s="112">
        <v>0</v>
      </c>
      <c r="M89" s="112">
        <v>0</v>
      </c>
      <c r="Q89" s="108">
        <v>87</v>
      </c>
      <c r="R89" s="27">
        <f t="shared" si="18"/>
        <v>7.25</v>
      </c>
      <c r="S89" s="18">
        <f t="shared" si="19"/>
        <v>228636000</v>
      </c>
      <c r="T89" s="42">
        <f t="shared" si="20"/>
        <v>5.1216120744748004</v>
      </c>
      <c r="U89" s="42">
        <f t="shared" si="21"/>
        <v>2902.4509270804333</v>
      </c>
      <c r="V89" s="42">
        <f t="shared" si="22"/>
        <v>1394.2611358086394</v>
      </c>
      <c r="W89" s="42">
        <f t="shared" si="23"/>
        <v>186.90485805169897</v>
      </c>
      <c r="X89" s="42">
        <f t="shared" si="24"/>
        <v>104.7109116074605</v>
      </c>
      <c r="Y89" s="42">
        <f t="shared" si="25"/>
        <v>48.462139078759279</v>
      </c>
      <c r="Z89" s="42">
        <f t="shared" si="26"/>
        <v>25.810055004743475</v>
      </c>
      <c r="AA89" s="42">
        <f t="shared" si="27"/>
        <v>21244.975160342259</v>
      </c>
    </row>
    <row r="90" spans="1:29">
      <c r="A90" s="4"/>
      <c r="B90" s="4"/>
      <c r="D90" s="4"/>
      <c r="F90" s="112">
        <v>0</v>
      </c>
      <c r="G90" s="112">
        <v>0</v>
      </c>
      <c r="H90" s="112">
        <v>0</v>
      </c>
      <c r="I90" s="112">
        <v>0</v>
      </c>
      <c r="J90" s="112">
        <v>0</v>
      </c>
      <c r="K90" s="112">
        <v>0</v>
      </c>
      <c r="L90" s="112">
        <v>0</v>
      </c>
      <c r="M90" s="112">
        <v>0</v>
      </c>
      <c r="Q90" s="108">
        <v>88</v>
      </c>
      <c r="R90" s="27">
        <f t="shared" si="18"/>
        <v>7.333333333333333</v>
      </c>
      <c r="S90" s="18">
        <f t="shared" si="19"/>
        <v>231264000</v>
      </c>
      <c r="T90" s="42">
        <f t="shared" si="20"/>
        <v>5.0448878625954139</v>
      </c>
      <c r="U90" s="42">
        <f t="shared" si="21"/>
        <v>2895.6930904268593</v>
      </c>
      <c r="V90" s="42">
        <f t="shared" si="22"/>
        <v>1395.2493101419439</v>
      </c>
      <c r="W90" s="42">
        <f t="shared" si="23"/>
        <v>186.94796440223271</v>
      </c>
      <c r="X90" s="42">
        <f t="shared" si="24"/>
        <v>104.8651609562512</v>
      </c>
      <c r="Y90" s="42">
        <f t="shared" si="25"/>
        <v>48.416080873820313</v>
      </c>
      <c r="Z90" s="42">
        <f t="shared" si="26"/>
        <v>25.315408791247734</v>
      </c>
      <c r="AA90" s="42">
        <f t="shared" si="27"/>
        <v>21190.275628007807</v>
      </c>
    </row>
    <row r="91" spans="1:29">
      <c r="A91" s="4"/>
      <c r="B91" s="4"/>
      <c r="D91" s="4"/>
      <c r="F91" s="112">
        <v>0</v>
      </c>
      <c r="G91" s="112">
        <v>0</v>
      </c>
      <c r="H91" s="112">
        <v>0</v>
      </c>
      <c r="I91" s="112">
        <v>0</v>
      </c>
      <c r="J91" s="112">
        <v>0</v>
      </c>
      <c r="K91" s="112">
        <v>0</v>
      </c>
      <c r="L91" s="112">
        <v>0</v>
      </c>
      <c r="M91" s="112">
        <v>0</v>
      </c>
      <c r="Q91" s="108">
        <v>89</v>
      </c>
      <c r="R91" s="27">
        <f t="shared" si="18"/>
        <v>7.416666666666667</v>
      </c>
      <c r="S91" s="18">
        <f t="shared" si="19"/>
        <v>233892000</v>
      </c>
      <c r="T91" s="42">
        <f t="shared" si="20"/>
        <v>4.969313016306959</v>
      </c>
      <c r="U91" s="42">
        <f t="shared" si="21"/>
        <v>2888.9394816310728</v>
      </c>
      <c r="V91" s="42">
        <f t="shared" si="22"/>
        <v>1396.2050064599769</v>
      </c>
      <c r="W91" s="42">
        <f t="shared" si="23"/>
        <v>186.99348551312767</v>
      </c>
      <c r="X91" s="42">
        <f t="shared" si="24"/>
        <v>105.01852735481049</v>
      </c>
      <c r="Y91" s="42">
        <f t="shared" si="25"/>
        <v>48.37095420337527</v>
      </c>
      <c r="Z91" s="42">
        <f t="shared" si="26"/>
        <v>24.830242337766098</v>
      </c>
      <c r="AA91" s="42">
        <f t="shared" si="27"/>
        <v>21135.716930801311</v>
      </c>
    </row>
    <row r="92" spans="1:29">
      <c r="A92" s="4"/>
      <c r="B92" s="4"/>
      <c r="D92" s="4"/>
      <c r="F92" s="112">
        <v>0</v>
      </c>
      <c r="G92" s="112">
        <v>0</v>
      </c>
      <c r="H92" s="112">
        <v>0</v>
      </c>
      <c r="I92" s="112">
        <v>0</v>
      </c>
      <c r="J92" s="112">
        <v>0</v>
      </c>
      <c r="K92" s="112">
        <v>0</v>
      </c>
      <c r="L92" s="112">
        <v>0</v>
      </c>
      <c r="M92" s="112">
        <v>0</v>
      </c>
      <c r="Q92" s="108">
        <v>90</v>
      </c>
      <c r="R92" s="27">
        <f t="shared" si="18"/>
        <v>7.5</v>
      </c>
      <c r="S92" s="18">
        <f t="shared" si="19"/>
        <v>236520000</v>
      </c>
      <c r="T92" s="42">
        <f t="shared" si="20"/>
        <v>4.8948703175601533</v>
      </c>
      <c r="U92" s="42">
        <f t="shared" si="21"/>
        <v>2882.1903315299169</v>
      </c>
      <c r="V92" s="42">
        <f t="shared" si="22"/>
        <v>1397.128472410991</v>
      </c>
      <c r="W92" s="42">
        <f t="shared" si="23"/>
        <v>187.04123562007101</v>
      </c>
      <c r="X92" s="42">
        <f t="shared" si="24"/>
        <v>105.1710268192391</v>
      </c>
      <c r="Y92" s="42">
        <f t="shared" si="25"/>
        <v>48.326753095311481</v>
      </c>
      <c r="Z92" s="42">
        <f t="shared" si="26"/>
        <v>24.35437396870617</v>
      </c>
      <c r="AA92" s="42">
        <f t="shared" si="27"/>
        <v>21081.298706113957</v>
      </c>
    </row>
    <row r="93" spans="1:29">
      <c r="A93" s="4"/>
      <c r="B93" s="4"/>
      <c r="D93" s="4"/>
      <c r="Q93" s="108">
        <v>91</v>
      </c>
      <c r="R93" s="27">
        <f t="shared" si="18"/>
        <v>7.583333333333333</v>
      </c>
      <c r="S93" s="18">
        <f t="shared" si="19"/>
        <v>239148000</v>
      </c>
      <c r="T93" s="42">
        <f t="shared" si="20"/>
        <v>4.8215428062403651</v>
      </c>
      <c r="U93" s="42">
        <f t="shared" si="21"/>
        <v>2875.4458659428092</v>
      </c>
      <c r="V93" s="42">
        <f t="shared" si="22"/>
        <v>1398.0199547394261</v>
      </c>
      <c r="W93" s="42">
        <f t="shared" si="23"/>
        <v>187.09103495768579</v>
      </c>
      <c r="X93" s="42">
        <f t="shared" si="24"/>
        <v>105.32267458080753</v>
      </c>
      <c r="Y93" s="42">
        <f t="shared" si="25"/>
        <v>48.283470944497751</v>
      </c>
      <c r="Z93" s="42">
        <f t="shared" si="26"/>
        <v>23.887625490182614</v>
      </c>
      <c r="AA93" s="42">
        <f t="shared" si="27"/>
        <v>21027.020592270572</v>
      </c>
    </row>
    <row r="94" spans="1:29">
      <c r="A94" s="4"/>
      <c r="B94" s="4"/>
      <c r="D94" s="4"/>
      <c r="F94" s="114" t="s">
        <v>172</v>
      </c>
      <c r="I94" s="19"/>
      <c r="J94" s="19"/>
      <c r="K94" s="19"/>
      <c r="L94" s="19"/>
      <c r="M94" s="19"/>
      <c r="Q94" s="108">
        <v>92</v>
      </c>
      <c r="R94" s="27">
        <f t="shared" si="18"/>
        <v>7.666666666666667</v>
      </c>
      <c r="S94" s="18">
        <f t="shared" si="19"/>
        <v>241776000</v>
      </c>
      <c r="T94" s="42">
        <f t="shared" si="20"/>
        <v>4.7493137763036426</v>
      </c>
      <c r="U94" s="42">
        <f t="shared" si="21"/>
        <v>2868.7063057654036</v>
      </c>
      <c r="V94" s="42">
        <f t="shared" si="22"/>
        <v>1398.8796992736266</v>
      </c>
      <c r="W94" s="42">
        <f t="shared" si="23"/>
        <v>187.1427095919656</v>
      </c>
      <c r="X94" s="42">
        <f t="shared" si="24"/>
        <v>105.47348511117048</v>
      </c>
      <c r="Y94" s="42">
        <f t="shared" si="25"/>
        <v>48.241100546803551</v>
      </c>
      <c r="Z94" s="42">
        <f t="shared" si="26"/>
        <v>23.429822123292869</v>
      </c>
      <c r="AA94" s="42">
        <f t="shared" si="27"/>
        <v>20972.882228527167</v>
      </c>
    </row>
    <row r="95" spans="1:29" s="4" customFormat="1">
      <c r="C95" s="2"/>
      <c r="E95" s="19"/>
      <c r="F95" s="112">
        <f t="array" ref="F95:M102">_xll.SYSLINSING(F$29:M$36-K42*_xll.M_ID(),,0.0001)</f>
        <v>0</v>
      </c>
      <c r="G95" s="112">
        <v>0</v>
      </c>
      <c r="H95" s="112">
        <v>0</v>
      </c>
      <c r="I95" s="112">
        <v>0</v>
      </c>
      <c r="J95" s="112">
        <v>0</v>
      </c>
      <c r="K95" s="112">
        <v>0</v>
      </c>
      <c r="L95" s="112">
        <v>0</v>
      </c>
      <c r="M95" s="112">
        <v>0</v>
      </c>
      <c r="Q95" s="108">
        <v>93</v>
      </c>
      <c r="R95" s="27">
        <f t="shared" si="18"/>
        <v>7.75</v>
      </c>
      <c r="S95" s="18">
        <f t="shared" si="19"/>
        <v>244404000</v>
      </c>
      <c r="T95" s="42">
        <f t="shared" si="20"/>
        <v>4.6781667719706013</v>
      </c>
      <c r="U95" s="42">
        <f t="shared" si="21"/>
        <v>2861.9718670615398</v>
      </c>
      <c r="V95" s="42">
        <f t="shared" si="22"/>
        <v>1399.7079509139978</v>
      </c>
      <c r="W95" s="42">
        <f t="shared" si="23"/>
        <v>187.19609125725242</v>
      </c>
      <c r="X95" s="42">
        <f t="shared" si="24"/>
        <v>105.62347214689191</v>
      </c>
      <c r="Y95" s="42">
        <f t="shared" si="25"/>
        <v>48.19963413190051</v>
      </c>
      <c r="Z95" s="42">
        <f t="shared" si="26"/>
        <v>22.980792438671529</v>
      </c>
      <c r="AA95" s="42">
        <f t="shared" si="27"/>
        <v>20918.883255068577</v>
      </c>
    </row>
    <row r="96" spans="1:29" s="4" customFormat="1">
      <c r="C96" s="2"/>
      <c r="E96" s="19"/>
      <c r="F96" s="112">
        <v>0</v>
      </c>
      <c r="G96" s="112">
        <v>0</v>
      </c>
      <c r="H96" s="112">
        <v>0</v>
      </c>
      <c r="I96" s="112">
        <v>0</v>
      </c>
      <c r="J96" s="112">
        <v>0</v>
      </c>
      <c r="K96" s="112">
        <v>0</v>
      </c>
      <c r="L96" s="112">
        <v>0</v>
      </c>
      <c r="M96" s="112">
        <v>0</v>
      </c>
      <c r="Q96" s="108">
        <v>94</v>
      </c>
      <c r="R96" s="27">
        <f t="shared" si="18"/>
        <v>7.833333333333333</v>
      </c>
      <c r="S96" s="18">
        <f t="shared" si="19"/>
        <v>247032000</v>
      </c>
      <c r="T96" s="42">
        <f t="shared" si="20"/>
        <v>4.6080855839773482</v>
      </c>
      <c r="U96" s="42">
        <f t="shared" si="21"/>
        <v>2855.2427611535109</v>
      </c>
      <c r="V96" s="42">
        <f t="shared" si="22"/>
        <v>1400.5049536215893</v>
      </c>
      <c r="W96" s="42">
        <f t="shared" si="23"/>
        <v>187.25101719763239</v>
      </c>
      <c r="X96" s="42">
        <f t="shared" si="24"/>
        <v>105.77264871329777</v>
      </c>
      <c r="Y96" s="42">
        <f t="shared" si="25"/>
        <v>48.159063394883539</v>
      </c>
      <c r="Z96" s="42">
        <f t="shared" si="26"/>
        <v>22.54036829229889</v>
      </c>
      <c r="AA96" s="42">
        <f t="shared" si="27"/>
        <v>20865.023313006037</v>
      </c>
    </row>
    <row r="97" spans="3:27" s="4" customFormat="1">
      <c r="C97" s="2"/>
      <c r="E97" s="19"/>
      <c r="F97" s="112">
        <v>0</v>
      </c>
      <c r="G97" s="112">
        <v>0</v>
      </c>
      <c r="H97" s="112">
        <v>0</v>
      </c>
      <c r="I97" s="112">
        <v>0</v>
      </c>
      <c r="J97" s="112">
        <v>0</v>
      </c>
      <c r="K97" s="112">
        <v>0</v>
      </c>
      <c r="L97" s="112">
        <v>0</v>
      </c>
      <c r="M97" s="112">
        <v>0</v>
      </c>
      <c r="Q97" s="108">
        <v>95</v>
      </c>
      <c r="R97" s="27">
        <f t="shared" si="18"/>
        <v>7.916666666666667</v>
      </c>
      <c r="S97" s="18">
        <f t="shared" si="19"/>
        <v>249660000</v>
      </c>
      <c r="T97" s="42">
        <f t="shared" si="20"/>
        <v>4.539054245882558</v>
      </c>
      <c r="U97" s="42">
        <f t="shared" si="21"/>
        <v>2848.5191947106841</v>
      </c>
      <c r="V97" s="42">
        <f t="shared" si="22"/>
        <v>1401.2709504070956</v>
      </c>
      <c r="W97" s="42">
        <f t="shared" si="23"/>
        <v>187.30733001263252</v>
      </c>
      <c r="X97" s="42">
        <f t="shared" si="24"/>
        <v>105.92102714768004</v>
      </c>
      <c r="Y97" s="42">
        <f t="shared" si="25"/>
        <v>48.119379526748432</v>
      </c>
      <c r="Z97" s="42">
        <f t="shared" si="26"/>
        <v>22.108384762539792</v>
      </c>
      <c r="AA97" s="42">
        <f t="shared" si="27"/>
        <v>20811.302044374828</v>
      </c>
    </row>
    <row r="98" spans="3:27" s="4" customFormat="1">
      <c r="C98" s="2"/>
      <c r="E98" s="19"/>
      <c r="F98" s="112">
        <v>0</v>
      </c>
      <c r="G98" s="112">
        <v>0</v>
      </c>
      <c r="H98" s="112">
        <v>0</v>
      </c>
      <c r="I98" s="112">
        <v>0</v>
      </c>
      <c r="J98" s="112">
        <v>0</v>
      </c>
      <c r="K98" s="112">
        <v>0</v>
      </c>
      <c r="L98" s="112">
        <v>0</v>
      </c>
      <c r="M98" s="112">
        <v>0</v>
      </c>
      <c r="Q98" s="108">
        <v>96</v>
      </c>
      <c r="R98" s="27">
        <f t="shared" si="18"/>
        <v>8</v>
      </c>
      <c r="S98" s="18">
        <f t="shared" si="19"/>
        <v>252288000</v>
      </c>
      <c r="T98" s="42">
        <f t="shared" ref="T98:T129" si="28">$F$148*EXP($F$24*$S98)+$G$148*EXP($G$24*$S98)+$H$148*EXP($H$24*$S98)+$I$148*EXP($I$24*$S98)+$J$148*EXP($J$24*$S98)+$K$148*EXP($K$24*$S98)+$L$148*EXP($L$24*$S98)+$M$148*EXP($M$24*$S98)</f>
        <v>4.4710570304298738</v>
      </c>
      <c r="U98" s="42">
        <f t="shared" ref="U98:U129" si="29">$F$149*EXP($F$24*$S98)+$G$149*EXP($G$24*$S98)+$H$149*EXP($H$24*$S98)+$I$149*EXP($I$24*$S98)+$J$149*EXP($J$24*$S98)+$K$149*EXP($K$24*$S98)+$L$149*EXP($L$24*$S98)+$M$149*EXP($M$24*$S98)</f>
        <v>2841.8013698364971</v>
      </c>
      <c r="V98" s="42">
        <f t="shared" ref="V98:V129" si="30">$F$150*EXP($F$24*$S98)+$G$150*EXP($G$24*$S98)+$H$150*EXP($H$24*$S98)+$I$150*EXP($I$24*$S98)+$J$150*EXP($J$24*$S98)+$K$150*EXP($K$24*$S98)+$L$150*EXP($L$24*$S98)+$M$150*EXP($M$24*$S98)</f>
        <v>1402.0061833202678</v>
      </c>
      <c r="W98" s="42">
        <f t="shared" ref="W98:W129" si="31">$F$151*EXP($F$24*$S98)+$G$151*EXP($G$24*$S98)+$H$151*EXP($H$24*$S98)+$I$151*EXP($I$24*$S98)+$J$151*EXP($J$24*$S98)+$K$151*EXP($K$24*$S98)+$L$151*EXP($L$24*$S98)+$M$151*EXP($M$24*$S98)</f>
        <v>187.36487750709978</v>
      </c>
      <c r="X98" s="42">
        <f t="shared" ref="X98:X129" si="32">$F$152*EXP($F$24*$S98)+$G$152*EXP($G$24*$S98)+$H$152*EXP($H$24*$S98)+$I$152*EXP($I$24*$S98)+$J$152*EXP($J$24*$S98)+$K$152*EXP($K$24*$S98)+$L$152*EXP($L$24*$S98)+$M$152*EXP($M$24*$S98)</f>
        <v>106.06861912185968</v>
      </c>
      <c r="Y98" s="42">
        <f t="shared" ref="Y98:Y129" si="33">$F$153*EXP($F$24*$S98)+$G$153*EXP($G$24*$S98)+$H$153*EXP($H$24*$S98)+$I$153*EXP($I$24*$S98)+$J$153*EXP($J$24*$S98)+$K$153*EXP($K$24*$S98)+$L$153*EXP($L$24*$S98)+$M$153*EXP($M$24*$S98)</f>
        <v>48.080573243761918</v>
      </c>
      <c r="Z98" s="42">
        <f t="shared" ref="Z98:Z129" si="34">$F$154*EXP($F$24*$S98)+$G$154*EXP($G$24*$S98)+$H$154*EXP($H$24*$S98)+$I$154*EXP($I$24*$S98)+$J$154*EXP($J$24*$S98)+$K$154*EXP($K$24*$S98)+$L$154*EXP($L$24*$S98)+$M$154*EXP($M$24*$S98)</f>
        <v>21.684680088388909</v>
      </c>
      <c r="AA98" s="42">
        <f t="shared" ref="AA98:AA129" si="35">$F$155*EXP($F$24*$S98)+$G$155*EXP($G$24*$S98)+$H$155*EXP($H$24*$S98)+$I$155*EXP($I$24*$S98)+$J$155*EXP($J$24*$S98)+$K$155*EXP($K$24*$S98)+$L$155*EXP($L$24*$S98)+$M$155*EXP($M$24*$S98)</f>
        <v>20757.719092131883</v>
      </c>
    </row>
    <row r="99" spans="3:27" s="4" customFormat="1">
      <c r="C99" s="2"/>
      <c r="E99" s="19"/>
      <c r="F99" s="112">
        <v>0</v>
      </c>
      <c r="G99" s="112">
        <v>0</v>
      </c>
      <c r="H99" s="112">
        <v>0</v>
      </c>
      <c r="I99" s="112">
        <v>0</v>
      </c>
      <c r="J99" s="112">
        <v>0</v>
      </c>
      <c r="K99" s="112">
        <v>-0.21485981177938235</v>
      </c>
      <c r="L99" s="112">
        <v>0</v>
      </c>
      <c r="M99" s="112">
        <v>0</v>
      </c>
      <c r="Q99" s="108">
        <v>97</v>
      </c>
      <c r="R99" s="27">
        <f t="shared" si="18"/>
        <v>8.0833333333333339</v>
      </c>
      <c r="S99" s="18">
        <f t="shared" si="19"/>
        <v>254916000</v>
      </c>
      <c r="T99" s="42">
        <f t="shared" si="28"/>
        <v>4.4040784459648048</v>
      </c>
      <c r="U99" s="42">
        <f t="shared" si="29"/>
        <v>2835.0894841538634</v>
      </c>
      <c r="V99" s="42">
        <f t="shared" si="30"/>
        <v>1402.7108934397229</v>
      </c>
      <c r="W99" s="42">
        <f t="shared" si="31"/>
        <v>187.42351254515182</v>
      </c>
      <c r="X99" s="42">
        <f t="shared" si="32"/>
        <v>106.21543566413374</v>
      </c>
      <c r="Y99" s="42">
        <f t="shared" si="33"/>
        <v>48.042634815758376</v>
      </c>
      <c r="Z99" s="42">
        <f t="shared" si="34"/>
        <v>21.269095608899601</v>
      </c>
      <c r="AA99" s="42">
        <f t="shared" si="35"/>
        <v>20704.274100153412</v>
      </c>
    </row>
    <row r="100" spans="3:27" s="4" customFormat="1">
      <c r="C100" s="2"/>
      <c r="E100" s="19"/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1</v>
      </c>
      <c r="L100" s="112">
        <v>0</v>
      </c>
      <c r="M100" s="112">
        <v>0</v>
      </c>
      <c r="Q100" s="108">
        <v>98</v>
      </c>
      <c r="R100" s="27">
        <f t="shared" si="18"/>
        <v>8.1666666666666661</v>
      </c>
      <c r="S100" s="18">
        <f t="shared" si="19"/>
        <v>257544000</v>
      </c>
      <c r="T100" s="42">
        <f t="shared" si="28"/>
        <v>4.3381032329052926</v>
      </c>
      <c r="U100" s="42">
        <f t="shared" si="29"/>
        <v>2828.3837308890179</v>
      </c>
      <c r="V100" s="42">
        <f t="shared" si="30"/>
        <v>1403.3853208631458</v>
      </c>
      <c r="W100" s="42">
        <f t="shared" si="31"/>
        <v>187.48309290808743</v>
      </c>
      <c r="X100" s="42">
        <f t="shared" si="32"/>
        <v>106.36148718061838</v>
      </c>
      <c r="Y100" s="42">
        <f t="shared" si="33"/>
        <v>48.005554093397173</v>
      </c>
      <c r="Z100" s="42">
        <f t="shared" si="34"/>
        <v>20.86147570377355</v>
      </c>
      <c r="AA100" s="42">
        <f t="shared" si="35"/>
        <v>20650.966713232534</v>
      </c>
    </row>
    <row r="101" spans="3:27" s="4" customFormat="1">
      <c r="C101" s="2"/>
      <c r="E101" s="19"/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Q101" s="108">
        <v>99</v>
      </c>
      <c r="R101" s="27">
        <f t="shared" si="18"/>
        <v>8.25</v>
      </c>
      <c r="S101" s="18">
        <f t="shared" si="19"/>
        <v>260172000</v>
      </c>
      <c r="T101" s="42">
        <f t="shared" si="28"/>
        <v>4.2731163602651554</v>
      </c>
      <c r="U101" s="42">
        <f t="shared" si="29"/>
        <v>2821.6842989538295</v>
      </c>
      <c r="V101" s="42">
        <f t="shared" si="30"/>
        <v>1404.0297046978746</v>
      </c>
      <c r="W101" s="42">
        <f t="shared" si="31"/>
        <v>187.5434811561513</v>
      </c>
      <c r="X101" s="42">
        <f t="shared" si="32"/>
        <v>106.50678347600405</v>
      </c>
      <c r="Y101" s="42">
        <f t="shared" si="33"/>
        <v>47.969320534413214</v>
      </c>
      <c r="Z101" s="42">
        <f t="shared" si="34"/>
        <v>20.46166773508892</v>
      </c>
      <c r="AA101" s="42">
        <f t="shared" si="35"/>
        <v>20597.796577076926</v>
      </c>
    </row>
    <row r="102" spans="3:27" s="4" customFormat="1">
      <c r="C102" s="2"/>
      <c r="E102" s="19"/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Q102" s="108">
        <v>100</v>
      </c>
      <c r="R102" s="27">
        <f t="shared" si="18"/>
        <v>8.3333333333333339</v>
      </c>
      <c r="S102" s="18">
        <f t="shared" si="19"/>
        <v>262800000</v>
      </c>
      <c r="T102" s="42">
        <f t="shared" si="28"/>
        <v>4.2091030222296144</v>
      </c>
      <c r="U102" s="42">
        <f t="shared" si="29"/>
        <v>2814.9913730266044</v>
      </c>
      <c r="V102" s="42">
        <f t="shared" si="30"/>
        <v>1404.6442830518567</v>
      </c>
      <c r="W102" s="42">
        <f t="shared" si="31"/>
        <v>187.60454449404799</v>
      </c>
      <c r="X102" s="42">
        <f t="shared" si="32"/>
        <v>106.65133377373883</v>
      </c>
      <c r="Y102" s="42">
        <f t="shared" si="33"/>
        <v>47.933923228892382</v>
      </c>
      <c r="Z102" s="42">
        <f t="shared" si="34"/>
        <v>20.069521990145237</v>
      </c>
      <c r="AA102" s="42">
        <f t="shared" si="35"/>
        <v>20544.763338306457</v>
      </c>
    </row>
    <row r="103" spans="3:27" s="4" customFormat="1">
      <c r="C103" s="2"/>
      <c r="E103" s="19"/>
      <c r="F103" s="19"/>
      <c r="G103" s="111"/>
      <c r="H103" s="111"/>
      <c r="I103" s="111"/>
      <c r="J103" s="111"/>
      <c r="K103" s="111"/>
      <c r="L103" s="111"/>
      <c r="M103" s="111"/>
      <c r="N103" s="111"/>
      <c r="O103" s="111"/>
      <c r="P103" s="19"/>
      <c r="Q103" s="108">
        <v>101</v>
      </c>
      <c r="R103" s="27">
        <f t="shared" si="18"/>
        <v>8.4166666666666661</v>
      </c>
      <c r="S103" s="18">
        <f t="shared" si="19"/>
        <v>265428000</v>
      </c>
      <c r="T103" s="42">
        <f t="shared" si="28"/>
        <v>4.146048634782117</v>
      </c>
      <c r="U103" s="42">
        <f t="shared" si="29"/>
        <v>2808.3051336314134</v>
      </c>
      <c r="V103" s="42">
        <f t="shared" si="30"/>
        <v>1405.2292930249746</v>
      </c>
      <c r="W103" s="42">
        <f t="shared" si="31"/>
        <v>187.6661546401042</v>
      </c>
      <c r="X103" s="42">
        <f t="shared" si="32"/>
        <v>106.79514673565637</v>
      </c>
      <c r="Y103" s="42">
        <f t="shared" si="33"/>
        <v>47.899350923602192</v>
      </c>
      <c r="Z103" s="42">
        <f t="shared" si="34"/>
        <v>19.684891625403647</v>
      </c>
      <c r="AA103" s="42">
        <f t="shared" si="35"/>
        <v>20491.866644450849</v>
      </c>
    </row>
    <row r="104" spans="3:27" s="4" customFormat="1">
      <c r="C104" s="2"/>
      <c r="E104" s="19"/>
      <c r="F104" s="114" t="s">
        <v>173</v>
      </c>
      <c r="G104" s="111"/>
      <c r="H104" s="111"/>
      <c r="I104" s="19"/>
      <c r="J104" s="19"/>
      <c r="K104" s="19"/>
      <c r="L104" s="19"/>
      <c r="M104" s="19"/>
      <c r="N104" s="111"/>
      <c r="O104" s="111"/>
      <c r="P104" s="19"/>
      <c r="Q104" s="108">
        <v>102</v>
      </c>
      <c r="R104" s="27">
        <f t="shared" si="18"/>
        <v>8.5</v>
      </c>
      <c r="S104" s="18">
        <f t="shared" si="19"/>
        <v>268056000</v>
      </c>
      <c r="T104" s="42">
        <f t="shared" si="28"/>
        <v>4.0839388323816914</v>
      </c>
      <c r="U104" s="42">
        <f t="shared" si="29"/>
        <v>2801.6257572159693</v>
      </c>
      <c r="V104" s="42">
        <f t="shared" si="30"/>
        <v>1405.7849707007285</v>
      </c>
      <c r="W104" s="42">
        <f t="shared" si="31"/>
        <v>187.72818769898095</v>
      </c>
      <c r="X104" s="42">
        <f t="shared" si="32"/>
        <v>106.93823048105924</v>
      </c>
      <c r="Y104" s="42">
        <f t="shared" si="33"/>
        <v>47.865592045408647</v>
      </c>
      <c r="Z104" s="42">
        <f t="shared" si="34"/>
        <v>19.307632611501447</v>
      </c>
      <c r="AA104" s="42">
        <f t="shared" si="35"/>
        <v>20439.106143947334</v>
      </c>
    </row>
    <row r="105" spans="3:27" s="4" customFormat="1">
      <c r="C105" s="2"/>
      <c r="E105" s="19"/>
      <c r="F105" s="112">
        <f t="array" ref="F105:M112">_xll.SYSLINSING(F$29:M$36-L42*_xll.M_ID(),,0.0001)</f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P105" s="19"/>
      <c r="Q105" s="108">
        <v>103</v>
      </c>
      <c r="R105" s="27">
        <f t="shared" si="18"/>
        <v>8.5833333333333339</v>
      </c>
      <c r="S105" s="18">
        <f t="shared" si="19"/>
        <v>270684000</v>
      </c>
      <c r="T105" s="42">
        <f t="shared" si="28"/>
        <v>4.0227594646900755</v>
      </c>
      <c r="U105" s="42">
        <f t="shared" si="29"/>
        <v>2794.9534162280765</v>
      </c>
      <c r="V105" s="42">
        <f t="shared" si="30"/>
        <v>1406.311551138268</v>
      </c>
      <c r="W105" s="42">
        <f t="shared" si="31"/>
        <v>187.79052403783945</v>
      </c>
      <c r="X105" s="42">
        <f t="shared" si="32"/>
        <v>107.08059260527682</v>
      </c>
      <c r="Y105" s="42">
        <f t="shared" si="33"/>
        <v>47.832634723806812</v>
      </c>
      <c r="Z105" s="42">
        <f t="shared" si="34"/>
        <v>18.937603679320418</v>
      </c>
      <c r="AA105" s="42">
        <f t="shared" si="35"/>
        <v>20386.481486138309</v>
      </c>
    </row>
    <row r="106" spans="3:27" s="4" customFormat="1">
      <c r="C106" s="2"/>
      <c r="E106" s="19"/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P106" s="19"/>
      <c r="Q106" s="108">
        <v>104</v>
      </c>
      <c r="R106" s="27">
        <f t="shared" si="18"/>
        <v>8.6666666666666661</v>
      </c>
      <c r="S106" s="18">
        <f t="shared" si="19"/>
        <v>273312000</v>
      </c>
      <c r="T106" s="42">
        <f t="shared" si="28"/>
        <v>3.9624965933478826</v>
      </c>
      <c r="U106" s="42">
        <f t="shared" si="29"/>
        <v>2788.2882791906823</v>
      </c>
      <c r="V106" s="42">
        <f t="shared" si="30"/>
        <v>1406.8092683647633</v>
      </c>
      <c r="W106" s="42">
        <f t="shared" si="31"/>
        <v>187.85304816586822</v>
      </c>
      <c r="X106" s="42">
        <f t="shared" si="32"/>
        <v>107.22224019770579</v>
      </c>
      <c r="Y106" s="42">
        <f t="shared" si="33"/>
        <v>47.800466812594308</v>
      </c>
      <c r="Z106" s="42">
        <f t="shared" si="34"/>
        <v>18.57466626708867</v>
      </c>
      <c r="AA106" s="42">
        <f t="shared" si="35"/>
        <v>20333.992321269005</v>
      </c>
    </row>
    <row r="107" spans="3:27" s="4" customFormat="1">
      <c r="C107" s="2"/>
      <c r="E107" s="19"/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P107" s="19"/>
      <c r="Q107" s="108">
        <v>105</v>
      </c>
      <c r="R107" s="27">
        <f t="shared" si="18"/>
        <v>8.75</v>
      </c>
      <c r="S107" s="18">
        <f t="shared" si="19"/>
        <v>275940000</v>
      </c>
      <c r="T107" s="42">
        <f t="shared" si="28"/>
        <v>3.9031364887990523</v>
      </c>
      <c r="U107" s="42">
        <f t="shared" si="29"/>
        <v>2781.6305107755602</v>
      </c>
      <c r="V107" s="42">
        <f t="shared" si="30"/>
        <v>1407.2783553681197</v>
      </c>
      <c r="W107" s="42">
        <f t="shared" si="31"/>
        <v>187.91564861707926</v>
      </c>
      <c r="X107" s="42">
        <f t="shared" si="32"/>
        <v>107.3631798593529</v>
      </c>
      <c r="Y107" s="42">
        <f t="shared" si="33"/>
        <v>47.769075910714847</v>
      </c>
      <c r="Z107" s="42">
        <f t="shared" si="34"/>
        <v>18.218684468496264</v>
      </c>
      <c r="AA107" s="42">
        <f t="shared" si="35"/>
        <v>20281.638300485181</v>
      </c>
    </row>
    <row r="108" spans="3:27" s="4" customFormat="1">
      <c r="C108" s="2"/>
      <c r="E108" s="19"/>
      <c r="F108" s="112">
        <v>0</v>
      </c>
      <c r="G108" s="112">
        <v>0</v>
      </c>
      <c r="H108" s="112">
        <v>0</v>
      </c>
      <c r="I108" s="112">
        <v>0</v>
      </c>
      <c r="J108" s="112">
        <v>0</v>
      </c>
      <c r="K108" s="112">
        <v>0</v>
      </c>
      <c r="L108" s="112">
        <v>0</v>
      </c>
      <c r="M108" s="112">
        <v>0</v>
      </c>
      <c r="P108" s="19"/>
      <c r="Q108" s="108">
        <v>106</v>
      </c>
      <c r="R108" s="27">
        <f t="shared" si="18"/>
        <v>8.8333333333333339</v>
      </c>
      <c r="S108" s="18">
        <f t="shared" si="19"/>
        <v>278568000</v>
      </c>
      <c r="T108" s="42">
        <f t="shared" si="28"/>
        <v>3.8446656271628759</v>
      </c>
      <c r="U108" s="42">
        <f t="shared" si="29"/>
        <v>2774.9802718756305</v>
      </c>
      <c r="V108" s="42">
        <f t="shared" si="30"/>
        <v>1407.7190440900038</v>
      </c>
      <c r="W108" s="42">
        <f t="shared" si="31"/>
        <v>187.97821783628638</v>
      </c>
      <c r="X108" s="42">
        <f t="shared" si="32"/>
        <v>107.50341771988764</v>
      </c>
      <c r="Y108" s="42">
        <f t="shared" si="33"/>
        <v>47.738449382297652</v>
      </c>
      <c r="Z108" s="42">
        <f t="shared" si="34"/>
        <v>17.869524981805117</v>
      </c>
      <c r="AA108" s="42">
        <f t="shared" si="35"/>
        <v>20229.419075830778</v>
      </c>
    </row>
    <row r="109" spans="3:27" s="4" customFormat="1">
      <c r="C109" s="2"/>
      <c r="E109" s="19"/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P109" s="19"/>
      <c r="Q109" s="108">
        <v>107</v>
      </c>
      <c r="R109" s="27">
        <f t="shared" si="18"/>
        <v>8.9166666666666661</v>
      </c>
      <c r="S109" s="18">
        <f t="shared" si="19"/>
        <v>281196000</v>
      </c>
      <c r="T109" s="42">
        <f t="shared" si="28"/>
        <v>3.7870706871528812</v>
      </c>
      <c r="U109" s="42">
        <f t="shared" si="29"/>
        <v>2768.337719675978</v>
      </c>
      <c r="V109" s="42">
        <f t="shared" si="30"/>
        <v>1408.1315654192076</v>
      </c>
      <c r="W109" s="42">
        <f t="shared" si="31"/>
        <v>188.04065206817967</v>
      </c>
      <c r="X109" s="42">
        <f t="shared" si="32"/>
        <v>107.64295945422276</v>
      </c>
      <c r="Y109" s="42">
        <f t="shared" si="33"/>
        <v>47.708574375919483</v>
      </c>
      <c r="Z109" s="42">
        <f t="shared" si="34"/>
        <v>17.52705705993424</v>
      </c>
      <c r="AA109" s="42">
        <f t="shared" si="35"/>
        <v>20177.334300245635</v>
      </c>
    </row>
    <row r="110" spans="3:27" s="4" customFormat="1">
      <c r="C110" s="2"/>
      <c r="E110" s="19"/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P110" s="19"/>
      <c r="Q110" s="108">
        <v>108</v>
      </c>
      <c r="R110" s="27">
        <f t="shared" si="18"/>
        <v>9</v>
      </c>
      <c r="S110" s="18">
        <f t="shared" si="19"/>
        <v>283824000</v>
      </c>
      <c r="T110" s="42">
        <f t="shared" si="28"/>
        <v>3.7303385470418724</v>
      </c>
      <c r="U110" s="42">
        <f t="shared" si="29"/>
        <v>2761.7030077235499</v>
      </c>
      <c r="V110" s="42">
        <f t="shared" si="30"/>
        <v>1408.5161491853078</v>
      </c>
      <c r="W110" s="42">
        <f t="shared" si="31"/>
        <v>188.10285124941112</v>
      </c>
      <c r="X110" s="42">
        <f t="shared" si="32"/>
        <v>107.78181029862878</v>
      </c>
      <c r="Y110" s="42">
        <f t="shared" si="33"/>
        <v>47.679437843113305</v>
      </c>
      <c r="Z110" s="42">
        <f t="shared" si="34"/>
        <v>17.191152461501471</v>
      </c>
      <c r="AA110" s="42">
        <f t="shared" si="35"/>
        <v>20125.383627563155</v>
      </c>
    </row>
    <row r="111" spans="3:27" s="4" customFormat="1">
      <c r="C111" s="2"/>
      <c r="E111" s="19"/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1</v>
      </c>
      <c r="M111" s="112">
        <v>0</v>
      </c>
      <c r="P111" s="19"/>
      <c r="Q111" s="108">
        <v>109</v>
      </c>
      <c r="R111" s="27">
        <f t="shared" si="18"/>
        <v>9.0833333333333339</v>
      </c>
      <c r="S111" s="18">
        <f t="shared" si="19"/>
        <v>286452000</v>
      </c>
      <c r="T111" s="42">
        <f t="shared" si="28"/>
        <v>3.6744562816724406</v>
      </c>
      <c r="U111" s="42">
        <f t="shared" si="29"/>
        <v>2755.0762859955885</v>
      </c>
      <c r="V111" s="42">
        <f t="shared" si="30"/>
        <v>1408.8730241526414</v>
      </c>
      <c r="W111" s="42">
        <f t="shared" si="31"/>
        <v>188.16471890361197</v>
      </c>
      <c r="X111" s="42">
        <f t="shared" si="32"/>
        <v>107.91997506640155</v>
      </c>
      <c r="Y111" s="42">
        <f t="shared" si="33"/>
        <v>47.651026556148217</v>
      </c>
      <c r="Z111" s="42">
        <f t="shared" si="34"/>
        <v>16.861685402803474</v>
      </c>
      <c r="AA111" s="42">
        <f t="shared" si="35"/>
        <v>20073.566712508014</v>
      </c>
    </row>
    <row r="112" spans="3:27" s="4" customFormat="1">
      <c r="C112" s="2"/>
      <c r="E112" s="19"/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P112" s="19"/>
      <c r="Q112" s="108">
        <v>110</v>
      </c>
      <c r="R112" s="27">
        <f t="shared" si="18"/>
        <v>9.1666666666666661</v>
      </c>
      <c r="S112" s="18">
        <f t="shared" si="19"/>
        <v>289080000</v>
      </c>
      <c r="T112" s="42">
        <f t="shared" si="28"/>
        <v>3.6194111595122482</v>
      </c>
      <c r="U112" s="42">
        <f t="shared" si="29"/>
        <v>2748.4577009668124</v>
      </c>
      <c r="V112" s="42">
        <f t="shared" si="30"/>
        <v>1409.2024180145754</v>
      </c>
      <c r="W112" s="42">
        <f t="shared" si="31"/>
        <v>188.22616203926168</v>
      </c>
      <c r="X112" s="42">
        <f t="shared" si="32"/>
        <v>108.05745816309047</v>
      </c>
      <c r="Y112" s="42">
        <f t="shared" si="33"/>
        <v>47.62332712510463</v>
      </c>
      <c r="Z112" s="42">
        <f t="shared" si="34"/>
        <v>16.538532510716049</v>
      </c>
      <c r="AA112" s="42">
        <f t="shared" si="35"/>
        <v>20021.883210693897</v>
      </c>
    </row>
    <row r="113" spans="1:27" s="4" customFormat="1">
      <c r="C113" s="2"/>
      <c r="E113" s="19"/>
      <c r="F113" s="19"/>
      <c r="G113" s="111"/>
      <c r="H113" s="111"/>
      <c r="I113" s="111"/>
      <c r="J113" s="111"/>
      <c r="K113" s="111"/>
      <c r="L113" s="111"/>
      <c r="M113" s="111"/>
      <c r="N113" s="111"/>
      <c r="O113" s="111"/>
      <c r="P113" s="19"/>
      <c r="Q113" s="108">
        <v>111</v>
      </c>
      <c r="R113" s="27">
        <f t="shared" si="18"/>
        <v>9.25</v>
      </c>
      <c r="S113" s="18">
        <f t="shared" si="19"/>
        <v>291708000</v>
      </c>
      <c r="T113" s="42">
        <f t="shared" si="28"/>
        <v>3.5651906397534345</v>
      </c>
      <c r="U113" s="42">
        <f t="shared" si="29"/>
        <v>2741.847395675356</v>
      </c>
      <c r="V113" s="42">
        <f t="shared" si="30"/>
        <v>1409.5045573880686</v>
      </c>
      <c r="W113" s="42">
        <f t="shared" si="31"/>
        <v>188.28709105033155</v>
      </c>
      <c r="X113" s="42">
        <f t="shared" si="32"/>
        <v>108.19426360129722</v>
      </c>
      <c r="Y113" s="42">
        <f t="shared" si="33"/>
        <v>47.596326014266147</v>
      </c>
      <c r="Z113" s="42">
        <f t="shared" si="34"/>
        <v>16.221572776497013</v>
      </c>
      <c r="AA113" s="42">
        <f t="shared" si="35"/>
        <v>19970.332778621148</v>
      </c>
    </row>
    <row r="114" spans="1:27" s="4" customFormat="1">
      <c r="C114" s="2"/>
      <c r="E114" s="19"/>
      <c r="F114" s="114" t="s">
        <v>174</v>
      </c>
      <c r="G114" s="111"/>
      <c r="H114" s="111"/>
      <c r="I114" s="19"/>
      <c r="J114" s="19"/>
      <c r="K114" s="19"/>
      <c r="L114" s="19"/>
      <c r="M114" s="19"/>
      <c r="N114" s="111"/>
      <c r="O114" s="111"/>
      <c r="P114" s="19"/>
      <c r="Q114" s="108">
        <v>112</v>
      </c>
      <c r="R114" s="27">
        <f t="shared" si="18"/>
        <v>9.3333333333333339</v>
      </c>
      <c r="S114" s="18">
        <f t="shared" si="19"/>
        <v>294336000</v>
      </c>
      <c r="T114" s="42">
        <f t="shared" si="28"/>
        <v>3.5117823694554726</v>
      </c>
      <c r="U114" s="42">
        <f t="shared" si="29"/>
        <v>2735.2455097875168</v>
      </c>
      <c r="V114" s="42">
        <f t="shared" si="30"/>
        <v>1409.7796678085174</v>
      </c>
      <c r="W114" s="42">
        <f t="shared" si="31"/>
        <v>188.34741961962834</v>
      </c>
      <c r="X114" s="42">
        <f t="shared" si="32"/>
        <v>108.33039501506295</v>
      </c>
      <c r="Y114" s="42">
        <f t="shared" si="33"/>
        <v>47.570009557851805</v>
      </c>
      <c r="Z114" s="42">
        <f t="shared" si="34"/>
        <v>15.910687510474407</v>
      </c>
      <c r="AA114" s="42">
        <f t="shared" si="35"/>
        <v>19918.91507367454</v>
      </c>
    </row>
    <row r="115" spans="1:27" s="4" customFormat="1">
      <c r="C115" s="2"/>
      <c r="E115" s="19"/>
      <c r="F115" s="112">
        <f t="array" ref="F115:M122">_xll.SYSLINSING(F$29:M$36-M42*_xll.M_ID(),,0.0001)</f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O115" s="111"/>
      <c r="P115" s="19"/>
      <c r="Q115" s="108">
        <v>113</v>
      </c>
      <c r="R115" s="27">
        <f t="shared" si="18"/>
        <v>9.4166666666666661</v>
      </c>
      <c r="S115" s="18">
        <f t="shared" si="19"/>
        <v>296964000</v>
      </c>
      <c r="T115" s="42">
        <f t="shared" si="28"/>
        <v>3.4591741807308267</v>
      </c>
      <c r="U115" s="42">
        <f t="shared" si="29"/>
        <v>2728.6521796613065</v>
      </c>
      <c r="V115" s="42">
        <f t="shared" si="30"/>
        <v>1410.0279737248825</v>
      </c>
      <c r="W115" s="42">
        <f t="shared" si="31"/>
        <v>188.40706462476493</v>
      </c>
      <c r="X115" s="42">
        <f t="shared" si="32"/>
        <v>108.4658556738479</v>
      </c>
      <c r="Y115" s="42">
        <f t="shared" si="33"/>
        <v>47.54436397510915</v>
      </c>
      <c r="Z115" s="42">
        <f t="shared" si="34"/>
        <v>15.605760297603128</v>
      </c>
      <c r="AA115" s="42">
        <f t="shared" si="35"/>
        <v>19867.629754120975</v>
      </c>
    </row>
    <row r="116" spans="1:27" s="4" customFormat="1">
      <c r="A116" s="2"/>
      <c r="B116" s="2"/>
      <c r="C116" s="2"/>
      <c r="D116" s="2"/>
      <c r="E116" s="19"/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0.13872907855874864</v>
      </c>
      <c r="O116" s="111"/>
      <c r="P116" s="19"/>
      <c r="Q116" s="108">
        <v>114</v>
      </c>
      <c r="R116" s="27">
        <f t="shared" si="18"/>
        <v>9.5</v>
      </c>
      <c r="S116" s="18">
        <f t="shared" si="19"/>
        <v>299592000</v>
      </c>
      <c r="T116" s="42">
        <f t="shared" si="28"/>
        <v>3.4073540879727635</v>
      </c>
      <c r="U116" s="42">
        <f t="shared" si="29"/>
        <v>2722.0675384088399</v>
      </c>
      <c r="V116" s="42">
        <f t="shared" si="30"/>
        <v>1410.2496984950812</v>
      </c>
      <c r="W116" s="42">
        <f t="shared" si="31"/>
        <v>188.46594604668718</v>
      </c>
      <c r="X116" s="42">
        <f t="shared" si="32"/>
        <v>108.60064849611638</v>
      </c>
      <c r="Y116" s="42">
        <f t="shared" si="33"/>
        <v>47.519375384789114</v>
      </c>
      <c r="Z116" s="42">
        <f t="shared" si="34"/>
        <v>15.306676953873195</v>
      </c>
      <c r="AA116" s="42">
        <f t="shared" si="35"/>
        <v>19816.476479107212</v>
      </c>
    </row>
    <row r="117" spans="1:27" s="4" customFormat="1">
      <c r="A117" s="2"/>
      <c r="B117" s="2"/>
      <c r="C117" s="2"/>
      <c r="D117" s="2"/>
      <c r="E117" s="19"/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0.11475330919374595</v>
      </c>
      <c r="O117" s="111"/>
      <c r="P117" s="19"/>
      <c r="Q117" s="108">
        <v>115</v>
      </c>
      <c r="R117" s="27">
        <f t="shared" si="18"/>
        <v>9.5833333333333339</v>
      </c>
      <c r="S117" s="18">
        <f t="shared" si="19"/>
        <v>302220000</v>
      </c>
      <c r="T117" s="42">
        <f t="shared" si="28"/>
        <v>3.3563102851247062</v>
      </c>
      <c r="U117" s="42">
        <f t="shared" si="29"/>
        <v>2715.4917159575839</v>
      </c>
      <c r="V117" s="42">
        <f t="shared" si="30"/>
        <v>1410.4450643816558</v>
      </c>
      <c r="W117" s="42">
        <f t="shared" si="31"/>
        <v>188.52398688068806</v>
      </c>
      <c r="X117" s="42">
        <f t="shared" si="32"/>
        <v>108.73477606253999</v>
      </c>
      <c r="Y117" s="42">
        <f t="shared" si="33"/>
        <v>47.495029819023529</v>
      </c>
      <c r="Z117" s="42">
        <f t="shared" si="34"/>
        <v>15.013325483553482</v>
      </c>
      <c r="AA117" s="42">
        <f t="shared" si="35"/>
        <v>19765.454908657612</v>
      </c>
    </row>
    <row r="118" spans="1:27" s="4" customFormat="1">
      <c r="A118" s="2"/>
      <c r="B118" s="2"/>
      <c r="C118" s="2"/>
      <c r="D118" s="2"/>
      <c r="E118" s="19"/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1.7095090765923773E-2</v>
      </c>
      <c r="O118" s="111"/>
      <c r="P118" s="19"/>
      <c r="Q118" s="108">
        <v>116</v>
      </c>
      <c r="R118" s="27">
        <f t="shared" si="18"/>
        <v>9.6666666666666661</v>
      </c>
      <c r="S118" s="18">
        <f t="shared" si="19"/>
        <v>304848000</v>
      </c>
      <c r="T118" s="42">
        <f t="shared" si="28"/>
        <v>3.3060311429904825</v>
      </c>
      <c r="U118" s="42">
        <f t="shared" si="29"/>
        <v>2708.9248391104825</v>
      </c>
      <c r="V118" s="42">
        <f t="shared" si="30"/>
        <v>1410.6142925476893</v>
      </c>
      <c r="W118" s="42">
        <f t="shared" si="31"/>
        <v>188.58111304984163</v>
      </c>
      <c r="X118" s="42">
        <f t="shared" si="32"/>
        <v>108.86824062882545</v>
      </c>
      <c r="Y118" s="42">
        <f t="shared" si="33"/>
        <v>47.471313236623772</v>
      </c>
      <c r="Z118" s="42">
        <f t="shared" si="34"/>
        <v>14.725596037254801</v>
      </c>
      <c r="AA118" s="42">
        <f t="shared" si="35"/>
        <v>19714.564703671869</v>
      </c>
    </row>
    <row r="119" spans="1:27" s="4" customFormat="1">
      <c r="A119" s="2"/>
      <c r="B119" s="2"/>
      <c r="C119" s="2"/>
      <c r="D119" s="2"/>
      <c r="E119" s="19"/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2.078842081056689E-2</v>
      </c>
      <c r="O119" s="111"/>
      <c r="P119" s="19"/>
      <c r="Q119" s="108">
        <v>117</v>
      </c>
      <c r="R119" s="27">
        <f t="shared" si="18"/>
        <v>9.75</v>
      </c>
      <c r="S119" s="18">
        <f t="shared" si="19"/>
        <v>307476000</v>
      </c>
      <c r="T119" s="42">
        <f t="shared" si="28"/>
        <v>3.2565052065848707</v>
      </c>
      <c r="U119" s="42">
        <f t="shared" si="29"/>
        <v>2702.3670316049788</v>
      </c>
      <c r="V119" s="42">
        <f t="shared" si="30"/>
        <v>1410.7576030529842</v>
      </c>
      <c r="W119" s="42">
        <f t="shared" si="31"/>
        <v>188.63725332079238</v>
      </c>
      <c r="X119" s="42">
        <f t="shared" si="32"/>
        <v>109.00104413817837</v>
      </c>
      <c r="Y119" s="42">
        <f t="shared" si="33"/>
        <v>47.448211535820668</v>
      </c>
      <c r="Z119" s="42">
        <f t="shared" si="34"/>
        <v>14.443380870796691</v>
      </c>
      <c r="AA119" s="42">
        <f t="shared" si="35"/>
        <v>19663.805525922755</v>
      </c>
    </row>
    <row r="120" spans="1:27" s="4" customFormat="1">
      <c r="A120" s="2"/>
      <c r="B120" s="2"/>
      <c r="C120" s="2"/>
      <c r="D120" s="2"/>
      <c r="E120" s="19"/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4.9472675729181712E-3</v>
      </c>
      <c r="O120" s="111"/>
      <c r="P120" s="19"/>
      <c r="Q120" s="108">
        <v>118</v>
      </c>
      <c r="R120" s="27">
        <f t="shared" si="18"/>
        <v>9.8333333333333339</v>
      </c>
      <c r="S120" s="18">
        <f t="shared" si="19"/>
        <v>310104000</v>
      </c>
      <c r="T120" s="42">
        <f t="shared" si="28"/>
        <v>3.2077211925238354</v>
      </c>
      <c r="U120" s="42">
        <f t="shared" si="29"/>
        <v>2695.8184141709598</v>
      </c>
      <c r="V120" s="42">
        <f t="shared" si="30"/>
        <v>1410.8752148504839</v>
      </c>
      <c r="W120" s="42">
        <f t="shared" si="31"/>
        <v>188.69233922183517</v>
      </c>
      <c r="X120" s="42">
        <f t="shared" si="32"/>
        <v>109.13318823341382</v>
      </c>
      <c r="Y120" s="42">
        <f t="shared" si="33"/>
        <v>47.425710566463465</v>
      </c>
      <c r="Z120" s="42">
        <f t="shared" si="34"/>
        <v>14.166574304862499</v>
      </c>
      <c r="AA120" s="42">
        <f t="shared" si="35"/>
        <v>19613.177038053887</v>
      </c>
    </row>
    <row r="121" spans="1:27" s="4" customFormat="1">
      <c r="A121" s="2"/>
      <c r="B121" s="2"/>
      <c r="C121" s="2"/>
      <c r="D121" s="2"/>
      <c r="E121" s="19"/>
      <c r="F121" s="112">
        <v>0</v>
      </c>
      <c r="G121" s="112">
        <v>0</v>
      </c>
      <c r="H121" s="112">
        <v>0</v>
      </c>
      <c r="I121" s="112">
        <v>0</v>
      </c>
      <c r="J121" s="112">
        <v>0</v>
      </c>
      <c r="K121" s="112">
        <v>0</v>
      </c>
      <c r="L121" s="112">
        <v>0</v>
      </c>
      <c r="M121" s="112">
        <v>0</v>
      </c>
      <c r="O121" s="111"/>
      <c r="P121" s="19"/>
      <c r="Q121" s="108">
        <v>119</v>
      </c>
      <c r="R121" s="27">
        <f t="shared" si="18"/>
        <v>9.9166666666666661</v>
      </c>
      <c r="S121" s="18">
        <f t="shared" si="19"/>
        <v>312732000</v>
      </c>
      <c r="T121" s="42">
        <f t="shared" si="28"/>
        <v>3.1596679864538615</v>
      </c>
      <c r="U121" s="42">
        <f t="shared" si="29"/>
        <v>2689.2791045876343</v>
      </c>
      <c r="V121" s="42">
        <f t="shared" si="30"/>
        <v>1410.9673457829358</v>
      </c>
      <c r="W121" s="42">
        <f t="shared" si="31"/>
        <v>188.74630496322501</v>
      </c>
      <c r="X121" s="42">
        <f t="shared" si="32"/>
        <v>109.26467426872136</v>
      </c>
      <c r="Y121" s="42">
        <f t="shared" si="33"/>
        <v>47.403796141695722</v>
      </c>
      <c r="Z121" s="42">
        <f t="shared" si="34"/>
        <v>13.895072685427586</v>
      </c>
      <c r="AA121" s="42">
        <f t="shared" si="35"/>
        <v>19562.678903577475</v>
      </c>
    </row>
    <row r="122" spans="1:27" s="4" customFormat="1">
      <c r="A122" s="2"/>
      <c r="B122" s="2"/>
      <c r="C122" s="2"/>
      <c r="D122" s="2"/>
      <c r="E122" s="19"/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1</v>
      </c>
      <c r="O122" s="111"/>
      <c r="P122" s="19"/>
      <c r="Q122" s="108">
        <v>120</v>
      </c>
      <c r="R122" s="27">
        <f t="shared" si="18"/>
        <v>10</v>
      </c>
      <c r="S122" s="18">
        <f t="shared" si="19"/>
        <v>315360000</v>
      </c>
      <c r="T122" s="42">
        <f t="shared" si="28"/>
        <v>3.1123346405197956</v>
      </c>
      <c r="U122" s="42">
        <f t="shared" si="29"/>
        <v>2682.749217739371</v>
      </c>
      <c r="V122" s="42">
        <f t="shared" si="30"/>
        <v>1411.0342125797927</v>
      </c>
      <c r="W122" s="42">
        <f t="shared" si="31"/>
        <v>188.79908735965637</v>
      </c>
      <c r="X122" s="42">
        <f t="shared" si="32"/>
        <v>109.39550332109184</v>
      </c>
      <c r="Y122" s="42">
        <f t="shared" si="33"/>
        <v>47.382454049126068</v>
      </c>
      <c r="Z122" s="42">
        <f t="shared" si="34"/>
        <v>13.628774344945969</v>
      </c>
      <c r="AA122" s="42">
        <f t="shared" si="35"/>
        <v>19512.310786872069</v>
      </c>
    </row>
    <row r="123" spans="1:27" s="4" customFormat="1">
      <c r="A123" s="2"/>
      <c r="B123" s="2"/>
      <c r="C123" s="2"/>
      <c r="D123" s="2"/>
      <c r="E123" s="19"/>
      <c r="F123" s="19"/>
      <c r="G123" s="111"/>
      <c r="H123" s="111"/>
      <c r="I123" s="111"/>
      <c r="J123" s="111"/>
      <c r="K123" s="111"/>
      <c r="L123" s="111"/>
      <c r="M123" s="111"/>
      <c r="N123" s="111"/>
      <c r="O123" s="111"/>
      <c r="P123" s="19"/>
      <c r="Q123" s="108">
        <v>121</v>
      </c>
      <c r="R123" s="27">
        <f t="shared" si="18"/>
        <v>10.083333333333334</v>
      </c>
      <c r="S123" s="18">
        <f t="shared" si="19"/>
        <v>317988000</v>
      </c>
      <c r="T123" s="42">
        <f t="shared" si="28"/>
        <v>3.0657103708706179</v>
      </c>
      <c r="U123" s="42">
        <f t="shared" si="29"/>
        <v>2676.2288656705164</v>
      </c>
      <c r="V123" s="42">
        <f t="shared" si="30"/>
        <v>1411.0760308543427</v>
      </c>
      <c r="W123" s="42">
        <f t="shared" si="31"/>
        <v>188.85062575485253</v>
      </c>
      <c r="X123" s="42">
        <f t="shared" si="32"/>
        <v>109.52567620142122</v>
      </c>
      <c r="Y123" s="42">
        <f t="shared" si="33"/>
        <v>47.361670061509813</v>
      </c>
      <c r="Z123" s="42">
        <f t="shared" si="34"/>
        <v>13.367579564280719</v>
      </c>
      <c r="AA123" s="42">
        <f t="shared" si="35"/>
        <v>19462.072353180363</v>
      </c>
    </row>
    <row r="124" spans="1:27" s="4" customFormat="1">
      <c r="A124" s="2"/>
      <c r="B124" s="2"/>
      <c r="C124" s="2"/>
      <c r="D124" s="2"/>
      <c r="E124" s="19"/>
      <c r="F124" s="19"/>
      <c r="G124" s="111"/>
      <c r="H124" s="111"/>
      <c r="I124" s="111"/>
      <c r="J124" s="111"/>
      <c r="K124" s="111"/>
      <c r="L124" s="111"/>
      <c r="M124" s="111"/>
      <c r="N124" s="111"/>
      <c r="O124" s="111"/>
      <c r="P124" s="19"/>
      <c r="Q124" s="108">
        <v>122</v>
      </c>
      <c r="R124" s="27">
        <f t="shared" si="18"/>
        <v>10.166666666666666</v>
      </c>
      <c r="S124" s="18">
        <f t="shared" si="19"/>
        <v>320616000</v>
      </c>
      <c r="T124" s="42">
        <f t="shared" si="28"/>
        <v>3.0197845552025826</v>
      </c>
      <c r="U124" s="42">
        <f t="shared" si="29"/>
        <v>2669.7181576391977</v>
      </c>
      <c r="V124" s="42">
        <f t="shared" si="30"/>
        <v>1411.0930151010657</v>
      </c>
      <c r="W124" s="42">
        <f t="shared" si="31"/>
        <v>188.90086194820981</v>
      </c>
      <c r="X124" s="42">
        <f t="shared" si="32"/>
        <v>109.65519346529146</v>
      </c>
      <c r="Y124" s="42">
        <f t="shared" si="33"/>
        <v>47.341429946958627</v>
      </c>
      <c r="Z124" s="42">
        <f t="shared" si="34"/>
        <v>13.111390535363988</v>
      </c>
      <c r="AA124" s="42">
        <f t="shared" si="35"/>
        <v>19411.963268606942</v>
      </c>
    </row>
    <row r="125" spans="1:27" s="4" customFormat="1" ht="15">
      <c r="A125" s="2"/>
      <c r="B125" s="2"/>
      <c r="C125" s="2"/>
      <c r="D125" s="2"/>
      <c r="E125" s="110" t="s">
        <v>183</v>
      </c>
      <c r="F125" s="110" t="s">
        <v>155</v>
      </c>
      <c r="G125" s="110" t="s">
        <v>168</v>
      </c>
      <c r="H125" s="110" t="s">
        <v>169</v>
      </c>
      <c r="I125" s="110" t="s">
        <v>170</v>
      </c>
      <c r="J125" s="110" t="s">
        <v>171</v>
      </c>
      <c r="K125" s="110" t="s">
        <v>172</v>
      </c>
      <c r="L125" s="110" t="s">
        <v>173</v>
      </c>
      <c r="M125" s="110" t="s">
        <v>174</v>
      </c>
      <c r="N125" s="111"/>
      <c r="O125" s="111"/>
      <c r="P125" s="19"/>
      <c r="Q125" s="108">
        <v>123</v>
      </c>
      <c r="R125" s="27">
        <f t="shared" si="18"/>
        <v>10.25</v>
      </c>
      <c r="S125" s="18">
        <f t="shared" si="19"/>
        <v>323244000</v>
      </c>
      <c r="T125" s="42">
        <f t="shared" si="28"/>
        <v>2.9745467303391626</v>
      </c>
      <c r="U125" s="42">
        <f t="shared" si="29"/>
        <v>2663.217200170152</v>
      </c>
      <c r="V125" s="42">
        <f t="shared" si="30"/>
        <v>1411.0853786932062</v>
      </c>
      <c r="W125" s="42">
        <f t="shared" si="31"/>
        <v>188.94974012343962</v>
      </c>
      <c r="X125" s="42">
        <f t="shared" si="32"/>
        <v>109.78405542344444</v>
      </c>
      <c r="Y125" s="42">
        <f t="shared" si="33"/>
        <v>47.321719478693289</v>
      </c>
      <c r="Z125" s="42">
        <f t="shared" si="34"/>
        <v>12.860111324572603</v>
      </c>
      <c r="AA125" s="42">
        <f t="shared" si="35"/>
        <v>19361.983200116072</v>
      </c>
    </row>
    <row r="126" spans="1:27" s="4" customFormat="1">
      <c r="A126" s="2"/>
      <c r="B126" s="2"/>
      <c r="C126" s="2"/>
      <c r="D126" s="2"/>
      <c r="E126" s="19"/>
      <c r="F126" s="112">
        <f>SUM(F45:M45)/SUM(F45:M52)</f>
        <v>0.84379103265390776</v>
      </c>
      <c r="G126" s="112">
        <f>SUM(F55:M55)/SUM(F55:M62)</f>
        <v>0</v>
      </c>
      <c r="H126" s="112">
        <f>SUM(F65:M65)/SUM(F65:M72)</f>
        <v>0</v>
      </c>
      <c r="I126" s="112">
        <f>SUM(F75:M75)/SUM(F75:M82)</f>
        <v>0</v>
      </c>
      <c r="J126" s="112">
        <f>SUM(F85:M85)/SUM(F85:M92)</f>
        <v>0</v>
      </c>
      <c r="K126" s="112">
        <f>SUM(F95:M95)/SUM(F95:M102)</f>
        <v>0</v>
      </c>
      <c r="L126" s="112">
        <f>SUM(F105:M105)/SUM(F105:M112)</f>
        <v>0</v>
      </c>
      <c r="M126" s="112">
        <f>SUM(F115:M115)/SUM(F115:M122)</f>
        <v>0</v>
      </c>
      <c r="N126" s="111"/>
      <c r="O126" s="111"/>
      <c r="P126" s="19"/>
      <c r="Q126" s="108">
        <v>124</v>
      </c>
      <c r="R126" s="27">
        <f t="shared" si="18"/>
        <v>10.333333333333334</v>
      </c>
      <c r="S126" s="18">
        <f t="shared" si="19"/>
        <v>325872000</v>
      </c>
      <c r="T126" s="42">
        <f t="shared" si="28"/>
        <v>2.9299865898472484</v>
      </c>
      <c r="U126" s="42">
        <f t="shared" si="29"/>
        <v>2656.7260971065771</v>
      </c>
      <c r="V126" s="42">
        <f t="shared" si="30"/>
        <v>1411.0533338805635</v>
      </c>
      <c r="W126" s="42">
        <f t="shared" si="31"/>
        <v>188.99720677915519</v>
      </c>
      <c r="X126" s="42">
        <f t="shared" si="32"/>
        <v>109.91226215195155</v>
      </c>
      <c r="Y126" s="42">
        <f t="shared" si="33"/>
        <v>47.302524444355655</v>
      </c>
      <c r="Z126" s="42">
        <f t="shared" si="34"/>
        <v>12.613647836805516</v>
      </c>
      <c r="AA126" s="42">
        <f t="shared" si="35"/>
        <v>19312.131815529498</v>
      </c>
    </row>
    <row r="127" spans="1:27" s="4" customFormat="1">
      <c r="A127" s="2"/>
      <c r="B127" s="2"/>
      <c r="C127" s="2"/>
      <c r="D127" s="2"/>
      <c r="E127" s="19"/>
      <c r="F127" s="112">
        <f>SUM(F46:M46)/SUM(F45:M52)</f>
        <v>1.1061375034106535</v>
      </c>
      <c r="G127" s="112">
        <f>SUM(F56:M56)/SUM(F55:M62)</f>
        <v>1.2114618818751839</v>
      </c>
      <c r="H127" s="112">
        <f>SUM(F66:M66)/SUM(F65:M72)</f>
        <v>0</v>
      </c>
      <c r="I127" s="112">
        <f>SUM(F76:M76)/SUM(F75:M82)</f>
        <v>0</v>
      </c>
      <c r="J127" s="112">
        <f>SUM(F86:M86)/SUM(F85:M92)</f>
        <v>0</v>
      </c>
      <c r="K127" s="112">
        <f>SUM(F96:M96)/SUM(F95:M102)</f>
        <v>0</v>
      </c>
      <c r="L127" s="112">
        <f>SUM(F106:M106)/SUM(F105:M112)</f>
        <v>0</v>
      </c>
      <c r="M127" s="112">
        <f>SUM(F116:M116)/SUM(F115:M122)</f>
        <v>0.10701818210355858</v>
      </c>
      <c r="N127" s="111"/>
      <c r="O127" s="111"/>
      <c r="P127" s="19"/>
      <c r="Q127" s="108">
        <v>125</v>
      </c>
      <c r="R127" s="27">
        <f t="shared" si="18"/>
        <v>10.416666666666666</v>
      </c>
      <c r="S127" s="18">
        <f t="shared" si="19"/>
        <v>328500000</v>
      </c>
      <c r="T127" s="42">
        <f t="shared" si="28"/>
        <v>2.8860939816890534</v>
      </c>
      <c r="U127" s="42">
        <f t="shared" si="29"/>
        <v>2650.2449496610393</v>
      </c>
      <c r="V127" s="42">
        <f t="shared" si="30"/>
        <v>1410.9970917874944</v>
      </c>
      <c r="W127" s="42">
        <f t="shared" si="31"/>
        <v>189.04321066135068</v>
      </c>
      <c r="X127" s="42">
        <f t="shared" si="32"/>
        <v>110.03981350209062</v>
      </c>
      <c r="Y127" s="42">
        <f t="shared" si="33"/>
        <v>47.283830654894061</v>
      </c>
      <c r="Z127" s="42">
        <f t="shared" si="34"/>
        <v>12.371907780249717</v>
      </c>
      <c r="AA127" s="42">
        <f t="shared" si="35"/>
        <v>19262.408783524214</v>
      </c>
    </row>
    <row r="128" spans="1:27" s="4" customFormat="1">
      <c r="A128" s="2"/>
      <c r="B128" s="2"/>
      <c r="C128" s="2"/>
      <c r="D128" s="2"/>
      <c r="E128" s="19"/>
      <c r="F128" s="112">
        <f>SUM(F47:M47)/SUM(F45:M52)</f>
        <v>-0.52604135777211525</v>
      </c>
      <c r="G128" s="112">
        <f>SUM(F57:M57)/SUM(F55:M62)</f>
        <v>-0.41328320181212325</v>
      </c>
      <c r="H128" s="112">
        <f>SUM(F67:M67)/SUM(F65:M72)</f>
        <v>2.4059178627236624</v>
      </c>
      <c r="I128" s="112">
        <f>SUM(F77:M77)/SUM(F75:M82)</f>
        <v>0</v>
      </c>
      <c r="J128" s="112">
        <f>SUM(F87:M87)/SUM(F85:M92)</f>
        <v>0</v>
      </c>
      <c r="K128" s="112">
        <f>SUM(F97:M97)/SUM(F95:M102)</f>
        <v>0</v>
      </c>
      <c r="L128" s="112">
        <f>SUM(F107:M107)/SUM(F105:M112)</f>
        <v>0</v>
      </c>
      <c r="M128" s="112">
        <f>SUM(F117:M117)/SUM(F115:M122)</f>
        <v>8.8522829300575742E-2</v>
      </c>
      <c r="N128" s="111"/>
      <c r="O128" s="111"/>
      <c r="P128" s="19"/>
      <c r="Q128" s="108">
        <v>126</v>
      </c>
      <c r="R128" s="27">
        <f t="shared" si="18"/>
        <v>10.5</v>
      </c>
      <c r="S128" s="18">
        <f t="shared" si="19"/>
        <v>331128000</v>
      </c>
      <c r="T128" s="42">
        <f t="shared" si="28"/>
        <v>2.8428589059091989</v>
      </c>
      <c r="U128" s="42">
        <f t="shared" si="29"/>
        <v>2643.7738564654378</v>
      </c>
      <c r="V128" s="42">
        <f t="shared" si="30"/>
        <v>1410.9168624111094</v>
      </c>
      <c r="W128" s="42">
        <f t="shared" si="31"/>
        <v>189.08770269772111</v>
      </c>
      <c r="X128" s="42">
        <f t="shared" si="32"/>
        <v>110.16670910993554</v>
      </c>
      <c r="Y128" s="42">
        <f t="shared" si="33"/>
        <v>47.265623953036929</v>
      </c>
      <c r="Z128" s="42">
        <f t="shared" si="34"/>
        <v>12.134800631821367</v>
      </c>
      <c r="AA128" s="42">
        <f t="shared" si="35"/>
        <v>19212.813773630271</v>
      </c>
    </row>
    <row r="129" spans="1:27" s="4" customFormat="1">
      <c r="A129" s="2"/>
      <c r="B129" s="2"/>
      <c r="C129" s="2"/>
      <c r="D129" s="2"/>
      <c r="E129" s="19"/>
      <c r="F129" s="112">
        <f>SUM(F48:M48)/SUM(F45:M52)</f>
        <v>-0.15584462434622515</v>
      </c>
      <c r="G129" s="112">
        <f>SUM(F58:M58)/SUM(F55:M62)</f>
        <v>-0.16267921453021297</v>
      </c>
      <c r="H129" s="112">
        <f>SUM(F68:M68)/SUM(F65:M72)</f>
        <v>0.43788605256082996</v>
      </c>
      <c r="I129" s="112">
        <f>SUM(F78:M78)/SUM(F75:M82)</f>
        <v>1.9708702325371494</v>
      </c>
      <c r="J129" s="112">
        <f>SUM(F88:M88)/SUM(F85:M92)</f>
        <v>0</v>
      </c>
      <c r="K129" s="112">
        <f>SUM(F98:M98)/SUM(F95:M102)</f>
        <v>0</v>
      </c>
      <c r="L129" s="112">
        <f>SUM(F108:M108)/SUM(F105:M112)</f>
        <v>0</v>
      </c>
      <c r="M129" s="112">
        <f>SUM(F118:M118)/SUM(F115:M122)</f>
        <v>1.3187469820105142E-2</v>
      </c>
      <c r="N129" s="111"/>
      <c r="O129" s="111"/>
      <c r="P129" s="19"/>
      <c r="Q129" s="108">
        <v>127</v>
      </c>
      <c r="R129" s="27">
        <f t="shared" si="18"/>
        <v>10.583333333333334</v>
      </c>
      <c r="S129" s="18">
        <f t="shared" si="19"/>
        <v>333756000</v>
      </c>
      <c r="T129" s="42">
        <f t="shared" si="28"/>
        <v>2.8002715123564474</v>
      </c>
      <c r="U129" s="42">
        <f t="shared" si="29"/>
        <v>2637.3129136200623</v>
      </c>
      <c r="V129" s="42">
        <f t="shared" si="30"/>
        <v>1410.8128546196785</v>
      </c>
      <c r="W129" s="42">
        <f t="shared" si="31"/>
        <v>189.13063593377396</v>
      </c>
      <c r="X129" s="42">
        <f t="shared" si="32"/>
        <v>110.29294840566729</v>
      </c>
      <c r="Y129" s="42">
        <f t="shared" si="33"/>
        <v>47.24789022136882</v>
      </c>
      <c r="Z129" s="42">
        <f t="shared" si="34"/>
        <v>11.902237603269201</v>
      </c>
      <c r="AA129" s="42">
        <f t="shared" si="35"/>
        <v>19163.346456228599</v>
      </c>
    </row>
    <row r="130" spans="1:27" s="4" customFormat="1">
      <c r="A130" s="2"/>
      <c r="B130" s="2"/>
      <c r="C130" s="2"/>
      <c r="D130" s="2"/>
      <c r="E130" s="19"/>
      <c r="F130" s="112">
        <f>SUM(F49:M49)/SUM(F45:M52)</f>
        <v>0.17464043281892955</v>
      </c>
      <c r="G130" s="112">
        <f>SUM(F59:M59)/SUM(F55:M62)</f>
        <v>-2.0847179670320497E-2</v>
      </c>
      <c r="H130" s="112">
        <f>SUM(F69:M69)/SUM(F65:M72)</f>
        <v>-2.0323545653562203</v>
      </c>
      <c r="I130" s="112">
        <f>SUM(F79:M79)/SUM(F75:M82)</f>
        <v>-0.26392857477559872</v>
      </c>
      <c r="J130" s="112">
        <f>SUM(F89:M89)/SUM(F85:M92)</f>
        <v>1</v>
      </c>
      <c r="K130" s="112">
        <f>SUM(F99:M99)/SUM(F95:M102)</f>
        <v>-0.27365789575276278</v>
      </c>
      <c r="L130" s="112">
        <f>SUM(F109:M109)/SUM(F105:M112)</f>
        <v>0</v>
      </c>
      <c r="M130" s="112">
        <f>SUM(F119:M119)/SUM(F115:M122)</f>
        <v>1.6036573060697779E-2</v>
      </c>
      <c r="N130" s="111"/>
      <c r="O130" s="111"/>
      <c r="P130" s="19"/>
      <c r="Q130" s="108">
        <v>128</v>
      </c>
      <c r="R130" s="27">
        <f t="shared" ref="R130:R136" si="36">S130/(3600*365*24)</f>
        <v>10.666666666666666</v>
      </c>
      <c r="S130" s="18">
        <f t="shared" ref="S130:S136" si="37">Q130*D$5</f>
        <v>336384000</v>
      </c>
      <c r="T130" s="42">
        <f t="shared" ref="T130:T136" si="38">$F$148*EXP($F$24*$S130)+$G$148*EXP($G$24*$S130)+$H$148*EXP($H$24*$S130)+$I$148*EXP($I$24*$S130)+$J$148*EXP($J$24*$S130)+$K$148*EXP($K$24*$S130)+$L$148*EXP($L$24*$S130)+$M$148*EXP($M$24*$S130)</f>
        <v>2.7583220984395642</v>
      </c>
      <c r="U130" s="42">
        <f t="shared" ref="U130:U136" si="39">$F$149*EXP($F$24*$S130)+$G$149*EXP($G$24*$S130)+$H$149*EXP($H$24*$S130)+$I$149*EXP($I$24*$S130)+$J$149*EXP($J$24*$S130)+$K$149*EXP($K$24*$S130)+$L$149*EXP($L$24*$S130)+$M$149*EXP($M$24*$S130)</f>
        <v>2630.8622147417464</v>
      </c>
      <c r="V130" s="42">
        <f t="shared" ref="V130:V136" si="40">$F$150*EXP($F$24*$S130)+$G$150*EXP($G$24*$S130)+$H$150*EXP($H$24*$S130)+$I$150*EXP($I$24*$S130)+$J$150*EXP($J$24*$S130)+$K$150*EXP($K$24*$S130)+$L$150*EXP($L$24*$S130)+$M$150*EXP($M$24*$S130)</f>
        <v>1410.6852761512284</v>
      </c>
      <c r="W130" s="42">
        <f t="shared" ref="W130:W136" si="41">$F$151*EXP($F$24*$S130)+$G$151*EXP($G$24*$S130)+$H$151*EXP($H$24*$S130)+$I$151*EXP($I$24*$S130)+$J$151*EXP($J$24*$S130)+$K$151*EXP($K$24*$S130)+$L$151*EXP($L$24*$S130)+$M$151*EXP($M$24*$S130)</f>
        <v>189.17196547068403</v>
      </c>
      <c r="X130" s="42">
        <f t="shared" ref="X130:X136" si="42">$F$152*EXP($F$24*$S130)+$G$152*EXP($G$24*$S130)+$H$152*EXP($H$24*$S130)+$I$152*EXP($I$24*$S130)+$J$152*EXP($J$24*$S130)+$K$152*EXP($K$24*$S130)+$L$152*EXP($L$24*$S130)+$M$152*EXP($M$24*$S130)</f>
        <v>110.41853062261413</v>
      </c>
      <c r="Y130" s="42">
        <f t="shared" ref="Y130:Y136" si="43">$F$153*EXP($F$24*$S130)+$G$153*EXP($G$24*$S130)+$H$153*EXP($H$24*$S130)+$I$153*EXP($I$24*$S130)+$J$153*EXP($J$24*$S130)+$K$153*EXP($K$24*$S130)+$L$153*EXP($L$24*$S130)+$M$153*EXP($M$24*$S130)</f>
        <v>47.230615390021903</v>
      </c>
      <c r="Z130" s="42">
        <f t="shared" ref="Z130:Z136" si="44">$F$154*EXP($F$24*$S130)+$G$154*EXP($G$24*$S130)+$H$154*EXP($H$24*$S130)+$I$154*EXP($I$24*$S130)+$J$154*EXP($J$24*$S130)+$K$154*EXP($K$24*$S130)+$L$154*EXP($L$24*$S130)+$M$154*EXP($M$24*$S130)</f>
        <v>11.674131607927579</v>
      </c>
      <c r="AA130" s="42">
        <f t="shared" ref="AA130:AA136" si="45">$F$155*EXP($F$24*$S130)+$G$155*EXP($G$24*$S130)+$H$155*EXP($H$24*$S130)+$I$155*EXP($I$24*$S130)+$J$155*EXP($J$24*$S130)+$K$155*EXP($K$24*$S130)+$L$155*EXP($L$24*$S130)+$M$155*EXP($M$24*$S130)</f>
        <v>19114.006502548778</v>
      </c>
    </row>
    <row r="131" spans="1:27" s="4" customFormat="1">
      <c r="A131" s="2"/>
      <c r="B131" s="2"/>
      <c r="C131" s="2"/>
      <c r="D131" s="2"/>
      <c r="E131" s="19"/>
      <c r="F131" s="112">
        <f>SUM(F50:M50)/SUM(F45:M52)</f>
        <v>-0.44330395555716001</v>
      </c>
      <c r="G131" s="112">
        <f>SUM(F60:M60)/SUM(F55:M62)</f>
        <v>0.382759917432209</v>
      </c>
      <c r="H131" s="112">
        <f>SUM(F70:M70)/SUM(F65:M72)</f>
        <v>0.18855065007172794</v>
      </c>
      <c r="I131" s="112">
        <f>SUM(F80:M80)/SUM(F75:M82)</f>
        <v>-0.7069416577615506</v>
      </c>
      <c r="J131" s="112">
        <f>SUM(F90:M90)/SUM(F85:M92)</f>
        <v>0</v>
      </c>
      <c r="K131" s="112">
        <f>SUM(F100:M100)/SUM(F95:M102)</f>
        <v>1.2736578957527627</v>
      </c>
      <c r="L131" s="112">
        <f>SUM(F110:M110)/SUM(F105:M112)</f>
        <v>0</v>
      </c>
      <c r="M131" s="112">
        <f>SUM(F120:M120)/SUM(F115:M122)</f>
        <v>3.8164138876578641E-3</v>
      </c>
      <c r="N131" s="111"/>
      <c r="O131" s="111"/>
      <c r="P131" s="19"/>
      <c r="Q131" s="108">
        <v>129</v>
      </c>
      <c r="R131" s="27">
        <f t="shared" si="36"/>
        <v>10.75</v>
      </c>
      <c r="S131" s="18">
        <f t="shared" si="37"/>
        <v>339012000</v>
      </c>
      <c r="T131" s="42">
        <f t="shared" si="38"/>
        <v>2.7170011069167974</v>
      </c>
      <c r="U131" s="42">
        <f t="shared" si="39"/>
        <v>2624.4218510111355</v>
      </c>
      <c r="V131" s="42">
        <f t="shared" si="40"/>
        <v>1410.5343336123265</v>
      </c>
      <c r="W131" s="42">
        <f t="shared" si="41"/>
        <v>189.21164840484386</v>
      </c>
      <c r="X131" s="42">
        <f t="shared" si="42"/>
        <v>110.54345480602655</v>
      </c>
      <c r="Y131" s="42">
        <f t="shared" si="43"/>
        <v>47.213785443996613</v>
      </c>
      <c r="Z131" s="42">
        <f t="shared" si="44"/>
        <v>11.450397228106652</v>
      </c>
      <c r="AA131" s="42">
        <f t="shared" si="45"/>
        <v>19064.793584666884</v>
      </c>
    </row>
    <row r="132" spans="1:27" s="4" customFormat="1">
      <c r="A132" s="2"/>
      <c r="B132" s="2"/>
      <c r="C132" s="2"/>
      <c r="D132" s="2"/>
      <c r="E132" s="19"/>
      <c r="F132" s="112">
        <f>SUM(F51:M51)/SUM(F45:M52)</f>
        <v>6.2311810289257617E-4</v>
      </c>
      <c r="G132" s="112">
        <f>SUM(F61:M61)/SUM(F55:M62)</f>
        <v>2.5877967052638198E-3</v>
      </c>
      <c r="H132" s="112">
        <f>SUM(F71:M71)/SUM(F65:M72)</f>
        <v>0</v>
      </c>
      <c r="I132" s="112">
        <f>SUM(F81:M81)/SUM(F75:M82)</f>
        <v>0</v>
      </c>
      <c r="J132" s="112">
        <f>SUM(F91:M91)/SUM(F85:M92)</f>
        <v>0</v>
      </c>
      <c r="K132" s="112">
        <f>SUM(F101:M101)/SUM(F95:M102)</f>
        <v>0</v>
      </c>
      <c r="L132" s="112">
        <f>SUM(F111:M111)/SUM(F105:M112)</f>
        <v>1</v>
      </c>
      <c r="M132" s="112">
        <f>SUM(F121:M121)/SUM(F115:M122)</f>
        <v>0</v>
      </c>
      <c r="N132" s="111"/>
      <c r="O132" s="111"/>
      <c r="P132" s="19"/>
      <c r="Q132" s="108">
        <v>130</v>
      </c>
      <c r="R132" s="27">
        <f t="shared" si="36"/>
        <v>10.833333333333334</v>
      </c>
      <c r="S132" s="18">
        <f t="shared" si="37"/>
        <v>341640000</v>
      </c>
      <c r="T132" s="42">
        <f t="shared" si="38"/>
        <v>2.6762991237184717</v>
      </c>
      <c r="U132" s="42">
        <f t="shared" si="39"/>
        <v>2617.9919112190942</v>
      </c>
      <c r="V132" s="42">
        <f t="shared" si="40"/>
        <v>1410.3602324770529</v>
      </c>
      <c r="W132" s="42">
        <f t="shared" si="41"/>
        <v>189.24964376906567</v>
      </c>
      <c r="X132" s="42">
        <f t="shared" si="42"/>
        <v>110.66771982159491</v>
      </c>
      <c r="Y132" s="42">
        <f t="shared" si="43"/>
        <v>47.197386430123757</v>
      </c>
      <c r="Z132" s="42">
        <f t="shared" si="44"/>
        <v>11.230950683107475</v>
      </c>
      <c r="AA132" s="42">
        <f t="shared" si="45"/>
        <v>19015.707375503313</v>
      </c>
    </row>
    <row r="133" spans="1:27">
      <c r="F133" s="112">
        <f>SUM(F52:M52)/SUM(F45:M52)</f>
        <v>-2.1493108830799803E-6</v>
      </c>
      <c r="G133" s="112">
        <f>SUM(F62:M62)/SUM(F55:M62)</f>
        <v>0</v>
      </c>
      <c r="H133" s="112">
        <f>SUM(F72:M72)/SUM(F65:M72)</f>
        <v>0</v>
      </c>
      <c r="I133" s="112">
        <f>SUM(F82:M82)/SUM(F75:M82)</f>
        <v>0</v>
      </c>
      <c r="J133" s="112">
        <f>SUM(F92:M92)/SUM(F85:M92)</f>
        <v>0</v>
      </c>
      <c r="K133" s="112">
        <f>SUM(F102:M102)/SUM(F95:M102)</f>
        <v>0</v>
      </c>
      <c r="L133" s="112">
        <f>SUM(F112:M112)/SUM(F105:M112)</f>
        <v>0</v>
      </c>
      <c r="M133" s="112">
        <f>SUM(F122:M122)/SUM(F115:M122)</f>
        <v>0.77141853182740483</v>
      </c>
      <c r="Q133" s="108">
        <v>131</v>
      </c>
      <c r="R133" s="27">
        <f t="shared" si="36"/>
        <v>10.916666666666666</v>
      </c>
      <c r="S133" s="18">
        <f t="shared" si="37"/>
        <v>344268000</v>
      </c>
      <c r="T133" s="42">
        <f t="shared" si="38"/>
        <v>2.6362068758022037</v>
      </c>
      <c r="U133" s="42">
        <f t="shared" si="39"/>
        <v>2611.5724818122521</v>
      </c>
      <c r="V133" s="42">
        <f t="shared" si="40"/>
        <v>1410.1631770861522</v>
      </c>
      <c r="W133" s="42">
        <f t="shared" si="41"/>
        <v>189.28591247538782</v>
      </c>
      <c r="X133" s="42">
        <f t="shared" si="42"/>
        <v>110.79132436371765</v>
      </c>
      <c r="Y133" s="42">
        <f t="shared" si="43"/>
        <v>47.181404463681019</v>
      </c>
      <c r="Z133" s="42">
        <f t="shared" si="44"/>
        <v>11.015709797850082</v>
      </c>
      <c r="AA133" s="42">
        <f t="shared" si="45"/>
        <v>18966.74754882056</v>
      </c>
    </row>
    <row r="134" spans="1:27">
      <c r="Q134" s="108">
        <v>132</v>
      </c>
      <c r="R134" s="27">
        <f t="shared" si="36"/>
        <v>11</v>
      </c>
      <c r="S134" s="18">
        <f t="shared" si="37"/>
        <v>346896000</v>
      </c>
      <c r="T134" s="42">
        <f t="shared" si="38"/>
        <v>2.5967152290402442</v>
      </c>
      <c r="U134" s="42">
        <f t="shared" si="39"/>
        <v>2605.1636469377254</v>
      </c>
      <c r="V134" s="42">
        <f t="shared" si="40"/>
        <v>1409.9433706463622</v>
      </c>
      <c r="W134" s="42">
        <f t="shared" si="41"/>
        <v>189.32041725944555</v>
      </c>
      <c r="X134" s="42">
        <f t="shared" si="42"/>
        <v>110.91426696352306</v>
      </c>
      <c r="Y134" s="42">
        <f t="shared" si="43"/>
        <v>47.165825734675238</v>
      </c>
      <c r="Z134" s="42">
        <f t="shared" si="44"/>
        <v>10.804593972102811</v>
      </c>
      <c r="AA134" s="42">
        <f t="shared" si="45"/>
        <v>18917.91377922113</v>
      </c>
    </row>
    <row r="135" spans="1:27" ht="15">
      <c r="E135" s="110" t="s">
        <v>184</v>
      </c>
      <c r="Q135" s="108">
        <v>133</v>
      </c>
      <c r="R135" s="27">
        <f t="shared" si="36"/>
        <v>11.083333333333334</v>
      </c>
      <c r="S135" s="18">
        <f t="shared" si="37"/>
        <v>349524000</v>
      </c>
      <c r="T135" s="42">
        <f t="shared" si="38"/>
        <v>2.5578151861384688</v>
      </c>
      <c r="U135" s="42">
        <f t="shared" si="39"/>
        <v>2598.7654884870058</v>
      </c>
      <c r="V135" s="42">
        <f t="shared" si="40"/>
        <v>1409.7010152299099</v>
      </c>
      <c r="W135" s="42">
        <f t="shared" si="41"/>
        <v>189.35312262636052</v>
      </c>
      <c r="X135" s="42">
        <f t="shared" si="42"/>
        <v>111.03654599665668</v>
      </c>
      <c r="Y135" s="42">
        <f t="shared" si="43"/>
        <v>47.150636513802638</v>
      </c>
      <c r="Z135" s="42">
        <f t="shared" si="44"/>
        <v>10.597524150301282</v>
      </c>
      <c r="AA135" s="42">
        <f t="shared" si="45"/>
        <v>18869.205742145288</v>
      </c>
    </row>
    <row r="136" spans="1:27">
      <c r="F136" s="112">
        <f t="array" ref="F136:M143">MINVERSE(F126:M133)</f>
        <v>1.1851275508993984</v>
      </c>
      <c r="G136" s="112">
        <v>5.3116407281719904E-23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Q136" s="108">
        <v>134</v>
      </c>
      <c r="R136" s="27">
        <f t="shared" si="36"/>
        <v>11.166666666666666</v>
      </c>
      <c r="S136" s="18">
        <f t="shared" si="37"/>
        <v>352152000</v>
      </c>
      <c r="T136" s="42">
        <f t="shared" si="38"/>
        <v>2.5194978845865501</v>
      </c>
      <c r="U136" s="42">
        <f t="shared" si="39"/>
        <v>2592.3780861390537</v>
      </c>
      <c r="V136" s="42">
        <f t="shared" si="40"/>
        <v>1409.4363117741811</v>
      </c>
      <c r="W136" s="42">
        <f t="shared" si="41"/>
        <v>189.38399479811096</v>
      </c>
      <c r="X136" s="42">
        <f t="shared" si="42"/>
        <v>111.15815969083536</v>
      </c>
      <c r="Y136" s="42">
        <f t="shared" si="43"/>
        <v>47.135823158097722</v>
      </c>
      <c r="Z136" s="42">
        <f t="shared" si="44"/>
        <v>10.394422791945809</v>
      </c>
      <c r="AA136" s="42">
        <f t="shared" si="45"/>
        <v>18820.623113868965</v>
      </c>
    </row>
    <row r="137" spans="1:27">
      <c r="F137" s="112">
        <v>-1.0820929683050984</v>
      </c>
      <c r="G137" s="112">
        <v>0.8254490008815889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-0.11451377928954252</v>
      </c>
    </row>
    <row r="138" spans="1:27">
      <c r="F138" s="112">
        <v>7.3242303836908065E-2</v>
      </c>
      <c r="G138" s="112">
        <v>0.14179378743660134</v>
      </c>
      <c r="H138" s="112">
        <v>0.41564178706746541</v>
      </c>
      <c r="I138" s="112">
        <v>0</v>
      </c>
      <c r="J138" s="112">
        <v>0</v>
      </c>
      <c r="K138" s="112">
        <v>0</v>
      </c>
      <c r="L138" s="112">
        <v>0</v>
      </c>
      <c r="M138" s="112">
        <v>-6.7367191981628757E-2</v>
      </c>
    </row>
    <row r="139" spans="1:27">
      <c r="F139" s="112">
        <v>-1.1878053981501272E-2</v>
      </c>
      <c r="G139" s="112">
        <v>3.6630454937140254E-2</v>
      </c>
      <c r="H139" s="112">
        <v>-9.2346892460800731E-2</v>
      </c>
      <c r="I139" s="112">
        <v>0.50739007748504861</v>
      </c>
      <c r="J139" s="112">
        <v>0</v>
      </c>
      <c r="K139" s="112">
        <v>0</v>
      </c>
      <c r="L139" s="112">
        <v>0</v>
      </c>
      <c r="M139" s="112">
        <v>-3.1584771853173602E-3</v>
      </c>
    </row>
    <row r="140" spans="1:27">
      <c r="F140" s="112">
        <v>0.11329045371735705</v>
      </c>
      <c r="G140" s="112">
        <v>0.24698623949663151</v>
      </c>
      <c r="H140" s="112">
        <v>0.78949315850630153</v>
      </c>
      <c r="I140" s="112">
        <v>0.21098391940597341</v>
      </c>
      <c r="J140" s="112">
        <v>1</v>
      </c>
      <c r="K140" s="112">
        <v>0.21485981177938235</v>
      </c>
      <c r="L140" s="112">
        <v>0</v>
      </c>
      <c r="M140" s="112">
        <v>-0.15031930498898058</v>
      </c>
    </row>
    <row r="141" spans="1:27">
      <c r="F141" s="112">
        <v>0.72024564966729243</v>
      </c>
      <c r="G141" s="112">
        <v>-0.24872338854711737</v>
      </c>
      <c r="H141" s="112">
        <v>-0.11278805311296626</v>
      </c>
      <c r="I141" s="112">
        <v>0.28162600310897795</v>
      </c>
      <c r="J141" s="112">
        <v>0</v>
      </c>
      <c r="K141" s="112">
        <v>0.78514018822061771</v>
      </c>
      <c r="L141" s="112">
        <v>0</v>
      </c>
      <c r="M141" s="112">
        <v>3.8749248162813027E-2</v>
      </c>
    </row>
    <row r="142" spans="1:27">
      <c r="F142" s="112">
        <v>2.0617621869669224E-3</v>
      </c>
      <c r="G142" s="112">
        <v>-2.1360942048446875E-3</v>
      </c>
      <c r="H142" s="112">
        <v>0</v>
      </c>
      <c r="I142" s="112">
        <v>0</v>
      </c>
      <c r="J142" s="112">
        <v>0</v>
      </c>
      <c r="K142" s="112">
        <v>0</v>
      </c>
      <c r="L142" s="112">
        <v>1</v>
      </c>
      <c r="M142" s="112">
        <v>2.9633838075278639E-4</v>
      </c>
    </row>
    <row r="143" spans="1:27">
      <c r="F143" s="112">
        <v>3.3019786768045996E-6</v>
      </c>
      <c r="G143" s="112">
        <v>-5.4900998116273751E-22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1.2963131669019035</v>
      </c>
    </row>
    <row r="146" spans="5:13" ht="15">
      <c r="E146" s="110" t="s">
        <v>185</v>
      </c>
      <c r="F146" s="111">
        <f t="array" ref="F146:M146">TRANSPOSE(MMULT(F136:M143,B2:B9))</f>
        <v>22.56685279962792</v>
      </c>
      <c r="G146" s="111">
        <v>-207.78120096107978</v>
      </c>
      <c r="H146" s="111">
        <v>-818.97086368414375</v>
      </c>
      <c r="I146" s="111">
        <v>58.532161475144292</v>
      </c>
      <c r="J146" s="111">
        <v>-2083.535154220649</v>
      </c>
      <c r="K146" s="111">
        <v>161.67101547725565</v>
      </c>
      <c r="L146" s="111">
        <v>139.49678335064939</v>
      </c>
      <c r="M146" s="111">
        <v>34464.601905926669</v>
      </c>
    </row>
    <row r="147" spans="5:13" ht="15">
      <c r="F147" s="110" t="s">
        <v>175</v>
      </c>
      <c r="G147" s="110" t="s">
        <v>176</v>
      </c>
      <c r="H147" s="110" t="s">
        <v>177</v>
      </c>
      <c r="I147" s="110" t="s">
        <v>178</v>
      </c>
      <c r="J147" s="110" t="s">
        <v>179</v>
      </c>
      <c r="K147" s="110" t="s">
        <v>180</v>
      </c>
      <c r="L147" s="110" t="s">
        <v>181</v>
      </c>
      <c r="M147" s="110" t="s">
        <v>182</v>
      </c>
    </row>
    <row r="148" spans="5:13" ht="15">
      <c r="E148" s="105" t="s">
        <v>7</v>
      </c>
      <c r="F148" s="112">
        <f t="shared" ref="F148:M155" si="46">F$146*F126</f>
        <v>19.041708027546772</v>
      </c>
      <c r="G148" s="112">
        <f t="shared" si="46"/>
        <v>0</v>
      </c>
      <c r="H148" s="112">
        <f t="shared" si="46"/>
        <v>0</v>
      </c>
      <c r="I148" s="112">
        <f t="shared" si="46"/>
        <v>0</v>
      </c>
      <c r="J148" s="112">
        <f t="shared" si="46"/>
        <v>0</v>
      </c>
      <c r="K148" s="112">
        <f t="shared" si="46"/>
        <v>0</v>
      </c>
      <c r="L148" s="112">
        <f t="shared" si="46"/>
        <v>0</v>
      </c>
      <c r="M148" s="112">
        <f t="shared" si="46"/>
        <v>0</v>
      </c>
    </row>
    <row r="149" spans="5:13" ht="15">
      <c r="E149" s="105" t="s">
        <v>9</v>
      </c>
      <c r="F149" s="112">
        <f t="shared" si="46"/>
        <v>24.962042215616144</v>
      </c>
      <c r="G149" s="112">
        <f t="shared" si="46"/>
        <v>-251.71900473459547</v>
      </c>
      <c r="H149" s="112">
        <f t="shared" si="46"/>
        <v>0</v>
      </c>
      <c r="I149" s="112">
        <f t="shared" si="46"/>
        <v>0</v>
      </c>
      <c r="J149" s="112">
        <f t="shared" si="46"/>
        <v>0</v>
      </c>
      <c r="K149" s="112">
        <f t="shared" si="46"/>
        <v>0</v>
      </c>
      <c r="L149" s="112">
        <f t="shared" si="46"/>
        <v>0</v>
      </c>
      <c r="M149" s="112">
        <f t="shared" si="46"/>
        <v>3688.3390428951125</v>
      </c>
    </row>
    <row r="150" spans="5:13" ht="15">
      <c r="E150" s="105" t="s">
        <v>10</v>
      </c>
      <c r="F150" s="112">
        <f t="shared" si="46"/>
        <v>-11.871097887359731</v>
      </c>
      <c r="G150" s="112">
        <f t="shared" si="46"/>
        <v>85.872480009563276</v>
      </c>
      <c r="H150" s="112">
        <f t="shared" si="46"/>
        <v>-1970.3766299879069</v>
      </c>
      <c r="I150" s="112">
        <f t="shared" si="46"/>
        <v>0</v>
      </c>
      <c r="J150" s="112">
        <f t="shared" si="46"/>
        <v>0</v>
      </c>
      <c r="K150" s="112">
        <f t="shared" si="46"/>
        <v>0</v>
      </c>
      <c r="L150" s="112">
        <f t="shared" si="46"/>
        <v>0</v>
      </c>
      <c r="M150" s="112">
        <f t="shared" si="46"/>
        <v>3050.9040714306439</v>
      </c>
    </row>
    <row r="151" spans="5:13" ht="15">
      <c r="E151" s="105" t="s">
        <v>11</v>
      </c>
      <c r="F151" s="112">
        <f t="shared" si="46"/>
        <v>-3.5169226972345724</v>
      </c>
      <c r="G151" s="112">
        <f t="shared" si="46"/>
        <v>33.801682566492794</v>
      </c>
      <c r="H151" s="112">
        <f t="shared" si="46"/>
        <v>-358.61591866098325</v>
      </c>
      <c r="I151" s="112">
        <f t="shared" si="46"/>
        <v>115.35929469741961</v>
      </c>
      <c r="J151" s="112">
        <f t="shared" si="46"/>
        <v>0</v>
      </c>
      <c r="K151" s="112">
        <f t="shared" si="46"/>
        <v>0</v>
      </c>
      <c r="L151" s="112">
        <f t="shared" si="46"/>
        <v>0</v>
      </c>
      <c r="M151" s="112">
        <f t="shared" si="46"/>
        <v>454.50089749634611</v>
      </c>
    </row>
    <row r="152" spans="5:13" ht="15">
      <c r="E152" s="105" t="s">
        <v>13</v>
      </c>
      <c r="F152" s="112">
        <f t="shared" si="46"/>
        <v>3.9410849402880919</v>
      </c>
      <c r="G152" s="112">
        <f t="shared" si="46"/>
        <v>4.3316520285506002</v>
      </c>
      <c r="H152" s="112">
        <f t="shared" si="46"/>
        <v>1664.4391737021963</v>
      </c>
      <c r="I152" s="112">
        <f t="shared" si="46"/>
        <v>-15.448309956670039</v>
      </c>
      <c r="J152" s="112">
        <f t="shared" si="46"/>
        <v>-2083.535154220649</v>
      </c>
      <c r="K152" s="112">
        <f t="shared" si="46"/>
        <v>-44.242549899718128</v>
      </c>
      <c r="L152" s="112">
        <f t="shared" si="46"/>
        <v>0</v>
      </c>
      <c r="M152" s="112">
        <f t="shared" si="46"/>
        <v>552.69410647225698</v>
      </c>
    </row>
    <row r="153" spans="5:13" ht="15">
      <c r="E153" s="105" t="s">
        <v>14</v>
      </c>
      <c r="F153" s="112">
        <f t="shared" si="46"/>
        <v>-10.003975110551227</v>
      </c>
      <c r="G153" s="112">
        <f t="shared" si="46"/>
        <v>-79.53031532382812</v>
      </c>
      <c r="H153" s="112">
        <f t="shared" si="46"/>
        <v>-154.41748873744979</v>
      </c>
      <c r="I153" s="112">
        <f t="shared" si="46"/>
        <v>-41.37882326560527</v>
      </c>
      <c r="J153" s="112">
        <f t="shared" si="46"/>
        <v>0</v>
      </c>
      <c r="K153" s="112">
        <f t="shared" si="46"/>
        <v>205.91356537697376</v>
      </c>
      <c r="L153" s="112">
        <f t="shared" si="46"/>
        <v>0</v>
      </c>
      <c r="M153" s="112">
        <f t="shared" si="46"/>
        <v>131.53118534637824</v>
      </c>
    </row>
    <row r="154" spans="5:13" ht="15">
      <c r="E154" s="105" t="s">
        <v>15</v>
      </c>
      <c r="F154" s="112">
        <f t="shared" si="46"/>
        <v>1.4061814504760172E-2</v>
      </c>
      <c r="G154" s="112">
        <f t="shared" si="46"/>
        <v>-0.53769550726284188</v>
      </c>
      <c r="H154" s="112">
        <f t="shared" si="46"/>
        <v>0</v>
      </c>
      <c r="I154" s="112">
        <f t="shared" si="46"/>
        <v>0</v>
      </c>
      <c r="J154" s="112">
        <f t="shared" si="46"/>
        <v>0</v>
      </c>
      <c r="K154" s="112">
        <f t="shared" si="46"/>
        <v>0</v>
      </c>
      <c r="L154" s="112">
        <f t="shared" si="46"/>
        <v>139.49678335064939</v>
      </c>
      <c r="M154" s="112">
        <f t="shared" si="46"/>
        <v>0</v>
      </c>
    </row>
    <row r="155" spans="5:13" ht="15">
      <c r="E155" s="105" t="s">
        <v>16</v>
      </c>
      <c r="F155" s="112">
        <f t="shared" si="46"/>
        <v>-4.850318231910421E-5</v>
      </c>
      <c r="G155" s="112">
        <f t="shared" si="46"/>
        <v>0</v>
      </c>
      <c r="H155" s="112">
        <f t="shared" si="46"/>
        <v>0</v>
      </c>
      <c r="I155" s="112">
        <f t="shared" si="46"/>
        <v>0</v>
      </c>
      <c r="J155" s="112">
        <f t="shared" si="46"/>
        <v>0</v>
      </c>
      <c r="K155" s="112">
        <f t="shared" si="46"/>
        <v>0</v>
      </c>
      <c r="L155" s="112">
        <f t="shared" si="46"/>
        <v>0</v>
      </c>
      <c r="M155" s="112">
        <f t="shared" si="46"/>
        <v>26586.632602285928</v>
      </c>
    </row>
    <row r="157" spans="5:13">
      <c r="F157" s="111">
        <v>19.041699999999999</v>
      </c>
      <c r="G157" s="111">
        <v>2.2549200000000001E-5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</row>
    <row r="158" spans="5:13">
      <c r="F158" s="111">
        <v>24.962</v>
      </c>
      <c r="G158" s="111">
        <v>-251.72</v>
      </c>
      <c r="H158" s="111">
        <v>-1.09955E-2</v>
      </c>
      <c r="I158" s="111">
        <v>-2.1534899999999999E-5</v>
      </c>
      <c r="J158" s="111">
        <v>1.61689E-2</v>
      </c>
      <c r="K158" s="111">
        <v>6.1950700000000004E-4</v>
      </c>
      <c r="L158" s="111">
        <v>0</v>
      </c>
      <c r="M158" s="111">
        <v>3688.33</v>
      </c>
    </row>
    <row r="159" spans="5:13">
      <c r="F159" s="111">
        <v>-11.8711</v>
      </c>
      <c r="G159" s="111">
        <v>85.872799999999998</v>
      </c>
      <c r="H159" s="111">
        <v>-1970.43</v>
      </c>
      <c r="I159" s="111">
        <v>3.9496399999999997E-6</v>
      </c>
      <c r="J159" s="111">
        <v>6.0970000000000003E-2</v>
      </c>
      <c r="K159" s="111">
        <v>-2.5001899999999998E-4</v>
      </c>
      <c r="L159" s="111">
        <v>0</v>
      </c>
      <c r="M159" s="111">
        <v>3050.9</v>
      </c>
    </row>
    <row r="160" spans="5:13">
      <c r="F160" s="111">
        <v>-3.5169199999999998</v>
      </c>
      <c r="G160" s="111">
        <v>33.8018</v>
      </c>
      <c r="H160" s="111">
        <v>-358.62599999999998</v>
      </c>
      <c r="I160" s="111">
        <v>115.36</v>
      </c>
      <c r="J160" s="111">
        <v>1.0582100000000001E-2</v>
      </c>
      <c r="K160" s="111">
        <v>-8.3410600000000004E-5</v>
      </c>
      <c r="L160" s="111">
        <v>0</v>
      </c>
      <c r="M160" s="111">
        <v>454.5</v>
      </c>
    </row>
    <row r="161" spans="6:14">
      <c r="F161" s="111">
        <v>3.9410799999999999</v>
      </c>
      <c r="G161" s="111">
        <v>4.3316699999999999</v>
      </c>
      <c r="H161" s="111">
        <v>1664.49</v>
      </c>
      <c r="I161" s="111">
        <v>-15.448399999999999</v>
      </c>
      <c r="J161" s="111">
        <v>-2083.58</v>
      </c>
      <c r="K161" s="111">
        <v>-44.242699999999999</v>
      </c>
      <c r="L161" s="111">
        <v>0</v>
      </c>
      <c r="M161" s="111">
        <v>552.69299999999998</v>
      </c>
    </row>
    <row r="162" spans="6:14">
      <c r="F162" s="111">
        <v>-10.004</v>
      </c>
      <c r="G162" s="111">
        <v>-79.530600000000007</v>
      </c>
      <c r="H162" s="111">
        <v>-154.422</v>
      </c>
      <c r="I162" s="111">
        <v>-41.378900000000002</v>
      </c>
      <c r="J162" s="111">
        <v>4.1160399999999996E-3</v>
      </c>
      <c r="K162" s="111">
        <v>205.91499999999999</v>
      </c>
      <c r="L162" s="111">
        <v>0</v>
      </c>
      <c r="M162" s="111">
        <v>131.53100000000001</v>
      </c>
    </row>
    <row r="163" spans="6:14">
      <c r="F163" s="111">
        <v>1.4061799999999999E-2</v>
      </c>
      <c r="G163" s="111">
        <v>-0.53769800000000001</v>
      </c>
      <c r="H163" s="111">
        <v>-2.1592699999999998E-6</v>
      </c>
      <c r="I163" s="111">
        <v>6.1375100000000002E-9</v>
      </c>
      <c r="J163" s="111">
        <v>2.9341800000000001E-6</v>
      </c>
      <c r="K163" s="111">
        <v>5.2346400000000001E-7</v>
      </c>
      <c r="L163" s="111">
        <v>138.97</v>
      </c>
      <c r="M163" s="111">
        <v>0.52695999999999998</v>
      </c>
    </row>
    <row r="164" spans="6:14">
      <c r="F164" s="111">
        <v>-4.85031E-5</v>
      </c>
      <c r="G164" s="111">
        <v>-4.2641600000000002E-5</v>
      </c>
      <c r="H164" s="111">
        <v>-5.6115499999999999E-2</v>
      </c>
      <c r="I164" s="111">
        <v>9.4520999999999998E-5</v>
      </c>
      <c r="J164" s="111">
        <v>8.9983599999999997E-2</v>
      </c>
      <c r="K164" s="111">
        <v>4.8910200000000005E-4</v>
      </c>
      <c r="L164" s="111">
        <v>0</v>
      </c>
      <c r="M164" s="111">
        <v>26586.6</v>
      </c>
    </row>
    <row r="165" spans="6:14">
      <c r="F165" s="111"/>
    </row>
    <row r="166" spans="6:14">
      <c r="F166" s="111">
        <f>(F148-F157)/F157</f>
        <v>4.2157721070559923E-7</v>
      </c>
      <c r="G166" s="111">
        <f t="shared" ref="G166:M166" si="47">(G148-G157)/G157</f>
        <v>-1</v>
      </c>
      <c r="H166" s="111" t="e">
        <f t="shared" si="47"/>
        <v>#DIV/0!</v>
      </c>
      <c r="I166" s="111" t="e">
        <f t="shared" si="47"/>
        <v>#DIV/0!</v>
      </c>
      <c r="J166" s="111" t="e">
        <f t="shared" si="47"/>
        <v>#DIV/0!</v>
      </c>
      <c r="K166" s="111" t="e">
        <f t="shared" si="47"/>
        <v>#DIV/0!</v>
      </c>
      <c r="L166" s="111" t="e">
        <f t="shared" si="47"/>
        <v>#DIV/0!</v>
      </c>
      <c r="M166" s="111" t="e">
        <f t="shared" si="47"/>
        <v>#DIV/0!</v>
      </c>
    </row>
    <row r="167" spans="6:14">
      <c r="F167" s="111">
        <f t="shared" ref="F167:M173" si="48">(F149-F158)/F158</f>
        <v>1.6911952625650114E-6</v>
      </c>
      <c r="G167" s="111">
        <f t="shared" si="48"/>
        <v>-3.9538590677198292E-6</v>
      </c>
      <c r="H167" s="111">
        <f t="shared" si="48"/>
        <v>-1</v>
      </c>
      <c r="I167" s="111">
        <f t="shared" si="48"/>
        <v>-1</v>
      </c>
      <c r="J167" s="111">
        <f t="shared" si="48"/>
        <v>-1</v>
      </c>
      <c r="K167" s="111">
        <f t="shared" si="48"/>
        <v>-1</v>
      </c>
      <c r="L167" s="111" t="e">
        <f t="shared" si="48"/>
        <v>#DIV/0!</v>
      </c>
      <c r="M167" s="111">
        <f t="shared" si="48"/>
        <v>2.4517586855143636E-6</v>
      </c>
    </row>
    <row r="168" spans="6:14">
      <c r="F168" s="111">
        <f t="shared" si="48"/>
        <v>-1.7796499641545685E-7</v>
      </c>
      <c r="G168" s="111">
        <f t="shared" si="48"/>
        <v>-3.7263305344899745E-6</v>
      </c>
      <c r="H168" s="111">
        <f t="shared" si="48"/>
        <v>-2.7085464641313112E-5</v>
      </c>
      <c r="I168" s="111">
        <f t="shared" si="48"/>
        <v>-1</v>
      </c>
      <c r="J168" s="111">
        <f t="shared" si="48"/>
        <v>-1</v>
      </c>
      <c r="K168" s="111">
        <f t="shared" si="48"/>
        <v>-1</v>
      </c>
      <c r="L168" s="111" t="e">
        <f t="shared" si="48"/>
        <v>#DIV/0!</v>
      </c>
      <c r="M168" s="111">
        <f t="shared" si="48"/>
        <v>1.3345015057072149E-6</v>
      </c>
    </row>
    <row r="169" spans="6:14">
      <c r="F169" s="111">
        <f t="shared" si="48"/>
        <v>7.6693088628104483E-7</v>
      </c>
      <c r="G169" s="111">
        <f t="shared" si="48"/>
        <v>-3.4741791030802841E-6</v>
      </c>
      <c r="H169" s="111">
        <f t="shared" si="48"/>
        <v>-2.8111009845136197E-5</v>
      </c>
      <c r="I169" s="111">
        <f t="shared" si="48"/>
        <v>-6.1139266676975701E-6</v>
      </c>
      <c r="J169" s="111">
        <f t="shared" si="48"/>
        <v>-1</v>
      </c>
      <c r="K169" s="111">
        <f t="shared" si="48"/>
        <v>-1</v>
      </c>
      <c r="L169" s="111" t="e">
        <f t="shared" si="48"/>
        <v>#DIV/0!</v>
      </c>
      <c r="M169" s="111">
        <f t="shared" si="48"/>
        <v>1.974689430391205E-6</v>
      </c>
    </row>
    <row r="170" spans="6:14">
      <c r="F170" s="111">
        <f t="shared" si="48"/>
        <v>1.2535366173607286E-6</v>
      </c>
      <c r="G170" s="111">
        <f t="shared" si="48"/>
        <v>-4.1488500739311059E-6</v>
      </c>
      <c r="H170" s="111">
        <f t="shared" si="48"/>
        <v>-3.0535658251911229E-5</v>
      </c>
      <c r="I170" s="111">
        <f t="shared" si="48"/>
        <v>-5.8286508609441705E-6</v>
      </c>
      <c r="J170" s="111">
        <f t="shared" si="48"/>
        <v>-2.1523425714831124E-5</v>
      </c>
      <c r="K170" s="111">
        <f t="shared" si="48"/>
        <v>-3.3926564579319514E-6</v>
      </c>
      <c r="L170" s="111" t="e">
        <f t="shared" si="48"/>
        <v>#DIV/0!</v>
      </c>
      <c r="M170" s="111">
        <f t="shared" si="48"/>
        <v>2.0019653894525068E-6</v>
      </c>
    </row>
    <row r="171" spans="6:14">
      <c r="F171" s="111">
        <f t="shared" si="48"/>
        <v>-2.4879496973424627E-6</v>
      </c>
      <c r="G171" s="111">
        <f t="shared" si="48"/>
        <v>-3.5794545984451184E-6</v>
      </c>
      <c r="H171" s="111">
        <f t="shared" si="48"/>
        <v>-2.921385910174683E-5</v>
      </c>
      <c r="I171" s="111">
        <f t="shared" si="48"/>
        <v>-1.8544329291416397E-6</v>
      </c>
      <c r="J171" s="111">
        <f t="shared" si="48"/>
        <v>-1</v>
      </c>
      <c r="K171" s="111">
        <f t="shared" si="48"/>
        <v>-6.967064207210038E-6</v>
      </c>
      <c r="L171" s="111" t="e">
        <f t="shared" si="48"/>
        <v>#DIV/0!</v>
      </c>
      <c r="M171" s="111">
        <f t="shared" si="48"/>
        <v>1.4091459673467717E-6</v>
      </c>
    </row>
    <row r="172" spans="6:14">
      <c r="F172" s="111">
        <f t="shared" si="48"/>
        <v>1.0315009580896585E-6</v>
      </c>
      <c r="G172" s="111">
        <f t="shared" si="48"/>
        <v>-4.6359427748158226E-6</v>
      </c>
      <c r="H172" s="111">
        <f t="shared" si="48"/>
        <v>-1</v>
      </c>
      <c r="I172" s="111">
        <f t="shared" si="48"/>
        <v>-1</v>
      </c>
      <c r="J172" s="111">
        <f t="shared" si="48"/>
        <v>-1</v>
      </c>
      <c r="K172" s="111">
        <f t="shared" si="48"/>
        <v>-1</v>
      </c>
      <c r="L172" s="111">
        <f t="shared" si="48"/>
        <v>3.7906263988587161E-3</v>
      </c>
      <c r="M172" s="111">
        <f t="shared" si="48"/>
        <v>-1</v>
      </c>
    </row>
    <row r="173" spans="6:14">
      <c r="F173" s="111">
        <f t="shared" si="48"/>
        <v>1.6971926373902271E-6</v>
      </c>
      <c r="G173" s="111">
        <f t="shared" si="48"/>
        <v>-1</v>
      </c>
      <c r="H173" s="111">
        <f t="shared" si="48"/>
        <v>-1</v>
      </c>
      <c r="I173" s="111">
        <f t="shared" si="48"/>
        <v>-1</v>
      </c>
      <c r="J173" s="111">
        <f t="shared" si="48"/>
        <v>-1</v>
      </c>
      <c r="K173" s="111">
        <f t="shared" si="48"/>
        <v>-1</v>
      </c>
      <c r="L173" s="111" t="e">
        <f t="shared" si="48"/>
        <v>#DIV/0!</v>
      </c>
      <c r="M173" s="111">
        <f t="shared" si="48"/>
        <v>1.2262675908125648E-6</v>
      </c>
    </row>
    <row r="175" spans="6:14">
      <c r="N175" s="111" t="s">
        <v>188</v>
      </c>
    </row>
    <row r="177" spans="1:18">
      <c r="A177" s="111"/>
      <c r="B177" s="111"/>
      <c r="C177" s="111"/>
      <c r="D177" s="111"/>
      <c r="P177" s="111"/>
      <c r="Q177" s="111"/>
      <c r="R177" s="111"/>
    </row>
    <row r="178" spans="1:18">
      <c r="A178" s="111"/>
      <c r="B178" s="111"/>
      <c r="C178" s="111"/>
      <c r="D178" s="111"/>
      <c r="P178" s="111"/>
      <c r="Q178" s="111"/>
      <c r="R178" s="111"/>
    </row>
    <row r="179" spans="1:18">
      <c r="A179" s="111"/>
      <c r="B179" s="111"/>
      <c r="C179" s="111"/>
      <c r="D179" s="111"/>
      <c r="P179" s="111"/>
      <c r="Q179" s="111"/>
      <c r="R179" s="111"/>
    </row>
    <row r="180" spans="1:18">
      <c r="A180" s="111"/>
      <c r="B180" s="111"/>
      <c r="C180" s="111"/>
      <c r="D180" s="111"/>
      <c r="P180" s="111"/>
      <c r="Q180" s="111"/>
      <c r="R180" s="111"/>
    </row>
    <row r="181" spans="1:18">
      <c r="A181" s="111"/>
      <c r="B181" s="111"/>
      <c r="C181" s="111"/>
      <c r="D181" s="111"/>
      <c r="P181" s="111"/>
      <c r="Q181" s="111"/>
      <c r="R181" s="111"/>
    </row>
    <row r="182" spans="1:18">
      <c r="A182" s="111"/>
      <c r="B182" s="111"/>
      <c r="C182" s="111"/>
      <c r="D182" s="111"/>
      <c r="P182" s="111"/>
      <c r="Q182" s="111"/>
      <c r="R182" s="111"/>
    </row>
    <row r="183" spans="1:18">
      <c r="A183" s="111"/>
      <c r="B183" s="111"/>
      <c r="C183" s="111"/>
      <c r="D183" s="111"/>
      <c r="P183" s="111"/>
      <c r="Q183" s="111"/>
      <c r="R183" s="111"/>
    </row>
    <row r="184" spans="1:18">
      <c r="A184" s="111"/>
      <c r="B184" s="111"/>
      <c r="C184" s="111"/>
      <c r="D184" s="111"/>
      <c r="P184" s="111"/>
      <c r="Q184" s="111"/>
      <c r="R184" s="111"/>
    </row>
  </sheetData>
  <conditionalFormatting sqref="F45:M52">
    <cfRule type="cellIs" dxfId="11" priority="13" operator="notBetween">
      <formula>-1E-20</formula>
      <formula>1E-20</formula>
    </cfRule>
  </conditionalFormatting>
  <conditionalFormatting sqref="F73:M73">
    <cfRule type="cellIs" dxfId="10" priority="12" operator="notBetween">
      <formula>-0.0001</formula>
      <formula>0.0001</formula>
    </cfRule>
  </conditionalFormatting>
  <conditionalFormatting sqref="F115:M122">
    <cfRule type="cellIs" dxfId="9" priority="4" operator="notBetween">
      <formula>-1E-20</formula>
      <formula>1E-20</formula>
    </cfRule>
  </conditionalFormatting>
  <conditionalFormatting sqref="F55:M62">
    <cfRule type="cellIs" dxfId="8" priority="10" operator="notBetween">
      <formula>-1E-20</formula>
      <formula>1E-20</formula>
    </cfRule>
  </conditionalFormatting>
  <conditionalFormatting sqref="F65:M72">
    <cfRule type="cellIs" dxfId="7" priority="9" operator="notBetween">
      <formula>-1E-20</formula>
      <formula>1E-20</formula>
    </cfRule>
  </conditionalFormatting>
  <conditionalFormatting sqref="F75:M82">
    <cfRule type="cellIs" dxfId="6" priority="8" operator="notBetween">
      <formula>-1E-20</formula>
      <formula>1E-20</formula>
    </cfRule>
  </conditionalFormatting>
  <conditionalFormatting sqref="F85:M92">
    <cfRule type="cellIs" dxfId="5" priority="7" operator="notBetween">
      <formula>-1E-20</formula>
      <formula>1E-20</formula>
    </cfRule>
  </conditionalFormatting>
  <conditionalFormatting sqref="F95:M102">
    <cfRule type="cellIs" dxfId="4" priority="6" operator="notBetween">
      <formula>-1E-20</formula>
      <formula>1E-20</formula>
    </cfRule>
  </conditionalFormatting>
  <conditionalFormatting sqref="F105:M112">
    <cfRule type="cellIs" dxfId="3" priority="5" operator="notBetween">
      <formula>-1E-20</formula>
      <formula>1E-20</formula>
    </cfRule>
  </conditionalFormatting>
  <conditionalFormatting sqref="F126:M133">
    <cfRule type="cellIs" dxfId="0" priority="3" operator="notBetween">
      <formula>-0.1</formula>
      <formula>0.1</formula>
    </cfRule>
  </conditionalFormatting>
  <conditionalFormatting sqref="F148:M155">
    <cfRule type="cellIs" dxfId="2" priority="2" operator="notBetween">
      <formula>-1E-20</formula>
      <formula>1E-20</formula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4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N25" sqref="N2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O18" sqref="O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mod.math.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Mod.Math.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2014-08-25T09:23:42Z</dcterms:modified>
</cp:coreProperties>
</file>