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20730" windowHeight="9345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calcPr calcId="145621"/>
</workbook>
</file>

<file path=xl/calcChain.xml><?xml version="1.0" encoding="utf-8"?>
<calcChain xmlns="http://schemas.openxmlformats.org/spreadsheetml/2006/main">
  <c r="D55" i="1" l="1"/>
  <c r="G54" i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E19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X2" i="2" l="1"/>
  <c r="W3" i="2" s="1"/>
  <c r="J2" i="2"/>
  <c r="I3" i="2" s="1"/>
  <c r="J3" i="2" s="1"/>
  <c r="L2" i="2"/>
  <c r="K3" i="2" s="1"/>
  <c r="Z2" i="2"/>
  <c r="Y3" i="2" s="1"/>
  <c r="T2" i="2"/>
  <c r="S3" i="2" s="1"/>
  <c r="N2" i="2"/>
  <c r="M3" i="2" s="1"/>
  <c r="P2" i="2"/>
  <c r="O3" i="2" s="1"/>
  <c r="R2" i="2"/>
  <c r="Q3" i="2" s="1"/>
  <c r="P3" i="2" l="1"/>
  <c r="O4" i="2" s="1"/>
  <c r="L3" i="2"/>
  <c r="K4" i="2" s="1"/>
  <c r="N3" i="2"/>
  <c r="M4" i="2" s="1"/>
  <c r="R3" i="2"/>
  <c r="Q4" i="2" s="1"/>
  <c r="U3" i="2"/>
  <c r="I4" i="2"/>
  <c r="J4" i="2" s="1"/>
  <c r="T3" i="2"/>
  <c r="S4" i="2" s="1"/>
  <c r="X3" i="2"/>
  <c r="W4" i="2" s="1"/>
  <c r="Z3" i="2"/>
  <c r="Y4" i="2" s="1"/>
  <c r="AA3" i="2"/>
  <c r="P4" i="2" l="1"/>
  <c r="O5" i="2" s="1"/>
  <c r="T4" i="2"/>
  <c r="S5" i="2" s="1"/>
  <c r="X4" i="2"/>
  <c r="W5" i="2" s="1"/>
  <c r="R4" i="2"/>
  <c r="Q5" i="2" s="1"/>
  <c r="N4" i="2"/>
  <c r="M5" i="2" s="1"/>
  <c r="I5" i="2"/>
  <c r="J5" i="2" s="1"/>
  <c r="AA4" i="2"/>
  <c r="L4" i="2"/>
  <c r="K5" i="2" s="1"/>
  <c r="Z4" i="2"/>
  <c r="Y5" i="2" s="1"/>
  <c r="U4" i="2"/>
  <c r="P5" i="2" l="1"/>
  <c r="O6" i="2" s="1"/>
  <c r="N5" i="2"/>
  <c r="M6" i="2" s="1"/>
  <c r="R5" i="2"/>
  <c r="Q6" i="2" s="1"/>
  <c r="T5" i="2"/>
  <c r="S6" i="2" s="1"/>
  <c r="X5" i="2"/>
  <c r="W6" i="2" s="1"/>
  <c r="Z5" i="2"/>
  <c r="Y6" i="2" s="1"/>
  <c r="I6" i="2"/>
  <c r="J6" i="2" s="1"/>
  <c r="L5" i="2"/>
  <c r="K6" i="2" s="1"/>
  <c r="AA5" i="2"/>
  <c r="U5" i="2"/>
  <c r="P6" i="2" l="1"/>
  <c r="O7" i="2" s="1"/>
  <c r="R6" i="2"/>
  <c r="Q7" i="2" s="1"/>
  <c r="T6" i="2"/>
  <c r="S7" i="2" s="1"/>
  <c r="Z6" i="2"/>
  <c r="Y7" i="2" s="1"/>
  <c r="X6" i="2"/>
  <c r="W7" i="2" s="1"/>
  <c r="AA6" i="2"/>
  <c r="L6" i="2"/>
  <c r="K7" i="2" s="1"/>
  <c r="N6" i="2"/>
  <c r="M7" i="2" s="1"/>
  <c r="I7" i="2"/>
  <c r="J7" i="2" s="1"/>
  <c r="U6" i="2"/>
  <c r="P7" i="2" l="1"/>
  <c r="O8" i="2" s="1"/>
  <c r="T7" i="2"/>
  <c r="S8" i="2" s="1"/>
  <c r="R7" i="2"/>
  <c r="Q8" i="2" s="1"/>
  <c r="X7" i="2"/>
  <c r="W8" i="2" s="1"/>
  <c r="AA7" i="2"/>
  <c r="Z7" i="2"/>
  <c r="Y8" i="2" s="1"/>
  <c r="N7" i="2"/>
  <c r="M8" i="2" s="1"/>
  <c r="I8" i="2"/>
  <c r="J8" i="2" s="1"/>
  <c r="I9" i="2" s="1"/>
  <c r="J9" i="2" s="1"/>
  <c r="L7" i="2"/>
  <c r="K8" i="2" s="1"/>
  <c r="U7" i="2"/>
  <c r="T8" i="2" l="1"/>
  <c r="S9" i="2" s="1"/>
  <c r="R8" i="2"/>
  <c r="Q9" i="2" s="1"/>
  <c r="P8" i="2"/>
  <c r="O9" i="2" s="1"/>
  <c r="X8" i="2"/>
  <c r="W9" i="2" s="1"/>
  <c r="AA8" i="2"/>
  <c r="Z8" i="2"/>
  <c r="Y9" i="2" s="1"/>
  <c r="L8" i="2"/>
  <c r="K9" i="2" s="1"/>
  <c r="N8" i="2"/>
  <c r="M9" i="2" s="1"/>
  <c r="I10" i="2"/>
  <c r="J10" i="2" s="1"/>
  <c r="U8" i="2"/>
  <c r="T9" i="2" l="1"/>
  <c r="S10" i="2" s="1"/>
  <c r="R9" i="2"/>
  <c r="Q10" i="2" s="1"/>
  <c r="Z9" i="2"/>
  <c r="Y10" i="2" s="1"/>
  <c r="AA9" i="2"/>
  <c r="L9" i="2"/>
  <c r="K10" i="2" s="1"/>
  <c r="X9" i="2"/>
  <c r="W10" i="2" s="1"/>
  <c r="N9" i="2"/>
  <c r="M10" i="2" s="1"/>
  <c r="P9" i="2"/>
  <c r="O10" i="2" s="1"/>
  <c r="I11" i="2"/>
  <c r="J11" i="2" s="1"/>
  <c r="U9" i="2"/>
  <c r="T10" i="2" l="1"/>
  <c r="S11" i="2" s="1"/>
  <c r="Z10" i="2"/>
  <c r="Y11" i="2" s="1"/>
  <c r="L10" i="2"/>
  <c r="K11" i="2" s="1"/>
  <c r="X10" i="2"/>
  <c r="W11" i="2" s="1"/>
  <c r="N10" i="2"/>
  <c r="M11" i="2" s="1"/>
  <c r="AA10" i="2"/>
  <c r="P10" i="2"/>
  <c r="O11" i="2" s="1"/>
  <c r="R10" i="2"/>
  <c r="Q11" i="2" s="1"/>
  <c r="I12" i="2"/>
  <c r="J12" i="2" s="1"/>
  <c r="U10" i="2"/>
  <c r="Z11" i="2" l="1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R11" i="2"/>
  <c r="Q12" i="2" s="1"/>
  <c r="I13" i="2"/>
  <c r="J13" i="2" s="1"/>
  <c r="U11" i="2"/>
  <c r="L12" i="2" l="1"/>
  <c r="K13" i="2" s="1"/>
  <c r="Z12" i="2"/>
  <c r="Y13" i="2" s="1"/>
  <c r="N12" i="2"/>
  <c r="M13" i="2" s="1"/>
  <c r="X12" i="2"/>
  <c r="W13" i="2" s="1"/>
  <c r="P12" i="2"/>
  <c r="O13" i="2" s="1"/>
  <c r="AA12" i="2"/>
  <c r="T12" i="2"/>
  <c r="S13" i="2" s="1"/>
  <c r="R12" i="2"/>
  <c r="Q13" i="2" s="1"/>
  <c r="I14" i="2"/>
  <c r="U12" i="2"/>
  <c r="X13" i="2" l="1"/>
  <c r="W14" i="2" s="1"/>
  <c r="N13" i="2"/>
  <c r="M14" i="2" s="1"/>
  <c r="L13" i="2"/>
  <c r="K14" i="2" s="1"/>
  <c r="AA13" i="2"/>
  <c r="P13" i="2"/>
  <c r="O14" i="2" s="1"/>
  <c r="T13" i="2"/>
  <c r="S14" i="2" s="1"/>
  <c r="R13" i="2"/>
  <c r="Q14" i="2" s="1"/>
  <c r="J14" i="2"/>
  <c r="I15" i="2" s="1"/>
  <c r="J15" i="2" s="1"/>
  <c r="Z13" i="2"/>
  <c r="Y14" i="2" s="1"/>
  <c r="U13" i="2"/>
  <c r="N14" i="2" l="1"/>
  <c r="M15" i="2" s="1"/>
  <c r="X14" i="2"/>
  <c r="W15" i="2" s="1"/>
  <c r="P14" i="2"/>
  <c r="O15" i="2" s="1"/>
  <c r="R14" i="2"/>
  <c r="Q15" i="2" s="1"/>
  <c r="T14" i="2"/>
  <c r="S15" i="2" s="1"/>
  <c r="AA14" i="2"/>
  <c r="Z14" i="2"/>
  <c r="Y15" i="2" s="1"/>
  <c r="L14" i="2"/>
  <c r="K15" i="2" s="1"/>
  <c r="I16" i="2"/>
  <c r="P15" i="2" l="1"/>
  <c r="O16" i="2" s="1"/>
  <c r="N15" i="2"/>
  <c r="M16" i="2" s="1"/>
  <c r="R15" i="2"/>
  <c r="Q16" i="2" s="1"/>
  <c r="Z15" i="2"/>
  <c r="Y16" i="2" s="1"/>
  <c r="T15" i="2"/>
  <c r="S16" i="2" s="1"/>
  <c r="AA15" i="2"/>
  <c r="L15" i="2"/>
  <c r="K16" i="2" s="1"/>
  <c r="X15" i="2"/>
  <c r="W16" i="2" s="1"/>
  <c r="J16" i="2"/>
  <c r="I17" i="2" s="1"/>
  <c r="U14" i="2"/>
  <c r="T16" i="2" l="1"/>
  <c r="S17" i="2" s="1"/>
  <c r="P16" i="2"/>
  <c r="O17" i="2" s="1"/>
  <c r="R16" i="2"/>
  <c r="Q17" i="2" s="1"/>
  <c r="Z16" i="2"/>
  <c r="Y17" i="2" s="1"/>
  <c r="AA16" i="2"/>
  <c r="X16" i="2"/>
  <c r="W17" i="2" s="1"/>
  <c r="L16" i="2"/>
  <c r="K17" i="2" s="1"/>
  <c r="N16" i="2"/>
  <c r="M17" i="2" s="1"/>
  <c r="J17" i="2"/>
  <c r="I18" i="2" s="1"/>
  <c r="U15" i="2"/>
  <c r="P17" i="2" l="1"/>
  <c r="O18" i="2" s="1"/>
  <c r="T17" i="2"/>
  <c r="S18" i="2" s="1"/>
  <c r="Z17" i="2"/>
  <c r="Y18" i="2" s="1"/>
  <c r="R17" i="2"/>
  <c r="Q18" i="2" s="1"/>
  <c r="AA17" i="2"/>
  <c r="L17" i="2"/>
  <c r="K18" i="2" s="1"/>
  <c r="X17" i="2"/>
  <c r="W18" i="2" s="1"/>
  <c r="N17" i="2"/>
  <c r="M18" i="2" s="1"/>
  <c r="J18" i="2"/>
  <c r="I19" i="2" s="1"/>
  <c r="J19" i="2" s="1"/>
  <c r="U16" i="2"/>
  <c r="T18" i="2" l="1"/>
  <c r="S19" i="2" s="1"/>
  <c r="R18" i="2"/>
  <c r="Q19" i="2" s="1"/>
  <c r="L18" i="2"/>
  <c r="K19" i="2" s="1"/>
  <c r="Z18" i="2"/>
  <c r="Y19" i="2" s="1"/>
  <c r="N18" i="2"/>
  <c r="M19" i="2" s="1"/>
  <c r="X18" i="2"/>
  <c r="W19" i="2" s="1"/>
  <c r="P18" i="2"/>
  <c r="O19" i="2" s="1"/>
  <c r="I20" i="2"/>
  <c r="J20" i="2" s="1"/>
  <c r="I21" i="2" s="1"/>
  <c r="J21" i="2" s="1"/>
  <c r="AA18" i="2"/>
  <c r="T19" i="2" l="1"/>
  <c r="S20" i="2" s="1"/>
  <c r="N19" i="2"/>
  <c r="M20" i="2" s="1"/>
  <c r="X19" i="2"/>
  <c r="W20" i="2" s="1"/>
  <c r="L19" i="2"/>
  <c r="K20" i="2" s="1"/>
  <c r="Z19" i="2"/>
  <c r="Y20" i="2" s="1"/>
  <c r="U19" i="2"/>
  <c r="P19" i="2"/>
  <c r="O20" i="2" s="1"/>
  <c r="R19" i="2"/>
  <c r="Q20" i="2" s="1"/>
  <c r="AA19" i="2"/>
  <c r="I22" i="2"/>
  <c r="J22" i="2" s="1"/>
  <c r="U17" i="2"/>
  <c r="T20" i="2" l="1"/>
  <c r="S21" i="2" s="1"/>
  <c r="L20" i="2"/>
  <c r="K21" i="2" s="1"/>
  <c r="X20" i="2"/>
  <c r="W21" i="2" s="1"/>
  <c r="N20" i="2"/>
  <c r="M21" i="2" s="1"/>
  <c r="Z20" i="2"/>
  <c r="Y21" i="2" s="1"/>
  <c r="P20" i="2"/>
  <c r="O21" i="2" s="1"/>
  <c r="R20" i="2"/>
  <c r="Q21" i="2" s="1"/>
  <c r="U20" i="2"/>
  <c r="AA20" i="2"/>
  <c r="I23" i="2"/>
  <c r="J23" i="2" s="1"/>
  <c r="U18" i="2"/>
  <c r="T21" i="2" l="1"/>
  <c r="S22" i="2" s="1"/>
  <c r="L21" i="2"/>
  <c r="K22" i="2" s="1"/>
  <c r="N21" i="2"/>
  <c r="M22" i="2" s="1"/>
  <c r="X21" i="2"/>
  <c r="W22" i="2" s="1"/>
  <c r="P21" i="2"/>
  <c r="O22" i="2" s="1"/>
  <c r="R21" i="2"/>
  <c r="Q22" i="2" s="1"/>
  <c r="Z21" i="2"/>
  <c r="Y22" i="2" s="1"/>
  <c r="U21" i="2"/>
  <c r="AA21" i="2"/>
  <c r="I24" i="2"/>
  <c r="J24" i="2" s="1"/>
  <c r="N22" i="2" l="1"/>
  <c r="M23" i="2" s="1"/>
  <c r="P22" i="2"/>
  <c r="O23" i="2" s="1"/>
  <c r="X22" i="2"/>
  <c r="W23" i="2" s="1"/>
  <c r="L22" i="2"/>
  <c r="K23" i="2" s="1"/>
  <c r="T22" i="2"/>
  <c r="S23" i="2" s="1"/>
  <c r="Z22" i="2"/>
  <c r="Y23" i="2" s="1"/>
  <c r="R22" i="2"/>
  <c r="Q23" i="2" s="1"/>
  <c r="U22" i="2"/>
  <c r="AA22" i="2"/>
  <c r="I25" i="2"/>
  <c r="J25" i="2" s="1"/>
  <c r="N23" i="2" l="1"/>
  <c r="M24" i="2" s="1"/>
  <c r="P23" i="2"/>
  <c r="O24" i="2" s="1"/>
  <c r="T23" i="2"/>
  <c r="S24" i="2" s="1"/>
  <c r="X23" i="2"/>
  <c r="W24" i="2" s="1"/>
  <c r="L23" i="2"/>
  <c r="K24" i="2" s="1"/>
  <c r="Z23" i="2"/>
  <c r="Y24" i="2" s="1"/>
  <c r="U23" i="2"/>
  <c r="R23" i="2"/>
  <c r="Q24" i="2" s="1"/>
  <c r="I26" i="2"/>
  <c r="J26" i="2" s="1"/>
  <c r="AA23" i="2"/>
  <c r="N24" i="2" l="1"/>
  <c r="M25" i="2" s="1"/>
  <c r="P24" i="2"/>
  <c r="O25" i="2" s="1"/>
  <c r="T24" i="2"/>
  <c r="S25" i="2" s="1"/>
  <c r="X24" i="2"/>
  <c r="W25" i="2" s="1"/>
  <c r="L24" i="2"/>
  <c r="K25" i="2" s="1"/>
  <c r="Z24" i="2"/>
  <c r="Y25" i="2" s="1"/>
  <c r="U24" i="2"/>
  <c r="R24" i="2"/>
  <c r="Q25" i="2" s="1"/>
  <c r="AA24" i="2"/>
  <c r="I27" i="2"/>
  <c r="J27" i="2" s="1"/>
  <c r="N25" i="2" l="1"/>
  <c r="M26" i="2" s="1"/>
  <c r="P25" i="2"/>
  <c r="O26" i="2" s="1"/>
  <c r="T25" i="2"/>
  <c r="S26" i="2" s="1"/>
  <c r="R25" i="2"/>
  <c r="Q26" i="2" s="1"/>
  <c r="X25" i="2"/>
  <c r="W26" i="2" s="1"/>
  <c r="L25" i="2"/>
  <c r="K26" i="2" s="1"/>
  <c r="U25" i="2"/>
  <c r="Z25" i="2"/>
  <c r="Y26" i="2" s="1"/>
  <c r="Z26" i="2" s="1"/>
  <c r="Y27" i="2" s="1"/>
  <c r="AA25" i="2"/>
  <c r="I28" i="2"/>
  <c r="H10" i="1"/>
  <c r="I10" i="1" l="1"/>
  <c r="J28" i="2"/>
  <c r="I29" i="2" s="1"/>
  <c r="J29" i="2" s="1"/>
  <c r="P26" i="2"/>
  <c r="O27" i="2" s="1"/>
  <c r="R26" i="2"/>
  <c r="Q27" i="2" s="1"/>
  <c r="T26" i="2"/>
  <c r="S27" i="2" s="1"/>
  <c r="U26" i="2"/>
  <c r="X26" i="2"/>
  <c r="W27" i="2" s="1"/>
  <c r="N26" i="2"/>
  <c r="M27" i="2" s="1"/>
  <c r="L26" i="2"/>
  <c r="K27" i="2" s="1"/>
  <c r="AA26" i="2"/>
  <c r="P27" i="2" l="1"/>
  <c r="O28" i="2" s="1"/>
  <c r="T27" i="2"/>
  <c r="S28" i="2" s="1"/>
  <c r="R27" i="2"/>
  <c r="Q28" i="2" s="1"/>
  <c r="Z27" i="2"/>
  <c r="Y28" i="2" s="1"/>
  <c r="N27" i="2"/>
  <c r="M28" i="2" s="1"/>
  <c r="L27" i="2"/>
  <c r="K28" i="2" s="1"/>
  <c r="X27" i="2"/>
  <c r="W28" i="2" s="1"/>
  <c r="U27" i="2"/>
  <c r="I30" i="2"/>
  <c r="J30" i="2" s="1"/>
  <c r="AA27" i="2"/>
  <c r="H16" i="1"/>
  <c r="H13" i="1"/>
  <c r="H14" i="1"/>
  <c r="H17" i="1"/>
  <c r="H15" i="1"/>
  <c r="H12" i="1"/>
  <c r="H11" i="1"/>
  <c r="I11" i="1" l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Z28" i="2"/>
  <c r="Y29" i="2" s="1"/>
  <c r="P28" i="2"/>
  <c r="O29" i="2" s="1"/>
  <c r="T28" i="2"/>
  <c r="S29" i="2" s="1"/>
  <c r="R28" i="2"/>
  <c r="Q29" i="2" s="1"/>
  <c r="U28" i="2"/>
  <c r="L28" i="2"/>
  <c r="K29" i="2" s="1"/>
  <c r="N28" i="2"/>
  <c r="M29" i="2" s="1"/>
  <c r="X28" i="2"/>
  <c r="W29" i="2" s="1"/>
  <c r="AA28" i="2"/>
  <c r="I31" i="2"/>
  <c r="J31" i="2" s="1"/>
  <c r="H21" i="1" l="1"/>
  <c r="G21" i="1" s="1"/>
  <c r="H18" i="1"/>
  <c r="G18" i="1" s="1"/>
  <c r="H19" i="1"/>
  <c r="Z29" i="2"/>
  <c r="Y30" i="2" s="1"/>
  <c r="L29" i="2"/>
  <c r="K30" i="2" s="1"/>
  <c r="T29" i="2"/>
  <c r="S30" i="2" s="1"/>
  <c r="R29" i="2"/>
  <c r="Q30" i="2" s="1"/>
  <c r="X29" i="2"/>
  <c r="W30" i="2" s="1"/>
  <c r="N29" i="2"/>
  <c r="M30" i="2" s="1"/>
  <c r="P29" i="2"/>
  <c r="O30" i="2" s="1"/>
  <c r="U29" i="2"/>
  <c r="I32" i="2"/>
  <c r="J32" i="2" s="1"/>
  <c r="AA29" i="2"/>
  <c r="G19" i="1" l="1"/>
  <c r="H20" i="1"/>
  <c r="G20" i="1" s="1"/>
  <c r="H22" i="1"/>
  <c r="N30" i="2"/>
  <c r="M31" i="2" s="1"/>
  <c r="L30" i="2"/>
  <c r="K31" i="2" s="1"/>
  <c r="X30" i="2"/>
  <c r="W31" i="2" s="1"/>
  <c r="Z30" i="2"/>
  <c r="Y31" i="2" s="1"/>
  <c r="U30" i="2"/>
  <c r="R30" i="2"/>
  <c r="Q31" i="2" s="1"/>
  <c r="P30" i="2"/>
  <c r="O31" i="2" s="1"/>
  <c r="T30" i="2"/>
  <c r="S31" i="2" s="1"/>
  <c r="I33" i="2"/>
  <c r="J33" i="2" s="1"/>
  <c r="AA30" i="2"/>
  <c r="I22" i="1" l="1"/>
  <c r="P31" i="2"/>
  <c r="O32" i="2" s="1"/>
  <c r="N31" i="2"/>
  <c r="M32" i="2" s="1"/>
  <c r="X31" i="2"/>
  <c r="W32" i="2" s="1"/>
  <c r="L31" i="2"/>
  <c r="K32" i="2" s="1"/>
  <c r="Z31" i="2"/>
  <c r="Y32" i="2" s="1"/>
  <c r="U31" i="2"/>
  <c r="R31" i="2"/>
  <c r="Q32" i="2" s="1"/>
  <c r="T31" i="2"/>
  <c r="S32" i="2" s="1"/>
  <c r="AA31" i="2"/>
  <c r="I34" i="2"/>
  <c r="J34" i="2" s="1"/>
  <c r="T32" i="2" l="1"/>
  <c r="S33" i="2" s="1"/>
  <c r="P32" i="2"/>
  <c r="O33" i="2" s="1"/>
  <c r="N32" i="2"/>
  <c r="M33" i="2" s="1"/>
  <c r="L32" i="2"/>
  <c r="K33" i="2" s="1"/>
  <c r="X32" i="2"/>
  <c r="W33" i="2" s="1"/>
  <c r="Z32" i="2"/>
  <c r="Y33" i="2" s="1"/>
  <c r="R32" i="2"/>
  <c r="Q33" i="2" s="1"/>
  <c r="U32" i="2"/>
  <c r="AA32" i="2"/>
  <c r="I35" i="2"/>
  <c r="J35" i="2" s="1"/>
  <c r="T33" i="2" l="1"/>
  <c r="S34" i="2" s="1"/>
  <c r="R33" i="2"/>
  <c r="Q34" i="2" s="1"/>
  <c r="P33" i="2"/>
  <c r="O34" i="2" s="1"/>
  <c r="N33" i="2"/>
  <c r="M34" i="2" s="1"/>
  <c r="L33" i="2"/>
  <c r="K34" i="2" s="1"/>
  <c r="X33" i="2"/>
  <c r="W34" i="2" s="1"/>
  <c r="U33" i="2"/>
  <c r="Z33" i="2"/>
  <c r="Y34" i="2" s="1"/>
  <c r="AA33" i="2"/>
  <c r="I36" i="2"/>
  <c r="J36" i="2" s="1"/>
  <c r="T34" i="2" l="1"/>
  <c r="S35" i="2" s="1"/>
  <c r="R34" i="2"/>
  <c r="Q35" i="2" s="1"/>
  <c r="Z34" i="2"/>
  <c r="Y35" i="2" s="1"/>
  <c r="P34" i="2"/>
  <c r="O35" i="2" s="1"/>
  <c r="N34" i="2"/>
  <c r="M35" i="2" s="1"/>
  <c r="U34" i="2"/>
  <c r="X34" i="2"/>
  <c r="W35" i="2" s="1"/>
  <c r="L34" i="2"/>
  <c r="K35" i="2" s="1"/>
  <c r="AA34" i="2"/>
  <c r="I37" i="2"/>
  <c r="J37" i="2" s="1"/>
  <c r="T35" i="2" l="1"/>
  <c r="S36" i="2" s="1"/>
  <c r="Z35" i="2"/>
  <c r="Y36" i="2" s="1"/>
  <c r="R35" i="2"/>
  <c r="Q36" i="2" s="1"/>
  <c r="P35" i="2"/>
  <c r="O36" i="2" s="1"/>
  <c r="L35" i="2"/>
  <c r="K36" i="2" s="1"/>
  <c r="X35" i="2"/>
  <c r="W36" i="2" s="1"/>
  <c r="N35" i="2"/>
  <c r="M36" i="2" s="1"/>
  <c r="U35" i="2"/>
  <c r="AA35" i="2"/>
  <c r="I38" i="2"/>
  <c r="J38" i="2" s="1"/>
  <c r="L36" i="2" l="1"/>
  <c r="K37" i="2" s="1"/>
  <c r="Z36" i="2"/>
  <c r="Y37" i="2" s="1"/>
  <c r="R36" i="2"/>
  <c r="Q37" i="2" s="1"/>
  <c r="T36" i="2"/>
  <c r="S37" i="2" s="1"/>
  <c r="P36" i="2"/>
  <c r="O37" i="2" s="1"/>
  <c r="X36" i="2"/>
  <c r="W37" i="2" s="1"/>
  <c r="U36" i="2"/>
  <c r="N36" i="2"/>
  <c r="M37" i="2" s="1"/>
  <c r="AA36" i="2"/>
  <c r="I39" i="2"/>
  <c r="J39" i="2" s="1"/>
  <c r="X37" i="2" l="1"/>
  <c r="W38" i="2" s="1"/>
  <c r="N37" i="2"/>
  <c r="M38" i="2" s="1"/>
  <c r="L37" i="2"/>
  <c r="K38" i="2" s="1"/>
  <c r="Z37" i="2"/>
  <c r="Y38" i="2" s="1"/>
  <c r="R37" i="2"/>
  <c r="Q38" i="2" s="1"/>
  <c r="T37" i="2"/>
  <c r="S38" i="2" s="1"/>
  <c r="P37" i="2"/>
  <c r="O38" i="2" s="1"/>
  <c r="U37" i="2"/>
  <c r="AA37" i="2"/>
  <c r="I40" i="2"/>
  <c r="J40" i="2" s="1"/>
  <c r="N38" i="2" l="1"/>
  <c r="M39" i="2" s="1"/>
  <c r="P38" i="2"/>
  <c r="O39" i="2" s="1"/>
  <c r="L38" i="2"/>
  <c r="K39" i="2" s="1"/>
  <c r="X38" i="2"/>
  <c r="W39" i="2" s="1"/>
  <c r="Z38" i="2"/>
  <c r="Y39" i="2" s="1"/>
  <c r="T38" i="2"/>
  <c r="S39" i="2" s="1"/>
  <c r="T39" i="2" s="1"/>
  <c r="S40" i="2" s="1"/>
  <c r="U38" i="2"/>
  <c r="R38" i="2"/>
  <c r="Q39" i="2" s="1"/>
  <c r="AA38" i="2"/>
  <c r="I41" i="2"/>
  <c r="J41" i="2" s="1"/>
  <c r="X39" i="2" l="1"/>
  <c r="W40" i="2" s="1"/>
  <c r="L39" i="2"/>
  <c r="K40" i="2" s="1"/>
  <c r="P39" i="2"/>
  <c r="O40" i="2" s="1"/>
  <c r="T40" i="2" s="1"/>
  <c r="S41" i="2" s="1"/>
  <c r="N39" i="2"/>
  <c r="M40" i="2" s="1"/>
  <c r="Z39" i="2"/>
  <c r="Y40" i="2" s="1"/>
  <c r="R39" i="2"/>
  <c r="Q40" i="2" s="1"/>
  <c r="U39" i="2"/>
  <c r="AA39" i="2"/>
  <c r="I42" i="2"/>
  <c r="J42" i="2" s="1"/>
  <c r="L40" i="2" l="1"/>
  <c r="K41" i="2" s="1"/>
  <c r="X40" i="2"/>
  <c r="W41" i="2" s="1"/>
  <c r="P40" i="2"/>
  <c r="O41" i="2" s="1"/>
  <c r="T41" i="2" s="1"/>
  <c r="S42" i="2" s="1"/>
  <c r="N40" i="2"/>
  <c r="M41" i="2" s="1"/>
  <c r="Z40" i="2"/>
  <c r="Y41" i="2" s="1"/>
  <c r="U40" i="2"/>
  <c r="R40" i="2"/>
  <c r="Q41" i="2" s="1"/>
  <c r="R41" i="2" s="1"/>
  <c r="Q42" i="2" s="1"/>
  <c r="AA40" i="2"/>
  <c r="I43" i="2"/>
  <c r="J43" i="2" s="1"/>
  <c r="P41" i="2" l="1"/>
  <c r="O42" i="2" s="1"/>
  <c r="R42" i="2" s="1"/>
  <c r="Q43" i="2" s="1"/>
  <c r="L41" i="2"/>
  <c r="K42" i="2" s="1"/>
  <c r="X41" i="2"/>
  <c r="W42" i="2" s="1"/>
  <c r="N41" i="2"/>
  <c r="M42" i="2" s="1"/>
  <c r="Z41" i="2"/>
  <c r="Y42" i="2" s="1"/>
  <c r="U41" i="2"/>
  <c r="AA41" i="2"/>
  <c r="I44" i="2"/>
  <c r="J44" i="2" s="1"/>
  <c r="P42" i="2" l="1"/>
  <c r="O43" i="2" s="1"/>
  <c r="R43" i="2" s="1"/>
  <c r="Q44" i="2" s="1"/>
  <c r="T42" i="2"/>
  <c r="S43" i="2" s="1"/>
  <c r="X42" i="2"/>
  <c r="W43" i="2" s="1"/>
  <c r="L42" i="2"/>
  <c r="K43" i="2" s="1"/>
  <c r="U42" i="2"/>
  <c r="N42" i="2"/>
  <c r="M43" i="2" s="1"/>
  <c r="Z42" i="2"/>
  <c r="Y43" i="2" s="1"/>
  <c r="Z43" i="2" s="1"/>
  <c r="Y44" i="2" s="1"/>
  <c r="AA42" i="2"/>
  <c r="I45" i="2"/>
  <c r="J45" i="2" s="1"/>
  <c r="P43" i="2" l="1"/>
  <c r="O44" i="2" s="1"/>
  <c r="R44" i="2" s="1"/>
  <c r="Q45" i="2" s="1"/>
  <c r="T43" i="2"/>
  <c r="S44" i="2" s="1"/>
  <c r="X43" i="2"/>
  <c r="W44" i="2" s="1"/>
  <c r="N43" i="2"/>
  <c r="M44" i="2" s="1"/>
  <c r="U43" i="2"/>
  <c r="L43" i="2"/>
  <c r="K44" i="2" s="1"/>
  <c r="Z44" i="2"/>
  <c r="Y45" i="2" s="1"/>
  <c r="AA43" i="2"/>
  <c r="I46" i="2"/>
  <c r="J46" i="2" s="1"/>
  <c r="P44" i="2" l="1"/>
  <c r="O45" i="2" s="1"/>
  <c r="R45" i="2" s="1"/>
  <c r="Q46" i="2" s="1"/>
  <c r="T44" i="2"/>
  <c r="S45" i="2" s="1"/>
  <c r="N44" i="2"/>
  <c r="M45" i="2" s="1"/>
  <c r="L44" i="2"/>
  <c r="K45" i="2" s="1"/>
  <c r="U44" i="2"/>
  <c r="X44" i="2"/>
  <c r="W45" i="2" s="1"/>
  <c r="Z45" i="2"/>
  <c r="Y46" i="2" s="1"/>
  <c r="AA44" i="2"/>
  <c r="I47" i="2"/>
  <c r="J47" i="2" s="1"/>
  <c r="P45" i="2" l="1"/>
  <c r="O46" i="2" s="1"/>
  <c r="T45" i="2"/>
  <c r="S46" i="2" s="1"/>
  <c r="U45" i="2"/>
  <c r="L45" i="2"/>
  <c r="K46" i="2" s="1"/>
  <c r="L46" i="2" s="1"/>
  <c r="K47" i="2" s="1"/>
  <c r="N45" i="2"/>
  <c r="M46" i="2" s="1"/>
  <c r="X45" i="2"/>
  <c r="W46" i="2" s="1"/>
  <c r="Z46" i="2"/>
  <c r="Y47" i="2" s="1"/>
  <c r="AA45" i="2"/>
  <c r="I48" i="2"/>
  <c r="J48" i="2" s="1"/>
  <c r="T46" i="2" l="1"/>
  <c r="S47" i="2" s="1"/>
  <c r="P46" i="2"/>
  <c r="O47" i="2" s="1"/>
  <c r="R46" i="2"/>
  <c r="Q47" i="2" s="1"/>
  <c r="X46" i="2"/>
  <c r="W47" i="2" s="1"/>
  <c r="X47" i="2" s="1"/>
  <c r="U46" i="2"/>
  <c r="N46" i="2"/>
  <c r="M47" i="2" s="1"/>
  <c r="N47" i="2" s="1"/>
  <c r="M48" i="2" s="1"/>
  <c r="Z47" i="2"/>
  <c r="Y48" i="2" s="1"/>
  <c r="L47" i="2"/>
  <c r="K48" i="2" s="1"/>
  <c r="AA46" i="2"/>
  <c r="I49" i="2"/>
  <c r="J49" i="2" s="1"/>
  <c r="T47" i="2" l="1"/>
  <c r="S48" i="2" s="1"/>
  <c r="R47" i="2"/>
  <c r="Q48" i="2" s="1"/>
  <c r="Z48" i="2" s="1"/>
  <c r="Y49" i="2" s="1"/>
  <c r="P47" i="2"/>
  <c r="O48" i="2" s="1"/>
  <c r="P48" i="2" s="1"/>
  <c r="O49" i="2" s="1"/>
  <c r="U47" i="2"/>
  <c r="L48" i="2"/>
  <c r="K49" i="2" s="1"/>
  <c r="N48" i="2"/>
  <c r="M49" i="2" s="1"/>
  <c r="AA47" i="2"/>
  <c r="W48" i="2"/>
  <c r="X48" i="2" s="1"/>
  <c r="I50" i="2"/>
  <c r="J50" i="2" s="1"/>
  <c r="U48" i="2" l="1"/>
  <c r="T48" i="2"/>
  <c r="S49" i="2" s="1"/>
  <c r="T49" i="2" s="1"/>
  <c r="S50" i="2" s="1"/>
  <c r="R48" i="2"/>
  <c r="Q49" i="2" s="1"/>
  <c r="R49" i="2" s="1"/>
  <c r="Q50" i="2" s="1"/>
  <c r="L49" i="2"/>
  <c r="K50" i="2" s="1"/>
  <c r="P49" i="2"/>
  <c r="O50" i="2" s="1"/>
  <c r="N49" i="2"/>
  <c r="M50" i="2" s="1"/>
  <c r="W49" i="2"/>
  <c r="X49" i="2" s="1"/>
  <c r="AA48" i="2"/>
  <c r="I51" i="2"/>
  <c r="J51" i="2" s="1"/>
  <c r="Z49" i="2" l="1"/>
  <c r="Y50" i="2" s="1"/>
  <c r="L50" i="2" s="1"/>
  <c r="K51" i="2" s="1"/>
  <c r="U49" i="2"/>
  <c r="T50" i="2"/>
  <c r="S51" i="2" s="1"/>
  <c r="R50" i="2"/>
  <c r="Q51" i="2" s="1"/>
  <c r="P50" i="2"/>
  <c r="O51" i="2" s="1"/>
  <c r="N50" i="2"/>
  <c r="M51" i="2" s="1"/>
  <c r="U50" i="2"/>
  <c r="W50" i="2"/>
  <c r="X50" i="2" s="1"/>
  <c r="AA49" i="2"/>
  <c r="I52" i="2"/>
  <c r="J52" i="2" s="1"/>
  <c r="Z50" i="2" l="1"/>
  <c r="Y51" i="2" s="1"/>
  <c r="L51" i="2" s="1"/>
  <c r="K52" i="2" s="1"/>
  <c r="T51" i="2"/>
  <c r="S52" i="2" s="1"/>
  <c r="R51" i="2"/>
  <c r="Q52" i="2" s="1"/>
  <c r="P51" i="2"/>
  <c r="O52" i="2" s="1"/>
  <c r="N51" i="2"/>
  <c r="M52" i="2" s="1"/>
  <c r="U51" i="2"/>
  <c r="W51" i="2"/>
  <c r="X51" i="2" s="1"/>
  <c r="AA50" i="2"/>
  <c r="I53" i="2"/>
  <c r="J53" i="2" s="1"/>
  <c r="Z51" i="2" l="1"/>
  <c r="Y52" i="2" s="1"/>
  <c r="Z52" i="2" s="1"/>
  <c r="Y53" i="2" s="1"/>
  <c r="T52" i="2"/>
  <c r="S53" i="2" s="1"/>
  <c r="R52" i="2"/>
  <c r="Q53" i="2" s="1"/>
  <c r="N52" i="2"/>
  <c r="M53" i="2" s="1"/>
  <c r="P52" i="2"/>
  <c r="O53" i="2" s="1"/>
  <c r="U52" i="2"/>
  <c r="AA51" i="2"/>
  <c r="W52" i="2"/>
  <c r="X52" i="2" s="1"/>
  <c r="I54" i="2"/>
  <c r="J54" i="2" s="1"/>
  <c r="L52" i="2" l="1"/>
  <c r="K53" i="2" s="1"/>
  <c r="L53" i="2" s="1"/>
  <c r="K54" i="2" s="1"/>
  <c r="Z53" i="2"/>
  <c r="Y54" i="2" s="1"/>
  <c r="T53" i="2"/>
  <c r="S54" i="2" s="1"/>
  <c r="R53" i="2"/>
  <c r="Q54" i="2" s="1"/>
  <c r="P53" i="2"/>
  <c r="O54" i="2" s="1"/>
  <c r="AA52" i="2"/>
  <c r="W53" i="2"/>
  <c r="I55" i="2"/>
  <c r="J55" i="2" s="1"/>
  <c r="U53" i="2" l="1"/>
  <c r="X53" i="2"/>
  <c r="W54" i="2" s="1"/>
  <c r="X54" i="2" s="1"/>
  <c r="N53" i="2"/>
  <c r="M54" i="2" s="1"/>
  <c r="U54" i="2" s="1"/>
  <c r="T54" i="2"/>
  <c r="S55" i="2" s="1"/>
  <c r="Z54" i="2"/>
  <c r="Y55" i="2" s="1"/>
  <c r="R54" i="2"/>
  <c r="Q55" i="2" s="1"/>
  <c r="L54" i="2"/>
  <c r="K55" i="2" s="1"/>
  <c r="AA53" i="2"/>
  <c r="I56" i="2"/>
  <c r="J56" i="2" s="1"/>
  <c r="P54" i="2" l="1"/>
  <c r="O55" i="2" s="1"/>
  <c r="T55" i="2" s="1"/>
  <c r="S56" i="2" s="1"/>
  <c r="N54" i="2"/>
  <c r="M55" i="2" s="1"/>
  <c r="N55" i="2" s="1"/>
  <c r="M56" i="2" s="1"/>
  <c r="Z55" i="2"/>
  <c r="Y56" i="2" s="1"/>
  <c r="L55" i="2"/>
  <c r="K56" i="2" s="1"/>
  <c r="AA54" i="2"/>
  <c r="W55" i="2"/>
  <c r="X55" i="2" s="1"/>
  <c r="I57" i="2"/>
  <c r="J57" i="2" s="1"/>
  <c r="R55" i="2" l="1"/>
  <c r="Q56" i="2" s="1"/>
  <c r="Z56" i="2" s="1"/>
  <c r="Y57" i="2" s="1"/>
  <c r="U55" i="2"/>
  <c r="P55" i="2"/>
  <c r="O56" i="2" s="1"/>
  <c r="T56" i="2" s="1"/>
  <c r="S57" i="2" s="1"/>
  <c r="L56" i="2"/>
  <c r="K57" i="2" s="1"/>
  <c r="N56" i="2"/>
  <c r="M57" i="2" s="1"/>
  <c r="W56" i="2"/>
  <c r="X56" i="2" s="1"/>
  <c r="AA55" i="2"/>
  <c r="I58" i="2"/>
  <c r="J58" i="2" s="1"/>
  <c r="U56" i="2" l="1"/>
  <c r="R56" i="2"/>
  <c r="Q57" i="2" s="1"/>
  <c r="Z57" i="2" s="1"/>
  <c r="Y58" i="2" s="1"/>
  <c r="P56" i="2"/>
  <c r="O57" i="2" s="1"/>
  <c r="T57" i="2" s="1"/>
  <c r="S58" i="2" s="1"/>
  <c r="N57" i="2"/>
  <c r="M58" i="2" s="1"/>
  <c r="L57" i="2"/>
  <c r="K58" i="2" s="1"/>
  <c r="W57" i="2"/>
  <c r="X57" i="2" s="1"/>
  <c r="AA56" i="2"/>
  <c r="I59" i="2"/>
  <c r="J59" i="2" s="1"/>
  <c r="P57" i="2" l="1"/>
  <c r="O58" i="2" s="1"/>
  <c r="P58" i="2" s="1"/>
  <c r="O59" i="2" s="1"/>
  <c r="U57" i="2"/>
  <c r="R57" i="2"/>
  <c r="Q58" i="2" s="1"/>
  <c r="Z58" i="2" s="1"/>
  <c r="Y59" i="2" s="1"/>
  <c r="L58" i="2"/>
  <c r="K59" i="2" s="1"/>
  <c r="N58" i="2"/>
  <c r="M59" i="2" s="1"/>
  <c r="AA57" i="2"/>
  <c r="W58" i="2"/>
  <c r="X58" i="2" s="1"/>
  <c r="I60" i="2"/>
  <c r="J60" i="2" s="1"/>
  <c r="T58" i="2" l="1"/>
  <c r="S59" i="2" s="1"/>
  <c r="T59" i="2" s="1"/>
  <c r="S60" i="2" s="1"/>
  <c r="R58" i="2"/>
  <c r="Q59" i="2" s="1"/>
  <c r="Z59" i="2" s="1"/>
  <c r="Y60" i="2" s="1"/>
  <c r="U58" i="2"/>
  <c r="N59" i="2"/>
  <c r="M60" i="2" s="1"/>
  <c r="P59" i="2"/>
  <c r="O60" i="2" s="1"/>
  <c r="L59" i="2"/>
  <c r="K60" i="2" s="1"/>
  <c r="W59" i="2"/>
  <c r="X59" i="2" s="1"/>
  <c r="AA58" i="2"/>
  <c r="I61" i="2"/>
  <c r="J61" i="2" s="1"/>
  <c r="U59" i="2" l="1"/>
  <c r="R59" i="2"/>
  <c r="Q60" i="2" s="1"/>
  <c r="Z60" i="2" s="1"/>
  <c r="Y61" i="2" s="1"/>
  <c r="T60" i="2"/>
  <c r="S61" i="2" s="1"/>
  <c r="P60" i="2"/>
  <c r="O61" i="2" s="1"/>
  <c r="N60" i="2"/>
  <c r="M61" i="2" s="1"/>
  <c r="L60" i="2"/>
  <c r="K61" i="2" s="1"/>
  <c r="W60" i="2"/>
  <c r="X60" i="2" s="1"/>
  <c r="AA59" i="2"/>
  <c r="I62" i="2"/>
  <c r="J62" i="2" s="1"/>
  <c r="U60" i="2" l="1"/>
  <c r="R60" i="2"/>
  <c r="Q61" i="2" s="1"/>
  <c r="R61" i="2" s="1"/>
  <c r="Q62" i="2" s="1"/>
  <c r="T61" i="2"/>
  <c r="S62" i="2" s="1"/>
  <c r="P61" i="2"/>
  <c r="O62" i="2" s="1"/>
  <c r="N61" i="2"/>
  <c r="M62" i="2" s="1"/>
  <c r="L61" i="2"/>
  <c r="K62" i="2" s="1"/>
  <c r="W61" i="2"/>
  <c r="X61" i="2" s="1"/>
  <c r="AA60" i="2"/>
  <c r="I63" i="2"/>
  <c r="J63" i="2" s="1"/>
  <c r="Z61" i="2" l="1"/>
  <c r="Y62" i="2" s="1"/>
  <c r="Z62" i="2" s="1"/>
  <c r="Y63" i="2" s="1"/>
  <c r="U61" i="2"/>
  <c r="T62" i="2"/>
  <c r="S63" i="2" s="1"/>
  <c r="R62" i="2"/>
  <c r="Q63" i="2" s="1"/>
  <c r="P62" i="2"/>
  <c r="O63" i="2" s="1"/>
  <c r="N62" i="2"/>
  <c r="M63" i="2" s="1"/>
  <c r="U62" i="2"/>
  <c r="AA61" i="2"/>
  <c r="W62" i="2"/>
  <c r="X62" i="2" s="1"/>
  <c r="I64" i="2"/>
  <c r="J64" i="2" s="1"/>
  <c r="L62" i="2" l="1"/>
  <c r="K63" i="2" s="1"/>
  <c r="N63" i="2" s="1"/>
  <c r="M64" i="2" s="1"/>
  <c r="T63" i="2"/>
  <c r="S64" i="2" s="1"/>
  <c r="Z63" i="2"/>
  <c r="Y64" i="2" s="1"/>
  <c r="R63" i="2"/>
  <c r="Q64" i="2" s="1"/>
  <c r="P63" i="2"/>
  <c r="O64" i="2" s="1"/>
  <c r="AA62" i="2"/>
  <c r="W63" i="2"/>
  <c r="I65" i="2"/>
  <c r="J65" i="2" s="1"/>
  <c r="U63" i="2" l="1"/>
  <c r="L63" i="2"/>
  <c r="K64" i="2" s="1"/>
  <c r="L64" i="2" s="1"/>
  <c r="K65" i="2" s="1"/>
  <c r="X63" i="2"/>
  <c r="W64" i="2" s="1"/>
  <c r="Z64" i="2"/>
  <c r="Y65" i="2" s="1"/>
  <c r="T64" i="2"/>
  <c r="S65" i="2" s="1"/>
  <c r="R64" i="2"/>
  <c r="Q65" i="2" s="1"/>
  <c r="P64" i="2"/>
  <c r="O65" i="2" s="1"/>
  <c r="AA63" i="2"/>
  <c r="I66" i="2"/>
  <c r="J66" i="2" s="1"/>
  <c r="N64" i="2" l="1"/>
  <c r="M65" i="2" s="1"/>
  <c r="N65" i="2" s="1"/>
  <c r="M66" i="2" s="1"/>
  <c r="U64" i="2"/>
  <c r="X64" i="2"/>
  <c r="W65" i="2" s="1"/>
  <c r="X65" i="2" s="1"/>
  <c r="T65" i="2"/>
  <c r="S66" i="2" s="1"/>
  <c r="Z65" i="2"/>
  <c r="Y66" i="2" s="1"/>
  <c r="R65" i="2"/>
  <c r="Q66" i="2" s="1"/>
  <c r="L65" i="2"/>
  <c r="K66" i="2" s="1"/>
  <c r="AA64" i="2"/>
  <c r="I67" i="2"/>
  <c r="J67" i="2" s="1"/>
  <c r="U65" i="2" l="1"/>
  <c r="P65" i="2"/>
  <c r="O66" i="2" s="1"/>
  <c r="T66" i="2" s="1"/>
  <c r="S67" i="2" s="1"/>
  <c r="Z66" i="2"/>
  <c r="Y67" i="2" s="1"/>
  <c r="L66" i="2"/>
  <c r="K67" i="2" s="1"/>
  <c r="N66" i="2"/>
  <c r="M67" i="2" s="1"/>
  <c r="W66" i="2"/>
  <c r="X66" i="2" s="1"/>
  <c r="AA65" i="2"/>
  <c r="I68" i="2"/>
  <c r="J68" i="2" s="1"/>
  <c r="U66" i="2" l="1"/>
  <c r="P66" i="2"/>
  <c r="O67" i="2" s="1"/>
  <c r="P67" i="2" s="1"/>
  <c r="O68" i="2" s="1"/>
  <c r="R66" i="2"/>
  <c r="Q67" i="2" s="1"/>
  <c r="Z67" i="2" s="1"/>
  <c r="Y68" i="2" s="1"/>
  <c r="N67" i="2"/>
  <c r="M68" i="2" s="1"/>
  <c r="L67" i="2"/>
  <c r="K68" i="2" s="1"/>
  <c r="AA66" i="2"/>
  <c r="W67" i="2"/>
  <c r="X67" i="2" s="1"/>
  <c r="I69" i="2"/>
  <c r="J69" i="2" s="1"/>
  <c r="T67" i="2" l="1"/>
  <c r="S68" i="2" s="1"/>
  <c r="T68" i="2" s="1"/>
  <c r="S69" i="2" s="1"/>
  <c r="R67" i="2"/>
  <c r="Q68" i="2" s="1"/>
  <c r="Z68" i="2" s="1"/>
  <c r="Y69" i="2" s="1"/>
  <c r="U67" i="2"/>
  <c r="P68" i="2"/>
  <c r="O69" i="2" s="1"/>
  <c r="N68" i="2"/>
  <c r="M69" i="2" s="1"/>
  <c r="L68" i="2"/>
  <c r="K69" i="2" s="1"/>
  <c r="W68" i="2"/>
  <c r="X68" i="2" s="1"/>
  <c r="AA67" i="2"/>
  <c r="I70" i="2"/>
  <c r="J70" i="2" s="1"/>
  <c r="R68" i="2" l="1"/>
  <c r="Q69" i="2" s="1"/>
  <c r="R69" i="2" s="1"/>
  <c r="Q70" i="2" s="1"/>
  <c r="U68" i="2"/>
  <c r="T69" i="2"/>
  <c r="S70" i="2" s="1"/>
  <c r="L69" i="2"/>
  <c r="K70" i="2" s="1"/>
  <c r="N69" i="2"/>
  <c r="M70" i="2" s="1"/>
  <c r="P69" i="2"/>
  <c r="O70" i="2" s="1"/>
  <c r="W69" i="2"/>
  <c r="X69" i="2" s="1"/>
  <c r="AA68" i="2"/>
  <c r="I71" i="2"/>
  <c r="J71" i="2" s="1"/>
  <c r="U69" i="2" l="1"/>
  <c r="Z69" i="2"/>
  <c r="Y70" i="2" s="1"/>
  <c r="Z70" i="2" s="1"/>
  <c r="Y71" i="2" s="1"/>
  <c r="R70" i="2"/>
  <c r="Q71" i="2" s="1"/>
  <c r="T70" i="2"/>
  <c r="S71" i="2" s="1"/>
  <c r="P70" i="2"/>
  <c r="O71" i="2" s="1"/>
  <c r="N70" i="2"/>
  <c r="M71" i="2" s="1"/>
  <c r="U70" i="2"/>
  <c r="W70" i="2"/>
  <c r="X70" i="2" s="1"/>
  <c r="AA69" i="2"/>
  <c r="I72" i="2"/>
  <c r="J72" i="2" s="1"/>
  <c r="L70" i="2" l="1"/>
  <c r="K71" i="2" s="1"/>
  <c r="L71" i="2" s="1"/>
  <c r="K72" i="2" s="1"/>
  <c r="T71" i="2"/>
  <c r="S72" i="2" s="1"/>
  <c r="Z71" i="2"/>
  <c r="Y72" i="2" s="1"/>
  <c r="R71" i="2"/>
  <c r="Q72" i="2" s="1"/>
  <c r="P71" i="2"/>
  <c r="O72" i="2" s="1"/>
  <c r="AA70" i="2"/>
  <c r="W71" i="2"/>
  <c r="I73" i="2"/>
  <c r="J73" i="2" s="1"/>
  <c r="N71" i="2" l="1"/>
  <c r="M72" i="2" s="1"/>
  <c r="P72" i="2" s="1"/>
  <c r="O73" i="2" s="1"/>
  <c r="X71" i="2"/>
  <c r="W72" i="2" s="1"/>
  <c r="X72" i="2" s="1"/>
  <c r="U71" i="2"/>
  <c r="R72" i="2"/>
  <c r="Q73" i="2" s="1"/>
  <c r="Z72" i="2"/>
  <c r="Y73" i="2" s="1"/>
  <c r="T72" i="2"/>
  <c r="S73" i="2" s="1"/>
  <c r="L72" i="2"/>
  <c r="K73" i="2" s="1"/>
  <c r="AA71" i="2"/>
  <c r="I74" i="2"/>
  <c r="J74" i="2" s="1"/>
  <c r="U72" i="2" l="1"/>
  <c r="N72" i="2"/>
  <c r="M73" i="2" s="1"/>
  <c r="U73" i="2" s="1"/>
  <c r="R73" i="2"/>
  <c r="Q74" i="2" s="1"/>
  <c r="Z73" i="2"/>
  <c r="Y74" i="2" s="1"/>
  <c r="T73" i="2"/>
  <c r="S74" i="2" s="1"/>
  <c r="L73" i="2"/>
  <c r="K74" i="2" s="1"/>
  <c r="AA72" i="2"/>
  <c r="W73" i="2"/>
  <c r="X73" i="2" s="1"/>
  <c r="I75" i="2"/>
  <c r="J75" i="2" s="1"/>
  <c r="P73" i="2" l="1"/>
  <c r="O74" i="2" s="1"/>
  <c r="R74" i="2" s="1"/>
  <c r="Q75" i="2" s="1"/>
  <c r="N73" i="2"/>
  <c r="M74" i="2" s="1"/>
  <c r="Z74" i="2"/>
  <c r="Y75" i="2" s="1"/>
  <c r="L74" i="2"/>
  <c r="K75" i="2" s="1"/>
  <c r="T74" i="2"/>
  <c r="S75" i="2" s="1"/>
  <c r="AA73" i="2"/>
  <c r="W74" i="2"/>
  <c r="X74" i="2" s="1"/>
  <c r="I76" i="2"/>
  <c r="J76" i="2" s="1"/>
  <c r="U74" i="2" l="1"/>
  <c r="P74" i="2"/>
  <c r="O75" i="2" s="1"/>
  <c r="T75" i="2" s="1"/>
  <c r="S76" i="2" s="1"/>
  <c r="N74" i="2"/>
  <c r="M75" i="2" s="1"/>
  <c r="N75" i="2" s="1"/>
  <c r="M76" i="2" s="1"/>
  <c r="Z75" i="2"/>
  <c r="Y76" i="2" s="1"/>
  <c r="L75" i="2"/>
  <c r="K76" i="2" s="1"/>
  <c r="W75" i="2"/>
  <c r="X75" i="2" s="1"/>
  <c r="AA74" i="2"/>
  <c r="I77" i="2"/>
  <c r="J77" i="2" s="1"/>
  <c r="R75" i="2" l="1"/>
  <c r="Q76" i="2" s="1"/>
  <c r="U75" i="2"/>
  <c r="P75" i="2"/>
  <c r="O76" i="2" s="1"/>
  <c r="Z76" i="2"/>
  <c r="Y77" i="2" s="1"/>
  <c r="N76" i="2"/>
  <c r="M77" i="2" s="1"/>
  <c r="L76" i="2"/>
  <c r="K77" i="2" s="1"/>
  <c r="W76" i="2"/>
  <c r="X76" i="2" s="1"/>
  <c r="AA75" i="2"/>
  <c r="I78" i="2"/>
  <c r="J78" i="2" s="1"/>
  <c r="R76" i="2" l="1"/>
  <c r="Q77" i="2" s="1"/>
  <c r="Z77" i="2" s="1"/>
  <c r="Y78" i="2" s="1"/>
  <c r="P76" i="2"/>
  <c r="O77" i="2" s="1"/>
  <c r="U76" i="2"/>
  <c r="T76" i="2"/>
  <c r="S77" i="2" s="1"/>
  <c r="N77" i="2"/>
  <c r="M78" i="2" s="1"/>
  <c r="L77" i="2"/>
  <c r="K78" i="2" s="1"/>
  <c r="AA76" i="2"/>
  <c r="W77" i="2"/>
  <c r="X77" i="2" s="1"/>
  <c r="I79" i="2"/>
  <c r="J79" i="2" s="1"/>
  <c r="T77" i="2" l="1"/>
  <c r="S78" i="2" s="1"/>
  <c r="U77" i="2"/>
  <c r="P77" i="2"/>
  <c r="O78" i="2" s="1"/>
  <c r="P78" i="2" s="1"/>
  <c r="O79" i="2" s="1"/>
  <c r="R77" i="2"/>
  <c r="Q78" i="2" s="1"/>
  <c r="R78" i="2" s="1"/>
  <c r="Q79" i="2" s="1"/>
  <c r="L78" i="2"/>
  <c r="K79" i="2" s="1"/>
  <c r="N78" i="2"/>
  <c r="M79" i="2" s="1"/>
  <c r="W78" i="2"/>
  <c r="X78" i="2" s="1"/>
  <c r="AA77" i="2"/>
  <c r="I80" i="2"/>
  <c r="J80" i="2" s="1"/>
  <c r="T78" i="2" l="1"/>
  <c r="S79" i="2" s="1"/>
  <c r="Z78" i="2"/>
  <c r="Y79" i="2" s="1"/>
  <c r="Z79" i="2" s="1"/>
  <c r="Y80" i="2" s="1"/>
  <c r="U78" i="2"/>
  <c r="T79" i="2"/>
  <c r="S80" i="2" s="1"/>
  <c r="R79" i="2"/>
  <c r="Q80" i="2" s="1"/>
  <c r="N79" i="2"/>
  <c r="M80" i="2" s="1"/>
  <c r="P79" i="2"/>
  <c r="O80" i="2" s="1"/>
  <c r="U79" i="2"/>
  <c r="AA78" i="2"/>
  <c r="W79" i="2"/>
  <c r="X79" i="2" s="1"/>
  <c r="I81" i="2"/>
  <c r="J81" i="2" s="1"/>
  <c r="L79" i="2" l="1"/>
  <c r="K80" i="2" s="1"/>
  <c r="L80" i="2" s="1"/>
  <c r="K81" i="2" s="1"/>
  <c r="Z80" i="2"/>
  <c r="Y81" i="2" s="1"/>
  <c r="R80" i="2"/>
  <c r="Q81" i="2" s="1"/>
  <c r="T80" i="2"/>
  <c r="S81" i="2" s="1"/>
  <c r="P80" i="2"/>
  <c r="O81" i="2" s="1"/>
  <c r="AA79" i="2"/>
  <c r="W80" i="2"/>
  <c r="I82" i="2"/>
  <c r="J82" i="2" s="1"/>
  <c r="U80" i="2" l="1"/>
  <c r="N80" i="2"/>
  <c r="M81" i="2" s="1"/>
  <c r="P81" i="2" s="1"/>
  <c r="O82" i="2" s="1"/>
  <c r="X80" i="2"/>
  <c r="W81" i="2" s="1"/>
  <c r="X81" i="2" s="1"/>
  <c r="T81" i="2"/>
  <c r="S82" i="2" s="1"/>
  <c r="Z81" i="2"/>
  <c r="Y82" i="2" s="1"/>
  <c r="R81" i="2"/>
  <c r="Q82" i="2" s="1"/>
  <c r="L81" i="2"/>
  <c r="K82" i="2" s="1"/>
  <c r="U81" i="2"/>
  <c r="AA80" i="2"/>
  <c r="I83" i="2"/>
  <c r="J83" i="2" s="1"/>
  <c r="N81" i="2" l="1"/>
  <c r="M82" i="2" s="1"/>
  <c r="N82" i="2" s="1"/>
  <c r="M83" i="2" s="1"/>
  <c r="T82" i="2"/>
  <c r="S83" i="2" s="1"/>
  <c r="R82" i="2"/>
  <c r="Q83" i="2" s="1"/>
  <c r="Z82" i="2"/>
  <c r="Y83" i="2" s="1"/>
  <c r="L82" i="2"/>
  <c r="K83" i="2" s="1"/>
  <c r="W82" i="2"/>
  <c r="X82" i="2" s="1"/>
  <c r="AA81" i="2"/>
  <c r="I84" i="2"/>
  <c r="J84" i="2" s="1"/>
  <c r="P82" i="2" l="1"/>
  <c r="O83" i="2" s="1"/>
  <c r="P83" i="2" s="1"/>
  <c r="O84" i="2" s="1"/>
  <c r="U82" i="2"/>
  <c r="Z83" i="2"/>
  <c r="Y84" i="2" s="1"/>
  <c r="R83" i="2"/>
  <c r="Q84" i="2" s="1"/>
  <c r="N83" i="2"/>
  <c r="M84" i="2" s="1"/>
  <c r="L83" i="2"/>
  <c r="K84" i="2" s="1"/>
  <c r="U83" i="2"/>
  <c r="W83" i="2"/>
  <c r="X83" i="2" s="1"/>
  <c r="AA82" i="2"/>
  <c r="I85" i="2"/>
  <c r="J85" i="2" s="1"/>
  <c r="T83" i="2" l="1"/>
  <c r="S84" i="2" s="1"/>
  <c r="Z84" i="2"/>
  <c r="Y85" i="2" s="1"/>
  <c r="R84" i="2"/>
  <c r="Q85" i="2" s="1"/>
  <c r="T84" i="2"/>
  <c r="S85" i="2" s="1"/>
  <c r="P84" i="2"/>
  <c r="O85" i="2" s="1"/>
  <c r="L84" i="2"/>
  <c r="K85" i="2" s="1"/>
  <c r="N84" i="2"/>
  <c r="M85" i="2" s="1"/>
  <c r="U84" i="2"/>
  <c r="W84" i="2"/>
  <c r="X84" i="2" s="1"/>
  <c r="AA83" i="2"/>
  <c r="I86" i="2"/>
  <c r="J86" i="2" s="1"/>
  <c r="Z85" i="2" l="1"/>
  <c r="Y86" i="2" s="1"/>
  <c r="R85" i="2"/>
  <c r="Q86" i="2" s="1"/>
  <c r="T85" i="2"/>
  <c r="S86" i="2" s="1"/>
  <c r="P85" i="2"/>
  <c r="O86" i="2" s="1"/>
  <c r="N85" i="2"/>
  <c r="M86" i="2" s="1"/>
  <c r="L85" i="2"/>
  <c r="K86" i="2" s="1"/>
  <c r="U85" i="2"/>
  <c r="W85" i="2"/>
  <c r="X85" i="2" s="1"/>
  <c r="AA84" i="2"/>
  <c r="I87" i="2"/>
  <c r="J87" i="2" s="1"/>
  <c r="Z86" i="2" l="1"/>
  <c r="Y87" i="2" s="1"/>
  <c r="T86" i="2"/>
  <c r="S87" i="2" s="1"/>
  <c r="L86" i="2"/>
  <c r="K87" i="2" s="1"/>
  <c r="R86" i="2"/>
  <c r="Q87" i="2" s="1"/>
  <c r="P86" i="2"/>
  <c r="O87" i="2" s="1"/>
  <c r="N86" i="2"/>
  <c r="M87" i="2" s="1"/>
  <c r="U86" i="2"/>
  <c r="W86" i="2"/>
  <c r="X86" i="2" s="1"/>
  <c r="AA85" i="2"/>
  <c r="I88" i="2"/>
  <c r="J88" i="2" s="1"/>
  <c r="T87" i="2" l="1"/>
  <c r="S88" i="2" s="1"/>
  <c r="Z87" i="2"/>
  <c r="Y88" i="2" s="1"/>
  <c r="R87" i="2"/>
  <c r="Q88" i="2" s="1"/>
  <c r="N87" i="2"/>
  <c r="M88" i="2" s="1"/>
  <c r="P87" i="2"/>
  <c r="O88" i="2" s="1"/>
  <c r="L87" i="2"/>
  <c r="K88" i="2" s="1"/>
  <c r="U87" i="2"/>
  <c r="AA86" i="2"/>
  <c r="W87" i="2"/>
  <c r="X87" i="2" s="1"/>
  <c r="I89" i="2"/>
  <c r="J89" i="2" s="1"/>
  <c r="R88" i="2" l="1"/>
  <c r="Q89" i="2" s="1"/>
  <c r="T88" i="2"/>
  <c r="S89" i="2" s="1"/>
  <c r="Z88" i="2"/>
  <c r="Y89" i="2" s="1"/>
  <c r="P88" i="2"/>
  <c r="O89" i="2" s="1"/>
  <c r="N88" i="2"/>
  <c r="M89" i="2" s="1"/>
  <c r="L88" i="2"/>
  <c r="K89" i="2" s="1"/>
  <c r="U88" i="2"/>
  <c r="AA87" i="2"/>
  <c r="W88" i="2"/>
  <c r="X88" i="2" s="1"/>
  <c r="I90" i="2"/>
  <c r="J90" i="2" s="1"/>
  <c r="T89" i="2" l="1"/>
  <c r="S90" i="2" s="1"/>
  <c r="Z89" i="2"/>
  <c r="Y90" i="2" s="1"/>
  <c r="R89" i="2"/>
  <c r="Q90" i="2" s="1"/>
  <c r="P89" i="2"/>
  <c r="O90" i="2" s="1"/>
  <c r="N89" i="2"/>
  <c r="M90" i="2" s="1"/>
  <c r="L89" i="2"/>
  <c r="K90" i="2" s="1"/>
  <c r="U89" i="2"/>
  <c r="AA88" i="2"/>
  <c r="W89" i="2"/>
  <c r="X89" i="2" s="1"/>
  <c r="I91" i="2"/>
  <c r="J91" i="2" s="1"/>
  <c r="Z90" i="2" l="1"/>
  <c r="Y91" i="2" s="1"/>
  <c r="R90" i="2"/>
  <c r="Q91" i="2" s="1"/>
  <c r="T90" i="2"/>
  <c r="S91" i="2" s="1"/>
  <c r="L90" i="2"/>
  <c r="K91" i="2" s="1"/>
  <c r="P90" i="2"/>
  <c r="O91" i="2" s="1"/>
  <c r="N90" i="2"/>
  <c r="M91" i="2" s="1"/>
  <c r="U90" i="2"/>
  <c r="I92" i="2"/>
  <c r="J92" i="2" s="1"/>
  <c r="AA89" i="2"/>
  <c r="W90" i="2"/>
  <c r="X90" i="2" s="1"/>
  <c r="T91" i="2" l="1"/>
  <c r="S92" i="2" s="1"/>
  <c r="Z91" i="2"/>
  <c r="Y92" i="2" s="1"/>
  <c r="R91" i="2"/>
  <c r="Q92" i="2" s="1"/>
  <c r="P91" i="2"/>
  <c r="O92" i="2" s="1"/>
  <c r="N91" i="2"/>
  <c r="M92" i="2" s="1"/>
  <c r="L91" i="2"/>
  <c r="K92" i="2" s="1"/>
  <c r="U91" i="2"/>
  <c r="I93" i="2"/>
  <c r="J93" i="2" s="1"/>
  <c r="AA90" i="2"/>
  <c r="W91" i="2"/>
  <c r="X91" i="2" s="1"/>
  <c r="Z92" i="2" l="1"/>
  <c r="Y93" i="2" s="1"/>
  <c r="T92" i="2"/>
  <c r="S93" i="2" s="1"/>
  <c r="N92" i="2"/>
  <c r="M93" i="2" s="1"/>
  <c r="R92" i="2"/>
  <c r="Q93" i="2" s="1"/>
  <c r="P92" i="2"/>
  <c r="O93" i="2" s="1"/>
  <c r="L92" i="2"/>
  <c r="K93" i="2" s="1"/>
  <c r="U92" i="2"/>
  <c r="AA91" i="2"/>
  <c r="W92" i="2"/>
  <c r="X92" i="2" s="1"/>
  <c r="I94" i="2"/>
  <c r="J94" i="2" s="1"/>
  <c r="R93" i="2" l="1"/>
  <c r="Q94" i="2" s="1"/>
  <c r="P93" i="2"/>
  <c r="O94" i="2" s="1"/>
  <c r="Z93" i="2"/>
  <c r="Y94" i="2" s="1"/>
  <c r="T93" i="2"/>
  <c r="S94" i="2" s="1"/>
  <c r="N93" i="2"/>
  <c r="M94" i="2" s="1"/>
  <c r="L93" i="2"/>
  <c r="K94" i="2" s="1"/>
  <c r="I95" i="2"/>
  <c r="J95" i="2" s="1"/>
  <c r="U93" i="2"/>
  <c r="AA92" i="2"/>
  <c r="W93" i="2"/>
  <c r="X93" i="2" s="1"/>
  <c r="T94" i="2" l="1"/>
  <c r="S95" i="2" s="1"/>
  <c r="Z94" i="2"/>
  <c r="Y95" i="2" s="1"/>
  <c r="R94" i="2"/>
  <c r="Q95" i="2" s="1"/>
  <c r="P94" i="2"/>
  <c r="O95" i="2" s="1"/>
  <c r="N94" i="2"/>
  <c r="M95" i="2" s="1"/>
  <c r="L94" i="2"/>
  <c r="K95" i="2" s="1"/>
  <c r="I96" i="2"/>
  <c r="J96" i="2" s="1"/>
  <c r="U94" i="2"/>
  <c r="W94" i="2"/>
  <c r="X94" i="2" s="1"/>
  <c r="AA93" i="2"/>
  <c r="T95" i="2" l="1"/>
  <c r="S96" i="2" s="1"/>
  <c r="R95" i="2"/>
  <c r="Q96" i="2" s="1"/>
  <c r="Z95" i="2"/>
  <c r="Y96" i="2" s="1"/>
  <c r="N95" i="2"/>
  <c r="M96" i="2" s="1"/>
  <c r="P95" i="2"/>
  <c r="O96" i="2" s="1"/>
  <c r="L95" i="2"/>
  <c r="K96" i="2" s="1"/>
  <c r="U95" i="2"/>
  <c r="W95" i="2"/>
  <c r="X95" i="2" s="1"/>
  <c r="I97" i="2"/>
  <c r="J97" i="2" s="1"/>
  <c r="AA94" i="2"/>
  <c r="Z96" i="2" l="1"/>
  <c r="Y97" i="2" s="1"/>
  <c r="P96" i="2"/>
  <c r="O97" i="2" s="1"/>
  <c r="L96" i="2"/>
  <c r="K97" i="2" s="1"/>
  <c r="T96" i="2"/>
  <c r="S97" i="2" s="1"/>
  <c r="R96" i="2"/>
  <c r="Q97" i="2" s="1"/>
  <c r="N96" i="2"/>
  <c r="M97" i="2" s="1"/>
  <c r="U96" i="2"/>
  <c r="I98" i="2"/>
  <c r="J98" i="2" s="1"/>
  <c r="AA95" i="2"/>
  <c r="W96" i="2"/>
  <c r="X96" i="2" s="1"/>
  <c r="T97" i="2" l="1"/>
  <c r="S98" i="2" s="1"/>
  <c r="R97" i="2"/>
  <c r="Q98" i="2" s="1"/>
  <c r="Z97" i="2"/>
  <c r="Y98" i="2" s="1"/>
  <c r="P97" i="2"/>
  <c r="O98" i="2" s="1"/>
  <c r="N97" i="2"/>
  <c r="M98" i="2" s="1"/>
  <c r="L97" i="2"/>
  <c r="K98" i="2" s="1"/>
  <c r="U97" i="2"/>
  <c r="I99" i="2"/>
  <c r="J99" i="2" s="1"/>
  <c r="W97" i="2"/>
  <c r="X97" i="2" s="1"/>
  <c r="AA96" i="2"/>
  <c r="T98" i="2" l="1"/>
  <c r="S99" i="2" s="1"/>
  <c r="R98" i="2"/>
  <c r="Q99" i="2" s="1"/>
  <c r="Z98" i="2"/>
  <c r="Y99" i="2" s="1"/>
  <c r="P98" i="2"/>
  <c r="O99" i="2" s="1"/>
  <c r="L98" i="2"/>
  <c r="K99" i="2" s="1"/>
  <c r="N98" i="2"/>
  <c r="M99" i="2" s="1"/>
  <c r="I100" i="2"/>
  <c r="J100" i="2" s="1"/>
  <c r="U98" i="2"/>
  <c r="W98" i="2"/>
  <c r="X98" i="2" s="1"/>
  <c r="AA97" i="2"/>
  <c r="Z99" i="2" l="1"/>
  <c r="Y100" i="2" s="1"/>
  <c r="T99" i="2"/>
  <c r="S100" i="2" s="1"/>
  <c r="R99" i="2"/>
  <c r="Q100" i="2" s="1"/>
  <c r="L99" i="2"/>
  <c r="K100" i="2" s="1"/>
  <c r="P99" i="2"/>
  <c r="O100" i="2" s="1"/>
  <c r="N99" i="2"/>
  <c r="M100" i="2" s="1"/>
  <c r="U99" i="2"/>
  <c r="AA98" i="2"/>
  <c r="W99" i="2"/>
  <c r="X99" i="2" s="1"/>
  <c r="I101" i="2"/>
  <c r="J101" i="2" s="1"/>
  <c r="Z100" i="2" l="1"/>
  <c r="Y101" i="2" s="1"/>
  <c r="R100" i="2"/>
  <c r="Q101" i="2" s="1"/>
  <c r="T100" i="2"/>
  <c r="S101" i="2" s="1"/>
  <c r="N100" i="2"/>
  <c r="M101" i="2" s="1"/>
  <c r="P100" i="2"/>
  <c r="O101" i="2" s="1"/>
  <c r="L100" i="2"/>
  <c r="K101" i="2" s="1"/>
  <c r="U100" i="2"/>
  <c r="I102" i="2"/>
  <c r="J102" i="2" s="1"/>
  <c r="W100" i="2"/>
  <c r="X100" i="2" s="1"/>
  <c r="AA99" i="2"/>
  <c r="R101" i="2" l="1"/>
  <c r="Q102" i="2" s="1"/>
  <c r="T101" i="2"/>
  <c r="S102" i="2" s="1"/>
  <c r="Z101" i="2"/>
  <c r="Y102" i="2" s="1"/>
  <c r="P101" i="2"/>
  <c r="O102" i="2" s="1"/>
  <c r="N101" i="2"/>
  <c r="M102" i="2" s="1"/>
  <c r="L101" i="2"/>
  <c r="K102" i="2" s="1"/>
  <c r="U101" i="2"/>
  <c r="W101" i="2"/>
  <c r="X101" i="2" s="1"/>
  <c r="AA100" i="2"/>
  <c r="I103" i="2"/>
  <c r="J103" i="2" s="1"/>
  <c r="T102" i="2" l="1"/>
  <c r="S103" i="2" s="1"/>
  <c r="R102" i="2"/>
  <c r="Q103" i="2" s="1"/>
  <c r="Z102" i="2"/>
  <c r="Y103" i="2" s="1"/>
  <c r="P102" i="2"/>
  <c r="O103" i="2" s="1"/>
  <c r="L102" i="2"/>
  <c r="K103" i="2" s="1"/>
  <c r="N102" i="2"/>
  <c r="M103" i="2" s="1"/>
  <c r="U102" i="2"/>
  <c r="I104" i="2"/>
  <c r="J104" i="2" s="1"/>
  <c r="AA101" i="2"/>
  <c r="W102" i="2"/>
  <c r="X102" i="2" s="1"/>
  <c r="R103" i="2" l="1"/>
  <c r="Q104" i="2" s="1"/>
  <c r="T103" i="2"/>
  <c r="S104" i="2" s="1"/>
  <c r="P103" i="2"/>
  <c r="O104" i="2" s="1"/>
  <c r="Z103" i="2"/>
  <c r="Y104" i="2" s="1"/>
  <c r="N103" i="2"/>
  <c r="M104" i="2" s="1"/>
  <c r="L103" i="2"/>
  <c r="K104" i="2" s="1"/>
  <c r="U103" i="2"/>
  <c r="AA102" i="2"/>
  <c r="W103" i="2"/>
  <c r="X103" i="2" s="1"/>
  <c r="I105" i="2"/>
  <c r="J105" i="2" s="1"/>
  <c r="R104" i="2" l="1"/>
  <c r="Q105" i="2" s="1"/>
  <c r="T104" i="2"/>
  <c r="S105" i="2" s="1"/>
  <c r="Z104" i="2"/>
  <c r="Y105" i="2" s="1"/>
  <c r="P104" i="2"/>
  <c r="O105" i="2" s="1"/>
  <c r="N104" i="2"/>
  <c r="M105" i="2" s="1"/>
  <c r="L104" i="2"/>
  <c r="K105" i="2" s="1"/>
  <c r="U104" i="2"/>
  <c r="AA103" i="2"/>
  <c r="W104" i="2"/>
  <c r="X104" i="2" s="1"/>
  <c r="I106" i="2"/>
  <c r="J106" i="2" s="1"/>
  <c r="Z105" i="2" l="1"/>
  <c r="Y106" i="2" s="1"/>
  <c r="T105" i="2"/>
  <c r="S106" i="2" s="1"/>
  <c r="R105" i="2"/>
  <c r="Q106" i="2" s="1"/>
  <c r="P105" i="2"/>
  <c r="O106" i="2" s="1"/>
  <c r="N105" i="2"/>
  <c r="M106" i="2" s="1"/>
  <c r="L105" i="2"/>
  <c r="K106" i="2" s="1"/>
  <c r="U105" i="2"/>
  <c r="AA104" i="2"/>
  <c r="W105" i="2"/>
  <c r="X105" i="2" s="1"/>
  <c r="I107" i="2"/>
  <c r="J107" i="2" s="1"/>
  <c r="P106" i="2" l="1"/>
  <c r="O107" i="2" s="1"/>
  <c r="R106" i="2"/>
  <c r="Q107" i="2" s="1"/>
  <c r="T106" i="2"/>
  <c r="S107" i="2" s="1"/>
  <c r="Z106" i="2"/>
  <c r="Y107" i="2" s="1"/>
  <c r="N106" i="2"/>
  <c r="M107" i="2" s="1"/>
  <c r="L106" i="2"/>
  <c r="K107" i="2" s="1"/>
  <c r="U106" i="2"/>
  <c r="I108" i="2"/>
  <c r="J108" i="2" s="1"/>
  <c r="AA105" i="2"/>
  <c r="W106" i="2"/>
  <c r="X106" i="2" s="1"/>
  <c r="R107" i="2" l="1"/>
  <c r="Q108" i="2" s="1"/>
  <c r="T107" i="2"/>
  <c r="S108" i="2" s="1"/>
  <c r="Z107" i="2"/>
  <c r="Y108" i="2" s="1"/>
  <c r="P107" i="2"/>
  <c r="O108" i="2" s="1"/>
  <c r="N107" i="2"/>
  <c r="M108" i="2" s="1"/>
  <c r="L107" i="2"/>
  <c r="K108" i="2" s="1"/>
  <c r="U107" i="2"/>
  <c r="W107" i="2"/>
  <c r="X107" i="2" s="1"/>
  <c r="AA106" i="2"/>
  <c r="I109" i="2"/>
  <c r="J109" i="2" s="1"/>
  <c r="T108" i="2" l="1"/>
  <c r="S109" i="2" s="1"/>
  <c r="Z108" i="2"/>
  <c r="Y109" i="2" s="1"/>
  <c r="R108" i="2"/>
  <c r="Q109" i="2" s="1"/>
  <c r="P108" i="2"/>
  <c r="O109" i="2" s="1"/>
  <c r="N108" i="2"/>
  <c r="M109" i="2" s="1"/>
  <c r="L108" i="2"/>
  <c r="K109" i="2" s="1"/>
  <c r="U108" i="2"/>
  <c r="I110" i="2"/>
  <c r="J110" i="2" s="1"/>
  <c r="W108" i="2"/>
  <c r="X108" i="2" s="1"/>
  <c r="AA107" i="2"/>
  <c r="Z109" i="2" l="1"/>
  <c r="Y110" i="2" s="1"/>
  <c r="T109" i="2"/>
  <c r="S110" i="2" s="1"/>
  <c r="R109" i="2"/>
  <c r="Q110" i="2" s="1"/>
  <c r="P109" i="2"/>
  <c r="O110" i="2" s="1"/>
  <c r="N109" i="2"/>
  <c r="M110" i="2" s="1"/>
  <c r="L109" i="2"/>
  <c r="K110" i="2" s="1"/>
  <c r="U109" i="2"/>
  <c r="W109" i="2"/>
  <c r="X109" i="2" s="1"/>
  <c r="AA108" i="2"/>
  <c r="I111" i="2"/>
  <c r="J111" i="2" s="1"/>
  <c r="R110" i="2" l="1"/>
  <c r="Q111" i="2" s="1"/>
  <c r="T110" i="2"/>
  <c r="S111" i="2" s="1"/>
  <c r="Z110" i="2"/>
  <c r="Y111" i="2" s="1"/>
  <c r="P110" i="2"/>
  <c r="O111" i="2" s="1"/>
  <c r="N110" i="2"/>
  <c r="M111" i="2" s="1"/>
  <c r="L110" i="2"/>
  <c r="K111" i="2" s="1"/>
  <c r="U110" i="2"/>
  <c r="I112" i="2"/>
  <c r="J112" i="2" s="1"/>
  <c r="AA109" i="2"/>
  <c r="W110" i="2"/>
  <c r="X110" i="2" s="1"/>
  <c r="Z111" i="2" l="1"/>
  <c r="Y112" i="2" s="1"/>
  <c r="R111" i="2"/>
  <c r="Q112" i="2" s="1"/>
  <c r="T111" i="2"/>
  <c r="S112" i="2" s="1"/>
  <c r="P111" i="2"/>
  <c r="O112" i="2" s="1"/>
  <c r="N111" i="2"/>
  <c r="M112" i="2" s="1"/>
  <c r="L111" i="2"/>
  <c r="K112" i="2" s="1"/>
  <c r="U111" i="2"/>
  <c r="AA110" i="2"/>
  <c r="W111" i="2"/>
  <c r="X111" i="2" s="1"/>
  <c r="I113" i="2"/>
  <c r="J113" i="2" s="1"/>
  <c r="T112" i="2" l="1"/>
  <c r="S113" i="2" s="1"/>
  <c r="Z112" i="2"/>
  <c r="Y113" i="2" s="1"/>
  <c r="R112" i="2"/>
  <c r="Q113" i="2" s="1"/>
  <c r="N112" i="2"/>
  <c r="M113" i="2" s="1"/>
  <c r="P112" i="2"/>
  <c r="O113" i="2" s="1"/>
  <c r="L112" i="2"/>
  <c r="K113" i="2" s="1"/>
  <c r="U112" i="2"/>
  <c r="I114" i="2"/>
  <c r="J114" i="2" s="1"/>
  <c r="AA111" i="2"/>
  <c r="W112" i="2"/>
  <c r="X112" i="2" s="1"/>
  <c r="R113" i="2" l="1"/>
  <c r="Q114" i="2" s="1"/>
  <c r="Z113" i="2"/>
  <c r="Y114" i="2" s="1"/>
  <c r="T113" i="2"/>
  <c r="S114" i="2" s="1"/>
  <c r="P113" i="2"/>
  <c r="O114" i="2" s="1"/>
  <c r="N113" i="2"/>
  <c r="M114" i="2" s="1"/>
  <c r="L113" i="2"/>
  <c r="K114" i="2" s="1"/>
  <c r="U113" i="2"/>
  <c r="W113" i="2"/>
  <c r="X113" i="2" s="1"/>
  <c r="AA112" i="2"/>
  <c r="I115" i="2"/>
  <c r="J115" i="2" s="1"/>
  <c r="T114" i="2" l="1"/>
  <c r="S115" i="2" s="1"/>
  <c r="Z114" i="2"/>
  <c r="Y115" i="2" s="1"/>
  <c r="R114" i="2"/>
  <c r="Q115" i="2" s="1"/>
  <c r="P114" i="2"/>
  <c r="O115" i="2" s="1"/>
  <c r="L114" i="2"/>
  <c r="K115" i="2" s="1"/>
  <c r="N114" i="2"/>
  <c r="M115" i="2" s="1"/>
  <c r="U114" i="2"/>
  <c r="W114" i="2"/>
  <c r="X114" i="2" s="1"/>
  <c r="AA113" i="2"/>
  <c r="I116" i="2"/>
  <c r="J116" i="2" s="1"/>
  <c r="R115" i="2" l="1"/>
  <c r="Q116" i="2" s="1"/>
  <c r="T115" i="2"/>
  <c r="S116" i="2" s="1"/>
  <c r="Z115" i="2"/>
  <c r="Y116" i="2" s="1"/>
  <c r="P115" i="2"/>
  <c r="O116" i="2" s="1"/>
  <c r="N115" i="2"/>
  <c r="M116" i="2" s="1"/>
  <c r="L115" i="2"/>
  <c r="K116" i="2" s="1"/>
  <c r="U115" i="2"/>
  <c r="W115" i="2"/>
  <c r="X115" i="2" s="1"/>
  <c r="AA114" i="2"/>
  <c r="I117" i="2"/>
  <c r="J117" i="2" s="1"/>
  <c r="T116" i="2" l="1"/>
  <c r="S117" i="2" s="1"/>
  <c r="Z116" i="2"/>
  <c r="Y117" i="2" s="1"/>
  <c r="R116" i="2"/>
  <c r="Q117" i="2" s="1"/>
  <c r="N116" i="2"/>
  <c r="M117" i="2" s="1"/>
  <c r="P116" i="2"/>
  <c r="O117" i="2" s="1"/>
  <c r="L116" i="2"/>
  <c r="K117" i="2" s="1"/>
  <c r="U116" i="2"/>
  <c r="AA115" i="2"/>
  <c r="W116" i="2"/>
  <c r="X116" i="2" s="1"/>
  <c r="I118" i="2"/>
  <c r="J118" i="2" s="1"/>
  <c r="Z117" i="2" l="1"/>
  <c r="Y118" i="2" s="1"/>
  <c r="R117" i="2"/>
  <c r="Q118" i="2" s="1"/>
  <c r="T117" i="2"/>
  <c r="S118" i="2" s="1"/>
  <c r="P117" i="2"/>
  <c r="O118" i="2" s="1"/>
  <c r="N117" i="2"/>
  <c r="M118" i="2" s="1"/>
  <c r="L117" i="2"/>
  <c r="K118" i="2" s="1"/>
  <c r="U117" i="2"/>
  <c r="I119" i="2"/>
  <c r="J119" i="2" s="1"/>
  <c r="W117" i="2"/>
  <c r="X117" i="2" s="1"/>
  <c r="AA116" i="2"/>
  <c r="R118" i="2" l="1"/>
  <c r="Q119" i="2" s="1"/>
  <c r="T118" i="2"/>
  <c r="S119" i="2" s="1"/>
  <c r="Z118" i="2"/>
  <c r="Y119" i="2" s="1"/>
  <c r="P118" i="2"/>
  <c r="O119" i="2" s="1"/>
  <c r="N118" i="2"/>
  <c r="M119" i="2" s="1"/>
  <c r="L118" i="2"/>
  <c r="K119" i="2" s="1"/>
  <c r="U118" i="2"/>
  <c r="I120" i="2"/>
  <c r="J120" i="2" s="1"/>
  <c r="AA117" i="2"/>
  <c r="W118" i="2"/>
  <c r="X118" i="2" s="1"/>
  <c r="Z119" i="2" l="1"/>
  <c r="Y120" i="2" s="1"/>
  <c r="T119" i="2"/>
  <c r="S120" i="2" s="1"/>
  <c r="R119" i="2"/>
  <c r="Q120" i="2" s="1"/>
  <c r="N119" i="2"/>
  <c r="M120" i="2" s="1"/>
  <c r="P119" i="2"/>
  <c r="O120" i="2" s="1"/>
  <c r="L119" i="2"/>
  <c r="K120" i="2" s="1"/>
  <c r="U119" i="2"/>
  <c r="W119" i="2"/>
  <c r="X119" i="2" s="1"/>
  <c r="AA118" i="2"/>
  <c r="I121" i="2"/>
  <c r="J121" i="2" s="1"/>
  <c r="T120" i="2" l="1"/>
  <c r="S121" i="2" s="1"/>
  <c r="Z120" i="2"/>
  <c r="Y121" i="2" s="1"/>
  <c r="R120" i="2"/>
  <c r="Q121" i="2" s="1"/>
  <c r="P120" i="2"/>
  <c r="O121" i="2" s="1"/>
  <c r="N120" i="2"/>
  <c r="M121" i="2" s="1"/>
  <c r="L120" i="2"/>
  <c r="K121" i="2" s="1"/>
  <c r="U120" i="2"/>
  <c r="W120" i="2"/>
  <c r="X120" i="2" s="1"/>
  <c r="AA119" i="2"/>
  <c r="I122" i="2"/>
  <c r="J122" i="2" s="1"/>
  <c r="T121" i="2" l="1"/>
  <c r="S122" i="2" s="1"/>
  <c r="Z121" i="2"/>
  <c r="Y122" i="2" s="1"/>
  <c r="R121" i="2"/>
  <c r="Q122" i="2" s="1"/>
  <c r="L121" i="2"/>
  <c r="K122" i="2" s="1"/>
  <c r="P121" i="2"/>
  <c r="O122" i="2" s="1"/>
  <c r="N121" i="2"/>
  <c r="M122" i="2" s="1"/>
  <c r="U121" i="2"/>
  <c r="I123" i="2"/>
  <c r="J123" i="2" s="1"/>
  <c r="W121" i="2"/>
  <c r="X121" i="2" s="1"/>
  <c r="AA120" i="2"/>
  <c r="T122" i="2" l="1"/>
  <c r="S123" i="2" s="1"/>
  <c r="R122" i="2"/>
  <c r="Q123" i="2" s="1"/>
  <c r="Z122" i="2"/>
  <c r="Y123" i="2" s="1"/>
  <c r="P122" i="2"/>
  <c r="O123" i="2" s="1"/>
  <c r="N122" i="2"/>
  <c r="M123" i="2" s="1"/>
  <c r="L122" i="2"/>
  <c r="K123" i="2" s="1"/>
  <c r="U122" i="2"/>
  <c r="AA121" i="2"/>
  <c r="W122" i="2"/>
  <c r="X122" i="2" s="1"/>
  <c r="I124" i="2"/>
  <c r="J124" i="2" s="1"/>
  <c r="T123" i="2" l="1"/>
  <c r="S124" i="2" s="1"/>
  <c r="Z123" i="2"/>
  <c r="Y124" i="2" s="1"/>
  <c r="R123" i="2"/>
  <c r="Q124" i="2" s="1"/>
  <c r="P123" i="2"/>
  <c r="O124" i="2" s="1"/>
  <c r="N123" i="2"/>
  <c r="M124" i="2" s="1"/>
  <c r="L123" i="2"/>
  <c r="K124" i="2" s="1"/>
  <c r="U123" i="2"/>
  <c r="W123" i="2"/>
  <c r="X123" i="2" s="1"/>
  <c r="AA122" i="2"/>
  <c r="I125" i="2"/>
  <c r="J125" i="2" s="1"/>
  <c r="Z124" i="2" l="1"/>
  <c r="Y125" i="2" s="1"/>
  <c r="T124" i="2"/>
  <c r="S125" i="2" s="1"/>
  <c r="R124" i="2"/>
  <c r="Q125" i="2" s="1"/>
  <c r="P124" i="2"/>
  <c r="O125" i="2" s="1"/>
  <c r="N124" i="2"/>
  <c r="M125" i="2" s="1"/>
  <c r="L124" i="2"/>
  <c r="K125" i="2" s="1"/>
  <c r="U124" i="2"/>
  <c r="I126" i="2"/>
  <c r="J126" i="2" s="1"/>
  <c r="W124" i="2"/>
  <c r="X124" i="2" s="1"/>
  <c r="AA123" i="2"/>
  <c r="R125" i="2" l="1"/>
  <c r="Q126" i="2" s="1"/>
  <c r="T125" i="2"/>
  <c r="S126" i="2" s="1"/>
  <c r="Z125" i="2"/>
  <c r="Y126" i="2" s="1"/>
  <c r="L125" i="2"/>
  <c r="K126" i="2" s="1"/>
  <c r="P125" i="2"/>
  <c r="O126" i="2" s="1"/>
  <c r="N125" i="2"/>
  <c r="M126" i="2" s="1"/>
  <c r="U125" i="2"/>
  <c r="I127" i="2"/>
  <c r="J127" i="2" s="1"/>
  <c r="W125" i="2"/>
  <c r="X125" i="2" s="1"/>
  <c r="AA124" i="2"/>
  <c r="R126" i="2" l="1"/>
  <c r="Q127" i="2" s="1"/>
  <c r="Z126" i="2"/>
  <c r="Y127" i="2" s="1"/>
  <c r="T126" i="2"/>
  <c r="S127" i="2" s="1"/>
  <c r="P126" i="2"/>
  <c r="O127" i="2" s="1"/>
  <c r="N126" i="2"/>
  <c r="M127" i="2" s="1"/>
  <c r="L126" i="2"/>
  <c r="K127" i="2" s="1"/>
  <c r="U126" i="2"/>
  <c r="I128" i="2"/>
  <c r="J128" i="2" s="1"/>
  <c r="W126" i="2"/>
  <c r="X126" i="2" s="1"/>
  <c r="AA125" i="2"/>
  <c r="Z127" i="2" l="1"/>
  <c r="Y128" i="2" s="1"/>
  <c r="T127" i="2"/>
  <c r="S128" i="2" s="1"/>
  <c r="R127" i="2"/>
  <c r="Q128" i="2" s="1"/>
  <c r="N127" i="2"/>
  <c r="M128" i="2" s="1"/>
  <c r="P127" i="2"/>
  <c r="O128" i="2" s="1"/>
  <c r="L127" i="2"/>
  <c r="K128" i="2" s="1"/>
  <c r="U127" i="2"/>
  <c r="W127" i="2"/>
  <c r="X127" i="2" s="1"/>
  <c r="AA126" i="2"/>
  <c r="I129" i="2"/>
  <c r="J129" i="2" s="1"/>
  <c r="T128" i="2" l="1"/>
  <c r="S129" i="2" s="1"/>
  <c r="Z128" i="2"/>
  <c r="Y129" i="2" s="1"/>
  <c r="R128" i="2"/>
  <c r="Q129" i="2" s="1"/>
  <c r="L128" i="2"/>
  <c r="K129" i="2" s="1"/>
  <c r="P128" i="2"/>
  <c r="O129" i="2" s="1"/>
  <c r="N128" i="2"/>
  <c r="M129" i="2" s="1"/>
  <c r="U128" i="2"/>
  <c r="AA127" i="2"/>
  <c r="W128" i="2"/>
  <c r="X128" i="2" s="1"/>
  <c r="I130" i="2"/>
  <c r="J130" i="2" s="1"/>
  <c r="R129" i="2" l="1"/>
  <c r="Q130" i="2" s="1"/>
  <c r="T129" i="2"/>
  <c r="S130" i="2" s="1"/>
  <c r="Z129" i="2"/>
  <c r="Y130" i="2" s="1"/>
  <c r="N129" i="2"/>
  <c r="M130" i="2" s="1"/>
  <c r="P129" i="2"/>
  <c r="O130" i="2" s="1"/>
  <c r="L129" i="2"/>
  <c r="K130" i="2" s="1"/>
  <c r="U129" i="2"/>
  <c r="AA128" i="2"/>
  <c r="W129" i="2"/>
  <c r="X129" i="2" s="1"/>
  <c r="I131" i="2"/>
  <c r="J131" i="2" s="1"/>
  <c r="Z130" i="2" l="1"/>
  <c r="Y131" i="2" s="1"/>
  <c r="T130" i="2"/>
  <c r="S131" i="2" s="1"/>
  <c r="R130" i="2"/>
  <c r="Q131" i="2" s="1"/>
  <c r="P130" i="2"/>
  <c r="O131" i="2" s="1"/>
  <c r="N130" i="2"/>
  <c r="M131" i="2" s="1"/>
  <c r="L130" i="2"/>
  <c r="K131" i="2" s="1"/>
  <c r="U130" i="2"/>
  <c r="AA129" i="2"/>
  <c r="W130" i="2"/>
  <c r="X130" i="2" s="1"/>
  <c r="I132" i="2"/>
  <c r="J132" i="2" s="1"/>
  <c r="T131" i="2" l="1"/>
  <c r="S132" i="2" s="1"/>
  <c r="R131" i="2"/>
  <c r="Q132" i="2" s="1"/>
  <c r="Z131" i="2"/>
  <c r="Y132" i="2" s="1"/>
  <c r="P131" i="2"/>
  <c r="O132" i="2" s="1"/>
  <c r="L131" i="2"/>
  <c r="K132" i="2" s="1"/>
  <c r="N131" i="2"/>
  <c r="M132" i="2" s="1"/>
  <c r="U131" i="2"/>
  <c r="I133" i="2"/>
  <c r="J133" i="2" s="1"/>
  <c r="AA130" i="2"/>
  <c r="W131" i="2"/>
  <c r="X131" i="2" s="1"/>
  <c r="R132" i="2" l="1"/>
  <c r="Q133" i="2" s="1"/>
  <c r="T132" i="2"/>
  <c r="S133" i="2" s="1"/>
  <c r="Z132" i="2"/>
  <c r="Y133" i="2" s="1"/>
  <c r="P132" i="2"/>
  <c r="O133" i="2" s="1"/>
  <c r="N132" i="2"/>
  <c r="M133" i="2" s="1"/>
  <c r="L132" i="2"/>
  <c r="K133" i="2" s="1"/>
  <c r="U132" i="2"/>
  <c r="I134" i="2"/>
  <c r="J134" i="2" s="1"/>
  <c r="W132" i="2"/>
  <c r="X132" i="2" s="1"/>
  <c r="AA131" i="2"/>
  <c r="Z133" i="2" l="1"/>
  <c r="Y134" i="2" s="1"/>
  <c r="T133" i="2"/>
  <c r="S134" i="2" s="1"/>
  <c r="R133" i="2"/>
  <c r="Q134" i="2" s="1"/>
  <c r="L133" i="2"/>
  <c r="K134" i="2" s="1"/>
  <c r="P133" i="2"/>
  <c r="O134" i="2" s="1"/>
  <c r="N133" i="2"/>
  <c r="M134" i="2" s="1"/>
  <c r="U133" i="2"/>
  <c r="I135" i="2"/>
  <c r="J135" i="2" s="1"/>
  <c r="AA132" i="2"/>
  <c r="W133" i="2"/>
  <c r="X133" i="2" s="1"/>
  <c r="T134" i="2" l="1"/>
  <c r="S135" i="2" s="1"/>
  <c r="R134" i="2"/>
  <c r="Q135" i="2" s="1"/>
  <c r="Z134" i="2"/>
  <c r="Y135" i="2" s="1"/>
  <c r="N134" i="2"/>
  <c r="M135" i="2" s="1"/>
  <c r="P134" i="2"/>
  <c r="O135" i="2" s="1"/>
  <c r="L134" i="2"/>
  <c r="K135" i="2" s="1"/>
  <c r="U134" i="2"/>
  <c r="W134" i="2"/>
  <c r="X134" i="2" s="1"/>
  <c r="AA133" i="2"/>
  <c r="I136" i="2"/>
  <c r="J136" i="2" s="1"/>
  <c r="Z135" i="2" l="1"/>
  <c r="Y136" i="2" s="1"/>
  <c r="T135" i="2"/>
  <c r="S136" i="2" s="1"/>
  <c r="R135" i="2"/>
  <c r="Q136" i="2" s="1"/>
  <c r="L135" i="2"/>
  <c r="K136" i="2" s="1"/>
  <c r="P135" i="2"/>
  <c r="O136" i="2" s="1"/>
  <c r="N135" i="2"/>
  <c r="M136" i="2" s="1"/>
  <c r="U135" i="2"/>
  <c r="AA134" i="2"/>
  <c r="W135" i="2"/>
  <c r="X135" i="2" s="1"/>
  <c r="R136" i="2" l="1"/>
  <c r="Z136" i="2"/>
  <c r="T136" i="2"/>
  <c r="P136" i="2"/>
  <c r="N136" i="2"/>
  <c r="L136" i="2"/>
  <c r="U136" i="2"/>
  <c r="AA135" i="2"/>
  <c r="W136" i="2"/>
  <c r="X136" i="2" s="1"/>
  <c r="AA136" i="2" l="1"/>
</calcChain>
</file>

<file path=xl/sharedStrings.xml><?xml version="1.0" encoding="utf-8"?>
<sst xmlns="http://schemas.openxmlformats.org/spreadsheetml/2006/main" count="200" uniqueCount="146">
  <si>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</si>
  <si>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</si>
  <si>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</si>
  <si>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</si>
  <si>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</si>
  <si>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</si>
  <si>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</si>
  <si>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</si>
  <si>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</si>
  <si>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</si>
  <si>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</si>
  <si>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</si>
  <si>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</si>
  <si>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</si>
  <si>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</si>
  <si>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</si>
  <si>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</si>
  <si>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</si>
  <si>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</si>
  <si>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</si>
  <si>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</si>
  <si>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</si>
  <si>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</si>
  <si>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</si>
  <si>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</si>
  <si>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</si>
  <si>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</si>
  <si>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</si>
  <si>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</si>
  <si>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</si>
  <si>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</si>
  <si>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</si>
  <si>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</si>
  <si>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</si>
  <si>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</si>
  <si>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</si>
  <si>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</si>
  <si>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</si>
  <si>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</si>
  <si>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</si>
  <si>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</si>
  <si>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</si>
  <si>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</si>
  <si>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</si>
  <si>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</si>
  <si>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</si>
  <si>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</si>
  <si>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</si>
  <si>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</si>
  <si>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</si>
  <si>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</si>
  <si>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</si>
  <si>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</si>
  <si>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</si>
  <si>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</si>
  <si>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</si>
  <si>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</si>
  <si>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</si>
  <si>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</si>
  <si>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</si>
  <si>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</si>
  <si>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</si>
  <si>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</si>
  <si>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</si>
  <si>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</si>
  <si>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</si>
  <si>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</si>
  <si>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</si>
  <si>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</si>
  <si>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</si>
  <si>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</si>
  <si>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</si>
  <si>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</si>
  <si>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</si>
  <si>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</si>
  <si>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</si>
  <si>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</si>
  <si>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</si>
  <si>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</si>
  <si>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</si>
  <si>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</si>
  <si>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</si>
  <si>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</si>
  <si>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</si>
  <si>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</si>
  <si>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</si>
  <si>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</si>
  <si>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</si>
  <si>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</si>
  <si>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</si>
  <si>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</si>
  <si>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</si>
  <si>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</si>
  <si>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</si>
  <si>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</si>
  <si>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</si>
  <si>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</si>
  <si>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</si>
  <si>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</si>
  <si>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</si>
  <si>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</si>
  <si>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</si>
  <si>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</si>
  <si>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</si>
  <si>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</si>
  <si>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</si>
  <si>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</si>
  <si>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</si>
  <si>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</si>
  <si>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</si>
  <si>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</si>
  <si>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</si>
  <si>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</si>
  <si>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</si>
  <si>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</si>
  <si>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</si>
  <si>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</si>
  <si>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</si>
  <si>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</si>
  <si>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</si>
  <si>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</si>
  <si>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</si>
  <si>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</si>
  <si>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</si>
  <si>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</si>
  <si>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</si>
  <si>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</si>
  <si>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</si>
  <si>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</si>
  <si>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</si>
  <si>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</si>
  <si>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</si>
  <si>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</si>
  <si>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</si>
  <si>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</si>
  <si>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</si>
  <si>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</si>
  <si>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</si>
  <si>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</si>
  <si>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</si>
  <si>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</si>
  <si>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</si>
  <si>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fission</t>
  </si>
  <si>
    <t>capture</t>
  </si>
  <si>
    <t>sensibilité (kg/%)</t>
  </si>
  <si>
    <t>Section macro de capture (cm-1)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</si>
</sst>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2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2" fontId="0" fillId="0" borderId="0" xfId="0" applyNumberFormat="1" applyAlignment="1">
      <alignment horizontal="center"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2" xfId="0" applyFont="1" applyFill="1" applyBorder="1" applyAlignment="1">
      <alignment horizontal="center" wrapText="1"/>
    </xf>
    <xf numFmtId="0" fontId="0" fillId="0" borderId="7" xfId="0" applyBorder="1" applyAlignment="1">
      <alignment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0" fillId="13" borderId="0" xfId="0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0" fontId="9" fillId="0" borderId="0" xfId="0" applyNumberFormat="1" applyFont="1"/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7.7460822262109225E+18</c:v>
                </c:pt>
                <c:pt idx="1">
                  <c:v>1.4022643440257964E+21</c:v>
                </c:pt>
                <c:pt idx="2">
                  <c:v>4.6574338606438718E+20</c:v>
                </c:pt>
                <c:pt idx="3">
                  <c:v>9.702987209674734E+19</c:v>
                </c:pt>
                <c:pt idx="4">
                  <c:v>3.2877890545178849E+19</c:v>
                </c:pt>
                <c:pt idx="5">
                  <c:v>2.0935906012576186E+19</c:v>
                </c:pt>
                <c:pt idx="6">
                  <c:v>5.7255366140277055E+19</c:v>
                </c:pt>
                <c:pt idx="7">
                  <c:v>1.0815324002538532E+22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6.4379908965849057E+18</c:v>
                </c:pt>
                <c:pt idx="1">
                  <c:v>1.3748027490192279E+21</c:v>
                </c:pt>
                <c:pt idx="2">
                  <c:v>4.8798120787778136E+20</c:v>
                </c:pt>
                <c:pt idx="3">
                  <c:v>8.7552068957703946E+19</c:v>
                </c:pt>
                <c:pt idx="4">
                  <c:v>3.4492585217589424E+19</c:v>
                </c:pt>
                <c:pt idx="5">
                  <c:v>2.1167912771663647E+19</c:v>
                </c:pt>
                <c:pt idx="6">
                  <c:v>4.517624656923988E+19</c:v>
                </c:pt>
                <c:pt idx="7">
                  <c:v>1.0480894137941205E+22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9189504"/>
        <c:axId val="99737600"/>
      </c:barChart>
      <c:catAx>
        <c:axId val="99189504"/>
        <c:scaling>
          <c:orientation val="minMax"/>
        </c:scaling>
        <c:delete val="0"/>
        <c:axPos val="b"/>
        <c:majorTickMark val="out"/>
        <c:minorTickMark val="none"/>
        <c:tickLblPos val="nextTo"/>
        <c:crossAx val="99737600"/>
        <c:crosses val="autoZero"/>
        <c:auto val="1"/>
        <c:lblAlgn val="ctr"/>
        <c:lblOffset val="100"/>
        <c:noMultiLvlLbl val="0"/>
      </c:catAx>
      <c:valAx>
        <c:axId val="99737600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991895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-1.0338794337522161E-3</c:v>
                </c:pt>
                <c:pt idx="1">
                  <c:v>-1.0807121324156732E-3</c:v>
                </c:pt>
                <c:pt idx="2">
                  <c:v>5.5779211330464484E-4</c:v>
                </c:pt>
                <c:pt idx="3">
                  <c:v>-1.9689076664342053E-3</c:v>
                </c:pt>
                <c:pt idx="4">
                  <c:v>6.6835984494040268E-4</c:v>
                </c:pt>
                <c:pt idx="5">
                  <c:v>5.6103758951842053E-4</c:v>
                </c:pt>
                <c:pt idx="6">
                  <c:v>-2.0682523267838704E-3</c:v>
                </c:pt>
                <c:pt idx="7">
                  <c:v>7.2624571313273378E-4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-4.7032923046131936E-3</c:v>
                </c:pt>
                <c:pt idx="1">
                  <c:v>-3.8478260869565517E-3</c:v>
                </c:pt>
                <c:pt idx="2">
                  <c:v>-2.5848849945235841E-3</c:v>
                </c:pt>
                <c:pt idx="3">
                  <c:v>-3.3150154626560013E-3</c:v>
                </c:pt>
                <c:pt idx="4">
                  <c:v>-3.4325197815668895E-3</c:v>
                </c:pt>
                <c:pt idx="5">
                  <c:v>-3.0168589174799365E-3</c:v>
                </c:pt>
                <c:pt idx="6">
                  <c:v>-3.7670968240476332E-3</c:v>
                </c:pt>
                <c:pt idx="7">
                  <c:v>4.6930588146241181E-3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873152"/>
        <c:axId val="141874688"/>
      </c:barChart>
      <c:catAx>
        <c:axId val="141873152"/>
        <c:scaling>
          <c:orientation val="minMax"/>
        </c:scaling>
        <c:delete val="0"/>
        <c:axPos val="b"/>
        <c:majorTickMark val="out"/>
        <c:minorTickMark val="none"/>
        <c:tickLblPos val="nextTo"/>
        <c:crossAx val="141874688"/>
        <c:crosses val="autoZero"/>
        <c:auto val="1"/>
        <c:lblAlgn val="ctr"/>
        <c:lblOffset val="100"/>
        <c:noMultiLvlLbl val="0"/>
      </c:catAx>
      <c:valAx>
        <c:axId val="141874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41873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408429595212157E-2"/>
                  <c:y val="5.8290377231263117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15.826109168058778</c:v>
                </c:pt>
                <c:pt idx="13">
                  <c:v>15.584032495149101</c:v>
                </c:pt>
                <c:pt idx="14">
                  <c:v>15.345658634784487</c:v>
                </c:pt>
                <c:pt idx="15">
                  <c:v>15.110930948625606</c:v>
                </c:pt>
                <c:pt idx="16">
                  <c:v>14.879793664674985</c:v>
                </c:pt>
                <c:pt idx="17">
                  <c:v>14.652191864025404</c:v>
                </c:pt>
                <c:pt idx="18">
                  <c:v>14.428071467811016</c:v>
                </c:pt>
                <c:pt idx="19">
                  <c:v>14.207379224358032</c:v>
                </c:pt>
                <c:pt idx="20">
                  <c:v>13.990062696531975</c:v>
                </c:pt>
                <c:pt idx="21">
                  <c:v>13.776070249278456</c:v>
                </c:pt>
                <c:pt idx="22">
                  <c:v>13.565351037354533</c:v>
                </c:pt>
                <c:pt idx="23">
                  <c:v>13.357854993247729</c:v>
                </c:pt>
                <c:pt idx="24">
                  <c:v>13.153532815279842</c:v>
                </c:pt>
                <c:pt idx="25">
                  <c:v>12.952335955892718</c:v>
                </c:pt>
                <c:pt idx="26">
                  <c:v>12.754216610113209</c:v>
                </c:pt>
                <c:pt idx="27">
                  <c:v>12.559127704194569</c:v>
                </c:pt>
                <c:pt idx="28">
                  <c:v>12.36702288443159</c:v>
                </c:pt>
                <c:pt idx="29">
                  <c:v>12.177856506146822</c:v>
                </c:pt>
                <c:pt idx="30">
                  <c:v>11.991583622845267</c:v>
                </c:pt>
                <c:pt idx="31">
                  <c:v>11.808159975534952</c:v>
                </c:pt>
                <c:pt idx="32">
                  <c:v>11.627541982210866</c:v>
                </c:pt>
                <c:pt idx="33">
                  <c:v>11.44968672749974</c:v>
                </c:pt>
                <c:pt idx="34">
                  <c:v>11.274551952463231</c:v>
                </c:pt>
                <c:pt idx="35">
                  <c:v>11.10209604455707</c:v>
                </c:pt>
                <c:pt idx="36">
                  <c:v>10.9322780277438</c:v>
                </c:pt>
                <c:pt idx="37">
                  <c:v>10.765057552756746</c:v>
                </c:pt>
                <c:pt idx="38">
                  <c:v>10.600394887512905</c:v>
                </c:pt>
                <c:pt idx="39">
                  <c:v>10.438250907672494</c:v>
                </c:pt>
                <c:pt idx="40">
                  <c:v>10.278587087342881</c:v>
                </c:pt>
                <c:pt idx="41">
                  <c:v>10.121365489924726</c:v>
                </c:pt>
                <c:pt idx="42">
                  <c:v>9.9665487590981225</c:v>
                </c:pt>
                <c:pt idx="43">
                  <c:v>9.8141001099466347</c:v>
                </c:pt>
                <c:pt idx="44">
                  <c:v>9.6639833202170848</c:v>
                </c:pt>
                <c:pt idx="45">
                  <c:v>9.5161627217130427</c:v>
                </c:pt>
                <c:pt idx="46">
                  <c:v>9.370603191819951</c:v>
                </c:pt>
                <c:pt idx="47">
                  <c:v>9.227270145159892</c:v>
                </c:pt>
                <c:pt idx="48">
                  <c:v>9.0861295253739947</c:v>
                </c:pt>
                <c:pt idx="49">
                  <c:v>8.9471477970305457</c:v>
                </c:pt>
                <c:pt idx="50">
                  <c:v>8.8102919376568707</c:v>
                </c:pt>
                <c:pt idx="51">
                  <c:v>8.6755294298930927</c:v>
                </c:pt>
                <c:pt idx="52">
                  <c:v>8.542828253765915</c:v>
                </c:pt>
                <c:pt idx="53">
                  <c:v>8.4121568790805785</c:v>
                </c:pt>
                <c:pt idx="54">
                  <c:v>8.2834842579291941</c:v>
                </c:pt>
                <c:pt idx="55">
                  <c:v>8.1567798173136659</c:v>
                </c:pt>
                <c:pt idx="56">
                  <c:v>8.0320134518814541</c:v>
                </c:pt>
                <c:pt idx="57">
                  <c:v>7.9091555167724596</c:v>
                </c:pt>
                <c:pt idx="58">
                  <c:v>7.7881768205753108</c:v>
                </c:pt>
                <c:pt idx="59">
                  <c:v>7.6690486183914013</c:v>
                </c:pt>
                <c:pt idx="60">
                  <c:v>7.5517426050050132</c:v>
                </c:pt>
                <c:pt idx="61">
                  <c:v>7.4362309081579161</c:v>
                </c:pt>
                <c:pt idx="62">
                  <c:v>7.3224860819268347</c:v>
                </c:pt>
                <c:pt idx="63">
                  <c:v>7.2104811002022151</c:v>
                </c:pt>
                <c:pt idx="64">
                  <c:v>7.1001893502667413</c:v>
                </c:pt>
                <c:pt idx="65">
                  <c:v>6.9915846264720729</c:v>
                </c:pt>
                <c:pt idx="66">
                  <c:v>6.8846411240123082</c:v>
                </c:pt>
                <c:pt idx="67">
                  <c:v>6.779333432792682</c:v>
                </c:pt>
                <c:pt idx="68">
                  <c:v>6.6756365313920529</c:v>
                </c:pt>
                <c:pt idx="69">
                  <c:v>6.5735257811177386</c:v>
                </c:pt>
                <c:pt idx="70">
                  <c:v>6.4729769201512912</c:v>
                </c:pt>
                <c:pt idx="71">
                  <c:v>6.3739660577838135</c:v>
                </c:pt>
                <c:pt idx="72">
                  <c:v>6.2764696687394572</c:v>
                </c:pt>
                <c:pt idx="73">
                  <c:v>6.1804645875857478</c:v>
                </c:pt>
                <c:pt idx="74">
                  <c:v>6.0859280032294079</c:v>
                </c:pt>
                <c:pt idx="75">
                  <c:v>5.9928374534963735</c:v>
                </c:pt>
                <c:pt idx="76">
                  <c:v>5.9011708197947152</c:v>
                </c:pt>
                <c:pt idx="77">
                  <c:v>5.8109063218591945</c:v>
                </c:pt>
                <c:pt idx="78">
                  <c:v>5.7220225125762072</c:v>
                </c:pt>
                <c:pt idx="79">
                  <c:v>5.6344982728878863</c:v>
                </c:pt>
                <c:pt idx="80">
                  <c:v>5.5483128067741498</c:v>
                </c:pt>
                <c:pt idx="81">
                  <c:v>5.4634456363115076</c:v>
                </c:pt>
                <c:pt idx="82">
                  <c:v>5.3798765968074402</c:v>
                </c:pt>
                <c:pt idx="83">
                  <c:v>5.2975858320092142</c:v>
                </c:pt>
                <c:pt idx="84">
                  <c:v>5.2165537893859719</c:v>
                </c:pt>
                <c:pt idx="85">
                  <c:v>5.136761215482994</c:v>
                </c:pt>
                <c:pt idx="86">
                  <c:v>5.0581891513470234</c:v>
                </c:pt>
                <c:pt idx="87">
                  <c:v>4.9808189280215576</c:v>
                </c:pt>
                <c:pt idx="88">
                  <c:v>4.904632162111052</c:v>
                </c:pt>
                <c:pt idx="89">
                  <c:v>4.8296107514129689</c:v>
                </c:pt>
                <c:pt idx="90">
                  <c:v>4.7557368706166407</c:v>
                </c:pt>
                <c:pt idx="91">
                  <c:v>4.6829929670679222</c:v>
                </c:pt>
                <c:pt idx="92">
                  <c:v>4.6113617565986296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338112"/>
        <c:axId val="145343616"/>
      </c:scatterChart>
      <c:valAx>
        <c:axId val="14333811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45343616"/>
        <c:crosses val="autoZero"/>
        <c:crossBetween val="midCat"/>
      </c:valAx>
      <c:valAx>
        <c:axId val="145343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43338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4.8313468826696578E-2"/>
                  <c:y val="-7.170246645122407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887744"/>
        <c:axId val="124327040"/>
      </c:scatterChart>
      <c:valAx>
        <c:axId val="12188774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24327040"/>
        <c:crosses val="autoZero"/>
        <c:crossBetween val="midCat"/>
      </c:valAx>
      <c:valAx>
        <c:axId val="124327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1887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1.6618917607400845E-2"/>
                  <c:y val="7.5958887813202494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337536"/>
        <c:axId val="124343808"/>
      </c:scatterChart>
      <c:valAx>
        <c:axId val="12433753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24343808"/>
        <c:crosses val="autoZero"/>
        <c:crossBetween val="midCat"/>
      </c:valAx>
      <c:valAx>
        <c:axId val="1243438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43375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4.4959741374737051E-2"/>
                  <c:y val="-9.499885662585318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224.64689728421121</c:v>
                </c:pt>
                <c:pt idx="9">
                  <c:v>222.8711823821005</c:v>
                </c:pt>
                <c:pt idx="10">
                  <c:v>221.16228425233356</c:v>
                </c:pt>
                <c:pt idx="11">
                  <c:v>219.51811935701537</c:v>
                </c:pt>
                <c:pt idx="12">
                  <c:v>217.93666353201257</c:v>
                </c:pt>
                <c:pt idx="13">
                  <c:v>216.41595033103022</c:v>
                </c:pt>
                <c:pt idx="14">
                  <c:v>214.95406941576368</c:v>
                </c:pt>
                <c:pt idx="15">
                  <c:v>213.54916499084189</c:v>
                </c:pt>
                <c:pt idx="16">
                  <c:v>212.19943428231278</c:v>
                </c:pt>
                <c:pt idx="17">
                  <c:v>210.90312605845781</c:v>
                </c:pt>
                <c:pt idx="18">
                  <c:v>209.65853919175561</c:v>
                </c:pt>
                <c:pt idx="19">
                  <c:v>208.46402126084774</c:v>
                </c:pt>
                <c:pt idx="20">
                  <c:v>207.31796719139231</c:v>
                </c:pt>
                <c:pt idx="21">
                  <c:v>206.21881793472133</c:v>
                </c:pt>
                <c:pt idx="22">
                  <c:v>205.16505918324881</c:v>
                </c:pt>
                <c:pt idx="23">
                  <c:v>204.15522012160534</c:v>
                </c:pt>
                <c:pt idx="24">
                  <c:v>203.18787221250417</c:v>
                </c:pt>
                <c:pt idx="25">
                  <c:v>202.26162801637088</c:v>
                </c:pt>
                <c:pt idx="26">
                  <c:v>201.37514004379631</c:v>
                </c:pt>
                <c:pt idx="27">
                  <c:v>200.52709963989847</c:v>
                </c:pt>
                <c:pt idx="28">
                  <c:v>199.71623589970454</c:v>
                </c:pt>
                <c:pt idx="29">
                  <c:v>198.94131461368923</c:v>
                </c:pt>
                <c:pt idx="30">
                  <c:v>198.20113724262939</c:v>
                </c:pt>
                <c:pt idx="31">
                  <c:v>197.49453992095889</c:v>
                </c:pt>
                <c:pt idx="32">
                  <c:v>196.82039248782979</c:v>
                </c:pt>
                <c:pt idx="33">
                  <c:v>196.17759754510857</c:v>
                </c:pt>
                <c:pt idx="34">
                  <c:v>195.56508954155746</c:v>
                </c:pt>
                <c:pt idx="35">
                  <c:v>194.98183388247199</c:v>
                </c:pt>
                <c:pt idx="36">
                  <c:v>194.42682606406595</c:v>
                </c:pt>
                <c:pt idx="37">
                  <c:v>193.89909083191492</c:v>
                </c:pt>
                <c:pt idx="38">
                  <c:v>193.39768136278903</c:v>
                </c:pt>
                <c:pt idx="39">
                  <c:v>192.92167846922348</c:v>
                </c:pt>
                <c:pt idx="40">
                  <c:v>192.4701898261946</c:v>
                </c:pt>
                <c:pt idx="41">
                  <c:v>192.04234921928577</c:v>
                </c:pt>
                <c:pt idx="42">
                  <c:v>191.63731581374566</c:v>
                </c:pt>
                <c:pt idx="43">
                  <c:v>191.25427344385719</c:v>
                </c:pt>
                <c:pt idx="44">
                  <c:v>190.8924299220524</c:v>
                </c:pt>
                <c:pt idx="45">
                  <c:v>190.55101636722358</c:v>
                </c:pt>
                <c:pt idx="46">
                  <c:v>190.22928655169699</c:v>
                </c:pt>
                <c:pt idx="47">
                  <c:v>189.92651626634986</c:v>
                </c:pt>
                <c:pt idx="48">
                  <c:v>189.6420027033661</c:v>
                </c:pt>
                <c:pt idx="49">
                  <c:v>189.37506385614014</c:v>
                </c:pt>
                <c:pt idx="50">
                  <c:v>189.12503793585205</c:v>
                </c:pt>
                <c:pt idx="51">
                  <c:v>188.89128280425038</c:v>
                </c:pt>
                <c:pt idx="52">
                  <c:v>188.67317542219195</c:v>
                </c:pt>
                <c:pt idx="53">
                  <c:v>188.47011131350069</c:v>
                </c:pt>
                <c:pt idx="54">
                  <c:v>188.28150404371937</c:v>
                </c:pt>
                <c:pt idx="55">
                  <c:v>188.10678471334043</c:v>
                </c:pt>
                <c:pt idx="56">
                  <c:v>187.94540146511349</c:v>
                </c:pt>
                <c:pt idx="57">
                  <c:v>187.79681900503789</c:v>
                </c:pt>
                <c:pt idx="58">
                  <c:v>187.6605181366605</c:v>
                </c:pt>
                <c:pt idx="59">
                  <c:v>187.53599530830849</c:v>
                </c:pt>
                <c:pt idx="60">
                  <c:v>187.4227621728979</c:v>
                </c:pt>
                <c:pt idx="61">
                  <c:v>187.32034515996872</c:v>
                </c:pt>
                <c:pt idx="62">
                  <c:v>187.22828505960626</c:v>
                </c:pt>
                <c:pt idx="63">
                  <c:v>187.14613661791918</c:v>
                </c:pt>
                <c:pt idx="64">
                  <c:v>187.07346814375268</c:v>
                </c:pt>
                <c:pt idx="65">
                  <c:v>187.00986112632512</c:v>
                </c:pt>
                <c:pt idx="66">
                  <c:v>186.95490986348437</c:v>
                </c:pt>
                <c:pt idx="67">
                  <c:v>186.90822110028901</c:v>
                </c:pt>
                <c:pt idx="68">
                  <c:v>186.8694136776279</c:v>
                </c:pt>
                <c:pt idx="69">
                  <c:v>186.838118190599</c:v>
                </c:pt>
                <c:pt idx="70">
                  <c:v>186.81397665637667</c:v>
                </c:pt>
                <c:pt idx="71">
                  <c:v>186.7966421913039</c:v>
                </c:pt>
                <c:pt idx="72">
                  <c:v>186.78577869695351</c:v>
                </c:pt>
                <c:pt idx="73">
                  <c:v>186.78106055490923</c:v>
                </c:pt>
                <c:pt idx="74">
                  <c:v>186.78217233002448</c:v>
                </c:pt>
                <c:pt idx="75">
                  <c:v>186.78880848192384</c:v>
                </c:pt>
                <c:pt idx="76">
                  <c:v>186.80067308451825</c:v>
                </c:pt>
                <c:pt idx="77">
                  <c:v>186.81747955331153</c:v>
                </c:pt>
                <c:pt idx="78">
                  <c:v>186.83895038028209</c:v>
                </c:pt>
                <c:pt idx="79">
                  <c:v>186.86481687612962</c:v>
                </c:pt>
                <c:pt idx="80">
                  <c:v>186.89481891968239</c:v>
                </c:pt>
                <c:pt idx="81">
                  <c:v>186.92870471426659</c:v>
                </c:pt>
                <c:pt idx="82">
                  <c:v>186.96623055084436</c:v>
                </c:pt>
                <c:pt idx="83">
                  <c:v>187.00716057773306</c:v>
                </c:pt>
                <c:pt idx="84">
                  <c:v>187.05126657672298</c:v>
                </c:pt>
                <c:pt idx="85">
                  <c:v>187.09832774541616</c:v>
                </c:pt>
                <c:pt idx="86">
                  <c:v>187.14813048561376</c:v>
                </c:pt>
                <c:pt idx="87">
                  <c:v>187.20046819758434</c:v>
                </c:pt>
                <c:pt idx="88">
                  <c:v>187.25514108004975</c:v>
                </c:pt>
                <c:pt idx="89">
                  <c:v>187.3119559357304</c:v>
                </c:pt>
                <c:pt idx="90">
                  <c:v>187.37072598229548</c:v>
                </c:pt>
                <c:pt idx="91">
                  <c:v>187.43127066856869</c:v>
                </c:pt>
                <c:pt idx="92">
                  <c:v>187.49341549584335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576128"/>
        <c:axId val="124578048"/>
      </c:scatterChart>
      <c:valAx>
        <c:axId val="12457612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24578048"/>
        <c:crosses val="autoZero"/>
        <c:crossBetween val="midCat"/>
      </c:valAx>
      <c:valAx>
        <c:axId val="124578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4576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2.1597476277240152E-3"/>
                  <c:y val="8.932653327573315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85.929446345746172</c:v>
                </c:pt>
                <c:pt idx="12">
                  <c:v>86.216016658654013</c:v>
                </c:pt>
                <c:pt idx="13">
                  <c:v>86.494879894574083</c:v>
                </c:pt>
                <c:pt idx="14">
                  <c:v>86.766311516782338</c:v>
                </c:pt>
                <c:pt idx="15">
                  <c:v>87.030578119218532</c:v>
                </c:pt>
                <c:pt idx="16">
                  <c:v>87.287937685976928</c:v>
                </c:pt>
                <c:pt idx="17">
                  <c:v>87.538639843483253</c:v>
                </c:pt>
                <c:pt idx="18">
                  <c:v>87.7829261055617</c:v>
                </c:pt>
                <c:pt idx="19">
                  <c:v>88.021030111590491</c:v>
                </c:pt>
                <c:pt idx="20">
                  <c:v>88.253177857938837</c:v>
                </c:pt>
                <c:pt idx="21">
                  <c:v>88.479587922872696</c:v>
                </c:pt>
                <c:pt idx="22">
                  <c:v>88.700471685111694</c:v>
                </c:pt>
                <c:pt idx="23">
                  <c:v>88.916033536214229</c:v>
                </c:pt>
                <c:pt idx="24">
                  <c:v>89.126471086963122</c:v>
                </c:pt>
                <c:pt idx="25">
                  <c:v>89.331975367919156</c:v>
                </c:pt>
                <c:pt idx="26">
                  <c:v>89.532731024305264</c:v>
                </c:pt>
                <c:pt idx="27">
                  <c:v>89.728916505379686</c:v>
                </c:pt>
                <c:pt idx="28">
                  <c:v>89.92070424845177</c:v>
                </c:pt>
                <c:pt idx="29">
                  <c:v>90.10826085769007</c:v>
                </c:pt>
                <c:pt idx="30">
                  <c:v>90.291747277868055</c:v>
                </c:pt>
                <c:pt idx="31">
                  <c:v>90.471318963188722</c:v>
                </c:pt>
                <c:pt idx="32">
                  <c:v>90.647126041325492</c:v>
                </c:pt>
                <c:pt idx="33">
                  <c:v>90.819313472813036</c:v>
                </c:pt>
                <c:pt idx="34">
                  <c:v>90.988021205917676</c:v>
                </c:pt>
                <c:pt idx="35">
                  <c:v>91.153384327113798</c:v>
                </c:pt>
                <c:pt idx="36">
                  <c:v>91.315533207288723</c:v>
                </c:pt>
                <c:pt idx="37">
                  <c:v>91.474593643795515</c:v>
                </c:pt>
                <c:pt idx="38">
                  <c:v>91.630686998469614</c:v>
                </c:pt>
                <c:pt idx="39">
                  <c:v>91.78393033172199</c:v>
                </c:pt>
                <c:pt idx="40">
                  <c:v>91.93443653281841</c:v>
                </c:pt>
                <c:pt idx="41">
                  <c:v>92.082314446451406</c:v>
                </c:pt>
                <c:pt idx="42">
                  <c:v>92.227668995708427</c:v>
                </c:pt>
                <c:pt idx="43">
                  <c:v>92.370601301536965</c:v>
                </c:pt>
                <c:pt idx="44">
                  <c:v>92.51120879880439</c:v>
                </c:pt>
                <c:pt idx="45">
                  <c:v>92.649585349047783</c:v>
                </c:pt>
                <c:pt idx="46">
                  <c:v>92.785821350006188</c:v>
                </c:pt>
                <c:pt idx="47">
                  <c:v>92.920003842025267</c:v>
                </c:pt>
                <c:pt idx="48">
                  <c:v>93.05221661142167</c:v>
                </c:pt>
                <c:pt idx="49">
                  <c:v>93.182540290892263</c:v>
                </c:pt>
                <c:pt idx="50">
                  <c:v>93.311052457050721</c:v>
                </c:pt>
                <c:pt idx="51">
                  <c:v>93.437827725171871</c:v>
                </c:pt>
                <c:pt idx="52">
                  <c:v>93.562937841221782</c:v>
                </c:pt>
                <c:pt idx="53">
                  <c:v>93.686451771249665</c:v>
                </c:pt>
                <c:pt idx="54">
                  <c:v>93.80843578821522</c:v>
                </c:pt>
                <c:pt idx="55">
                  <c:v>93.928953556323279</c:v>
                </c:pt>
                <c:pt idx="56">
                  <c:v>94.048066212935424</c:v>
                </c:pt>
                <c:pt idx="57">
                  <c:v>94.16583244812648</c:v>
                </c:pt>
                <c:pt idx="58">
                  <c:v>94.282308581951654</c:v>
                </c:pt>
                <c:pt idx="59">
                  <c:v>94.397548639488591</c:v>
                </c:pt>
                <c:pt idx="60">
                  <c:v>94.51160442371642</c:v>
                </c:pt>
                <c:pt idx="61">
                  <c:v>94.624525586292577</c:v>
                </c:pt>
                <c:pt idx="62">
                  <c:v>94.736359696286129</c:v>
                </c:pt>
                <c:pt idx="63">
                  <c:v>94.847152306924883</c:v>
                </c:pt>
                <c:pt idx="64">
                  <c:v>94.956947020412002</c:v>
                </c:pt>
                <c:pt idx="65">
                  <c:v>95.065785550866067</c:v>
                </c:pt>
                <c:pt idx="66">
                  <c:v>95.173707785437358</c:v>
                </c:pt>
                <c:pt idx="67">
                  <c:v>95.280751843651316</c:v>
                </c:pt>
                <c:pt idx="68">
                  <c:v>95.386954135029058</c:v>
                </c:pt>
                <c:pt idx="69">
                  <c:v>95.49234941503309</c:v>
                </c:pt>
                <c:pt idx="70">
                  <c:v>95.596970839385321</c:v>
                </c:pt>
                <c:pt idx="71">
                  <c:v>95.700850016803031</c:v>
                </c:pt>
                <c:pt idx="72">
                  <c:v>95.804017060197182</c:v>
                </c:pt>
                <c:pt idx="73">
                  <c:v>95.906500636376151</c:v>
                </c:pt>
                <c:pt idx="74">
                  <c:v>96.008328014297007</c:v>
                </c:pt>
                <c:pt idx="75">
                  <c:v>96.109525111905</c:v>
                </c:pt>
                <c:pt idx="76">
                  <c:v>96.210116541600982</c:v>
                </c:pt>
                <c:pt idx="77">
                  <c:v>96.310125654375256</c:v>
                </c:pt>
                <c:pt idx="78">
                  <c:v>96.409574582645433</c:v>
                </c:pt>
                <c:pt idx="79">
                  <c:v>96.508484281834654</c:v>
                </c:pt>
                <c:pt idx="80">
                  <c:v>96.606874570725608</c:v>
                </c:pt>
                <c:pt idx="81">
                  <c:v>96.70476417062487</c:v>
                </c:pt>
                <c:pt idx="82">
                  <c:v>96.802170743370866</c:v>
                </c:pt>
                <c:pt idx="83">
                  <c:v>96.899110928218235</c:v>
                </c:pt>
                <c:pt idx="84">
                  <c:v>96.995600377630069</c:v>
                </c:pt>
                <c:pt idx="85">
                  <c:v>97.091653792008842</c:v>
                </c:pt>
                <c:pt idx="86">
                  <c:v>97.18728495339596</c:v>
                </c:pt>
                <c:pt idx="87">
                  <c:v>97.282506758168964</c:v>
                </c:pt>
                <c:pt idx="88">
                  <c:v>97.377331248764662</c:v>
                </c:pt>
                <c:pt idx="89">
                  <c:v>97.471769644455719</c:v>
                </c:pt>
                <c:pt idx="90">
                  <c:v>97.565832371207364</c:v>
                </c:pt>
                <c:pt idx="91">
                  <c:v>97.659529090640149</c:v>
                </c:pt>
                <c:pt idx="92">
                  <c:v>97.752868728124142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91584"/>
        <c:axId val="124693504"/>
      </c:scatterChart>
      <c:valAx>
        <c:axId val="12469158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24693504"/>
        <c:crosses val="autoZero"/>
        <c:crossBetween val="midCat"/>
      </c:valAx>
      <c:valAx>
        <c:axId val="124693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46915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4"/>
            <c:dispRSqr val="1"/>
            <c:dispEq val="1"/>
            <c:trendlineLbl>
              <c:layout>
                <c:manualLayout>
                  <c:x val="0.14157716932908598"/>
                  <c:y val="-0.22196459534658655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52.423040728724722</c:v>
                </c:pt>
                <c:pt idx="23">
                  <c:v>52.372718477598404</c:v>
                </c:pt>
                <c:pt idx="24">
                  <c:v>52.319166717157209</c:v>
                </c:pt>
                <c:pt idx="25">
                  <c:v>52.26261084773062</c:v>
                </c:pt>
                <c:pt idx="26">
                  <c:v>52.203266901737784</c:v>
                </c:pt>
                <c:pt idx="27">
                  <c:v>52.141341861603571</c:v>
                </c:pt>
                <c:pt idx="28">
                  <c:v>52.077033967853943</c:v>
                </c:pt>
                <c:pt idx="29">
                  <c:v>52.010533017680046</c:v>
                </c:pt>
                <c:pt idx="30">
                  <c:v>51.942020654252268</c:v>
                </c:pt>
                <c:pt idx="31">
                  <c:v>51.871670647057257</c:v>
                </c:pt>
                <c:pt idx="32">
                  <c:v>51.799649163523178</c:v>
                </c:pt>
                <c:pt idx="33">
                  <c:v>51.726115032190656</c:v>
                </c:pt>
                <c:pt idx="34">
                  <c:v>51.651219997679689</c:v>
                </c:pt>
                <c:pt idx="35">
                  <c:v>51.575108967695343</c:v>
                </c:pt>
                <c:pt idx="36">
                  <c:v>51.497920252308191</c:v>
                </c:pt>
                <c:pt idx="37">
                  <c:v>51.419785795738655</c:v>
                </c:pt>
                <c:pt idx="38">
                  <c:v>51.340831400867671</c:v>
                </c:pt>
                <c:pt idx="39">
                  <c:v>51.261176946689808</c:v>
                </c:pt>
                <c:pt idx="40">
                  <c:v>51.180936598918684</c:v>
                </c:pt>
                <c:pt idx="41">
                  <c:v>51.10021901394839</c:v>
                </c:pt>
                <c:pt idx="42">
                  <c:v>51.019127536368892</c:v>
                </c:pt>
                <c:pt idx="43">
                  <c:v>50.937760390227474</c:v>
                </c:pt>
                <c:pt idx="44">
                  <c:v>50.856210864222867</c:v>
                </c:pt>
                <c:pt idx="45">
                  <c:v>50.774567491013251</c:v>
                </c:pt>
                <c:pt idx="46">
                  <c:v>50.692914220814082</c:v>
                </c:pt>
                <c:pt idx="47">
                  <c:v>50.611330589456543</c:v>
                </c:pt>
                <c:pt idx="48">
                  <c:v>50.529891881072579</c:v>
                </c:pt>
                <c:pt idx="49">
                  <c:v>50.44866928556754</c:v>
                </c:pt>
                <c:pt idx="50">
                  <c:v>50.367730051036851</c:v>
                </c:pt>
                <c:pt idx="51">
                  <c:v>50.287137631278611</c:v>
                </c:pt>
                <c:pt idx="52">
                  <c:v>50.206951828549499</c:v>
                </c:pt>
                <c:pt idx="53">
                  <c:v>50.127228931707251</c:v>
                </c:pt>
                <c:pt idx="54">
                  <c:v>50.048021849878602</c:v>
                </c:pt>
                <c:pt idx="55">
                  <c:v>49.969380241787732</c:v>
                </c:pt>
                <c:pt idx="56">
                  <c:v>49.89135064087624</c:v>
                </c:pt>
                <c:pt idx="57">
                  <c:v>49.813976576341808</c:v>
                </c:pt>
                <c:pt idx="58">
                  <c:v>49.73729869021912</c:v>
                </c:pt>
                <c:pt idx="59">
                  <c:v>49.661354850622885</c:v>
                </c:pt>
                <c:pt idx="60">
                  <c:v>49.586180261269455</c:v>
                </c:pt>
                <c:pt idx="61">
                  <c:v>49.511807567389937</c:v>
                </c:pt>
                <c:pt idx="62">
                  <c:v>49.438266958144617</c:v>
                </c:pt>
                <c:pt idx="63">
                  <c:v>49.365586265645092</c:v>
                </c:pt>
                <c:pt idx="64">
                  <c:v>49.29379106068761</c:v>
                </c:pt>
                <c:pt idx="65">
                  <c:v>49.222904745297861</c:v>
                </c:pt>
                <c:pt idx="66">
                  <c:v>49.152948642184754</c:v>
                </c:pt>
                <c:pt idx="67">
                  <c:v>49.083942081197648</c:v>
                </c:pt>
                <c:pt idx="68">
                  <c:v>49.015902482878928</c:v>
                </c:pt>
                <c:pt idx="69">
                  <c:v>48.948845439200952</c:v>
                </c:pt>
                <c:pt idx="70">
                  <c:v>48.882784791573918</c:v>
                </c:pt>
                <c:pt idx="71">
                  <c:v>48.817732706208524</c:v>
                </c:pt>
                <c:pt idx="72">
                  <c:v>48.753699746915004</c:v>
                </c:pt>
                <c:pt idx="73">
                  <c:v>48.690694945417505</c:v>
                </c:pt>
                <c:pt idx="74">
                  <c:v>48.628725869260677</c:v>
                </c:pt>
                <c:pt idx="75">
                  <c:v>48.567798687382862</c:v>
                </c:pt>
                <c:pt idx="76">
                  <c:v>48.507918233428285</c:v>
                </c:pt>
                <c:pt idx="77">
                  <c:v>48.449088066868292</c:v>
                </c:pt>
                <c:pt idx="78">
                  <c:v>48.391310531999871</c:v>
                </c:pt>
                <c:pt idx="79">
                  <c:v>48.334586814887395</c:v>
                </c:pt>
                <c:pt idx="80">
                  <c:v>48.278916998311836</c:v>
                </c:pt>
                <c:pt idx="81">
                  <c:v>48.2243001147896</c:v>
                </c:pt>
                <c:pt idx="82">
                  <c:v>48.170734197721401</c:v>
                </c:pt>
                <c:pt idx="83">
                  <c:v>48.11821633072978</c:v>
                </c:pt>
                <c:pt idx="84">
                  <c:v>48.066742695242134</c:v>
                </c:pt>
                <c:pt idx="85">
                  <c:v>48.016308616374374</c:v>
                </c:pt>
                <c:pt idx="86">
                  <c:v>47.966908607168818</c:v>
                </c:pt>
                <c:pt idx="87">
                  <c:v>47.918536411238236</c:v>
                </c:pt>
                <c:pt idx="88">
                  <c:v>47.871185043866397</c:v>
                </c:pt>
                <c:pt idx="89">
                  <c:v>47.824846831614074</c:v>
                </c:pt>
                <c:pt idx="90">
                  <c:v>47.779513450477928</c:v>
                </c:pt>
                <c:pt idx="91">
                  <c:v>47.735175962648242</c:v>
                </c:pt>
                <c:pt idx="92">
                  <c:v>47.691824851910255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038976"/>
        <c:axId val="125040896"/>
      </c:scatterChart>
      <c:valAx>
        <c:axId val="12503897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25040896"/>
        <c:crosses val="autoZero"/>
        <c:crossBetween val="midCat"/>
      </c:valAx>
      <c:valAx>
        <c:axId val="1250408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5038976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exp"/>
            <c:dispRSqr val="1"/>
            <c:dispEq val="1"/>
            <c:trendlineLbl>
              <c:layout>
                <c:manualLayout>
                  <c:x val="-7.320702547314147E-4"/>
                  <c:y val="-0.13504948346610468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136.25503709258092</c:v>
                </c:pt>
                <c:pt idx="2">
                  <c:v>133.59023618509309</c:v>
                </c:pt>
                <c:pt idx="3">
                  <c:v>130.97770092408416</c:v>
                </c:pt>
                <c:pt idx="4">
                  <c:v>128.41640582252401</c:v>
                </c:pt>
                <c:pt idx="5">
                  <c:v>125.90534551497896</c:v>
                </c:pt>
                <c:pt idx="6">
                  <c:v>123.44353436279641</c:v>
                </c:pt>
                <c:pt idx="7">
                  <c:v>121.03000606703648</c:v>
                </c:pt>
                <c:pt idx="8">
                  <c:v>118.66381328899823</c:v>
                </c:pt>
                <c:pt idx="9">
                  <c:v>116.34402727819177</c:v>
                </c:pt>
                <c:pt idx="10">
                  <c:v>114.06973750761007</c:v>
                </c:pt>
                <c:pt idx="11">
                  <c:v>111.84005131615716</c:v>
                </c:pt>
                <c:pt idx="12">
                  <c:v>109.65409355809237</c:v>
                </c:pt>
                <c:pt idx="13">
                  <c:v>107.51100625935302</c:v>
                </c:pt>
                <c:pt idx="14">
                  <c:v>105.40994828062045</c:v>
                </c:pt>
                <c:pt idx="15">
                  <c:v>103.35009498699715</c:v>
                </c:pt>
                <c:pt idx="16">
                  <c:v>101.3306379241653</c:v>
                </c:pt>
                <c:pt idx="17">
                  <c:v>99.350784500899536</c:v>
                </c:pt>
                <c:pt idx="18">
                  <c:v>97.409757677809182</c:v>
                </c:pt>
                <c:pt idx="19">
                  <c:v>95.506795662187855</c:v>
                </c:pt>
                <c:pt idx="20">
                  <c:v>93.64115160885045</c:v>
                </c:pt>
                <c:pt idx="21">
                  <c:v>91.812093326840213</c:v>
                </c:pt>
                <c:pt idx="22">
                  <c:v>90.018902991890556</c:v>
                </c:pt>
                <c:pt idx="23">
                  <c:v>88.260876864528782</c:v>
                </c:pt>
                <c:pt idx="24">
                  <c:v>86.537325013711012</c:v>
                </c:pt>
                <c:pt idx="25">
                  <c:v>84.847571045879747</c:v>
                </c:pt>
                <c:pt idx="26">
                  <c:v>83.190951839337743</c:v>
                </c:pt>
                <c:pt idx="27">
                  <c:v>81.566817283833799</c:v>
                </c:pt>
                <c:pt idx="28">
                  <c:v>79.974530025258275</c:v>
                </c:pt>
                <c:pt idx="29">
                  <c:v>78.413465215347955</c:v>
                </c:pt>
                <c:pt idx="30">
                  <c:v>76.883010266302179</c:v>
                </c:pt>
                <c:pt idx="31">
                  <c:v>75.382564610213606</c:v>
                </c:pt>
                <c:pt idx="32">
                  <c:v>73.911539463219412</c:v>
                </c:pt>
                <c:pt idx="33">
                  <c:v>72.469357594280069</c:v>
                </c:pt>
                <c:pt idx="34">
                  <c:v>71.055453098495107</c:v>
                </c:pt>
                <c:pt idx="35">
                  <c:v>69.669271174866651</c:v>
                </c:pt>
                <c:pt idx="36">
                  <c:v>68.310267908423597</c:v>
                </c:pt>
                <c:pt idx="37">
                  <c:v>66.977910056620829</c:v>
                </c:pt>
                <c:pt idx="38">
                  <c:v>65.671674839929551</c:v>
                </c:pt>
                <c:pt idx="39">
                  <c:v>64.391049736536573</c:v>
                </c:pt>
                <c:pt idx="40">
                  <c:v>63.135532281071882</c:v>
                </c:pt>
                <c:pt idx="41">
                  <c:v>61.904629867285422</c:v>
                </c:pt>
                <c:pt idx="42">
                  <c:v>60.697859554595716</c:v>
                </c:pt>
                <c:pt idx="43">
                  <c:v>59.514747878434207</c:v>
                </c:pt>
                <c:pt idx="44">
                  <c:v>58.354830664310967</c:v>
                </c:pt>
                <c:pt idx="45">
                  <c:v>57.217652845528676</c:v>
                </c:pt>
                <c:pt idx="46">
                  <c:v>56.102768284473349</c:v>
                </c:pt>
                <c:pt idx="47">
                  <c:v>55.009739597411546</c:v>
                </c:pt>
                <c:pt idx="48">
                  <c:v>53.938137982725365</c:v>
                </c:pt>
                <c:pt idx="49">
                  <c:v>52.887543052517692</c:v>
                </c:pt>
                <c:pt idx="50">
                  <c:v>51.857542667521614</c:v>
                </c:pt>
                <c:pt idx="51">
                  <c:v>50.847732775249121</c:v>
                </c:pt>
                <c:pt idx="52">
                  <c:v>49.857717251315613</c:v>
                </c:pt>
                <c:pt idx="53">
                  <c:v>48.887107743877806</c:v>
                </c:pt>
                <c:pt idx="54">
                  <c:v>47.935523521124033</c:v>
                </c:pt>
                <c:pt idx="55">
                  <c:v>47.002591321756988</c:v>
                </c:pt>
                <c:pt idx="56">
                  <c:v>46.087945208410247</c:v>
                </c:pt>
                <c:pt idx="57">
                  <c:v>45.191226423940918</c:v>
                </c:pt>
                <c:pt idx="58">
                  <c:v>44.312083250542116</c:v>
                </c:pt>
                <c:pt idx="59">
                  <c:v>43.45017087161979</c:v>
                </c:pt>
                <c:pt idx="60">
                  <c:v>42.605151236379797</c:v>
                </c:pt>
                <c:pt idx="61">
                  <c:v>41.776692927071927</c:v>
                </c:pt>
                <c:pt idx="62">
                  <c:v>40.964471028838837</c:v>
                </c:pt>
                <c:pt idx="63">
                  <c:v>40.168167002118722</c:v>
                </c:pt>
                <c:pt idx="64">
                  <c:v>39.387468557551628</c:v>
                </c:pt>
                <c:pt idx="65">
                  <c:v>38.622069533340344</c:v>
                </c:pt>
                <c:pt idx="66">
                  <c:v>37.871669775017587</c:v>
                </c:pt>
                <c:pt idx="67">
                  <c:v>37.135975017572392</c:v>
                </c:pt>
                <c:pt idx="68">
                  <c:v>36.414696769889332</c:v>
                </c:pt>
                <c:pt idx="69">
                  <c:v>35.707552201455236</c:v>
                </c:pt>
                <c:pt idx="70">
                  <c:v>35.014264031288874</c:v>
                </c:pt>
                <c:pt idx="71">
                  <c:v>34.334560419050014</c:v>
                </c:pt>
                <c:pt idx="72">
                  <c:v>33.668174858285106</c:v>
                </c:pt>
                <c:pt idx="73">
                  <c:v>33.014846071767629</c:v>
                </c:pt>
                <c:pt idx="74">
                  <c:v>32.374317908892031</c:v>
                </c:pt>
                <c:pt idx="75">
                  <c:v>31.746339245080943</c:v>
                </c:pt>
                <c:pt idx="76">
                  <c:v>31.130663883166203</c:v>
                </c:pt>
                <c:pt idx="77">
                  <c:v>30.527050456704917</c:v>
                </c:pt>
                <c:pt idx="78">
                  <c:v>29.935262335192611</c:v>
                </c:pt>
                <c:pt idx="79">
                  <c:v>29.355067531136264</c:v>
                </c:pt>
                <c:pt idx="80">
                  <c:v>28.786238608950686</c:v>
                </c:pt>
                <c:pt idx="81">
                  <c:v>28.228552595642519</c:v>
                </c:pt>
                <c:pt idx="82">
                  <c:v>27.681790893246735</c:v>
                </c:pt>
                <c:pt idx="83">
                  <c:v>27.145739192981281</c:v>
                </c:pt>
                <c:pt idx="84">
                  <c:v>26.620187391086141</c:v>
                </c:pt>
                <c:pt idx="85">
                  <c:v>26.104929506313752</c:v>
                </c:pt>
                <c:pt idx="86">
                  <c:v>25.599763599038422</c:v>
                </c:pt>
                <c:pt idx="87">
                  <c:v>25.104491691952912</c:v>
                </c:pt>
                <c:pt idx="88">
                  <c:v>24.618919692321107</c:v>
                </c:pt>
                <c:pt idx="89">
                  <c:v>24.142857315756185</c:v>
                </c:pt>
                <c:pt idx="90">
                  <c:v>23.676118011494406</c:v>
                </c:pt>
                <c:pt idx="91">
                  <c:v>23.21851888913513</c:v>
                </c:pt>
                <c:pt idx="92">
                  <c:v>22.769880646818311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524224"/>
        <c:axId val="125530496"/>
      </c:scatterChart>
      <c:valAx>
        <c:axId val="1255242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25530496"/>
        <c:crosses val="autoZero"/>
        <c:crossBetween val="midCat"/>
      </c:valAx>
      <c:valAx>
        <c:axId val="1255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55242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1.9514644850982122E-3"/>
                  <c:y val="9.7607952461150671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26517.132987106386</c:v>
                </c:pt>
                <c:pt idx="2">
                  <c:v>26447.815097904404</c:v>
                </c:pt>
                <c:pt idx="3">
                  <c:v>26378.678411255631</c:v>
                </c:pt>
                <c:pt idx="4">
                  <c:v>26309.722453480434</c:v>
                </c:pt>
                <c:pt idx="5">
                  <c:v>26240.946752137475</c:v>
                </c:pt>
                <c:pt idx="6">
                  <c:v>26172.350836020476</c:v>
                </c:pt>
                <c:pt idx="7">
                  <c:v>26103.934235154982</c:v>
                </c:pt>
                <c:pt idx="8">
                  <c:v>26035.696480795141</c:v>
                </c:pt>
                <c:pt idx="9">
                  <c:v>25967.63710542049</c:v>
                </c:pt>
                <c:pt idx="10">
                  <c:v>25899.755642732758</c:v>
                </c:pt>
                <c:pt idx="11">
                  <c:v>25832.051627652658</c:v>
                </c:pt>
                <c:pt idx="12">
                  <c:v>25764.524596316704</c:v>
                </c:pt>
                <c:pt idx="13">
                  <c:v>25697.174086074032</c:v>
                </c:pt>
                <c:pt idx="14">
                  <c:v>25629.999635483233</c:v>
                </c:pt>
                <c:pt idx="15">
                  <c:v>25563.000784309181</c:v>
                </c:pt>
                <c:pt idx="16">
                  <c:v>25496.177073519881</c:v>
                </c:pt>
                <c:pt idx="17">
                  <c:v>25429.528045283325</c:v>
                </c:pt>
                <c:pt idx="18">
                  <c:v>25363.053242964354</c:v>
                </c:pt>
                <c:pt idx="19">
                  <c:v>25296.752211121526</c:v>
                </c:pt>
                <c:pt idx="20">
                  <c:v>25230.624495503998</c:v>
                </c:pt>
                <c:pt idx="21">
                  <c:v>25164.669643048408</c:v>
                </c:pt>
                <c:pt idx="22">
                  <c:v>25098.887201875768</c:v>
                </c:pt>
                <c:pt idx="23">
                  <c:v>25033.276721288374</c:v>
                </c:pt>
                <c:pt idx="24">
                  <c:v>24967.83775176671</c:v>
                </c:pt>
                <c:pt idx="25">
                  <c:v>24902.56984496638</c:v>
                </c:pt>
                <c:pt idx="26">
                  <c:v>24837.472553715012</c:v>
                </c:pt>
                <c:pt idx="27">
                  <c:v>24772.545432009214</c:v>
                </c:pt>
                <c:pt idx="28">
                  <c:v>24707.788035011512</c:v>
                </c:pt>
                <c:pt idx="29">
                  <c:v>24643.199919047292</c:v>
                </c:pt>
                <c:pt idx="30">
                  <c:v>24578.780641601774</c:v>
                </c:pt>
                <c:pt idx="31">
                  <c:v>24514.529761316968</c:v>
                </c:pt>
                <c:pt idx="32">
                  <c:v>24450.446837988653</c:v>
                </c:pt>
                <c:pt idx="33">
                  <c:v>24386.531432563359</c:v>
                </c:pt>
                <c:pt idx="34">
                  <c:v>24322.783107135361</c:v>
                </c:pt>
                <c:pt idx="35">
                  <c:v>24259.201424943676</c:v>
                </c:pt>
                <c:pt idx="36">
                  <c:v>24195.785950369071</c:v>
                </c:pt>
                <c:pt idx="37">
                  <c:v>24132.536248931072</c:v>
                </c:pt>
                <c:pt idx="38">
                  <c:v>24069.451887284999</c:v>
                </c:pt>
                <c:pt idx="39">
                  <c:v>24006.532433218978</c:v>
                </c:pt>
                <c:pt idx="40">
                  <c:v>23943.777455650998</c:v>
                </c:pt>
                <c:pt idx="41">
                  <c:v>23881.186524625944</c:v>
                </c:pt>
                <c:pt idx="42">
                  <c:v>23818.759211312656</c:v>
                </c:pt>
                <c:pt idx="43">
                  <c:v>23756.495088000989</c:v>
                </c:pt>
                <c:pt idx="44">
                  <c:v>23694.393728098879</c:v>
                </c:pt>
                <c:pt idx="45">
                  <c:v>23632.454706129429</c:v>
                </c:pt>
                <c:pt idx="46">
                  <c:v>23570.677597727983</c:v>
                </c:pt>
                <c:pt idx="47">
                  <c:v>23509.06197963922</c:v>
                </c:pt>
                <c:pt idx="48">
                  <c:v>23447.607429714259</c:v>
                </c:pt>
                <c:pt idx="49">
                  <c:v>23386.313526907761</c:v>
                </c:pt>
                <c:pt idx="50">
                  <c:v>23325.17985127505</c:v>
                </c:pt>
                <c:pt idx="51">
                  <c:v>23264.205983969223</c:v>
                </c:pt>
                <c:pt idx="52">
                  <c:v>23203.391507238295</c:v>
                </c:pt>
                <c:pt idx="53">
                  <c:v>23142.736004422324</c:v>
                </c:pt>
                <c:pt idx="54">
                  <c:v>23082.239059950563</c:v>
                </c:pt>
                <c:pt idx="55">
                  <c:v>23021.900259338614</c:v>
                </c:pt>
                <c:pt idx="56">
                  <c:v>22961.719189185576</c:v>
                </c:pt>
                <c:pt idx="57">
                  <c:v>22901.695437171227</c:v>
                </c:pt>
                <c:pt idx="58">
                  <c:v>22841.828592053189</c:v>
                </c:pt>
                <c:pt idx="59">
                  <c:v>22782.11824366411</c:v>
                </c:pt>
                <c:pt idx="60">
                  <c:v>22722.563982908865</c:v>
                </c:pt>
                <c:pt idx="61">
                  <c:v>22663.16540176174</c:v>
                </c:pt>
                <c:pt idx="62">
                  <c:v>22603.922093263638</c:v>
                </c:pt>
                <c:pt idx="63">
                  <c:v>22544.833651519297</c:v>
                </c:pt>
                <c:pt idx="64">
                  <c:v>22485.8996716945</c:v>
                </c:pt>
                <c:pt idx="65">
                  <c:v>22427.119750013309</c:v>
                </c:pt>
                <c:pt idx="66">
                  <c:v>22368.493483755294</c:v>
                </c:pt>
                <c:pt idx="67">
                  <c:v>22310.020471252774</c:v>
                </c:pt>
                <c:pt idx="68">
                  <c:v>22251.700311888068</c:v>
                </c:pt>
                <c:pt idx="69">
                  <c:v>22193.532606090743</c:v>
                </c:pt>
                <c:pt idx="70">
                  <c:v>22135.516955334886</c:v>
                </c:pt>
                <c:pt idx="71">
                  <c:v>22077.652962136362</c:v>
                </c:pt>
                <c:pt idx="72">
                  <c:v>22019.940230050099</c:v>
                </c:pt>
                <c:pt idx="73">
                  <c:v>21962.378363667365</c:v>
                </c:pt>
                <c:pt idx="74">
                  <c:v>21904.966968613069</c:v>
                </c:pt>
                <c:pt idx="75">
                  <c:v>21847.705651543045</c:v>
                </c:pt>
                <c:pt idx="76">
                  <c:v>21790.594020141369</c:v>
                </c:pt>
                <c:pt idx="77">
                  <c:v>21733.631683117666</c:v>
                </c:pt>
                <c:pt idx="78">
                  <c:v>21676.818250204426</c:v>
                </c:pt>
                <c:pt idx="79">
                  <c:v>21620.153332154336</c:v>
                </c:pt>
                <c:pt idx="80">
                  <c:v>21563.636540737603</c:v>
                </c:pt>
                <c:pt idx="81">
                  <c:v>21507.267488739311</c:v>
                </c:pt>
                <c:pt idx="82">
                  <c:v>21451.045789956748</c:v>
                </c:pt>
                <c:pt idx="83">
                  <c:v>21394.971059196778</c:v>
                </c:pt>
                <c:pt idx="84">
                  <c:v>21339.042912273184</c:v>
                </c:pt>
                <c:pt idx="85">
                  <c:v>21283.260966004054</c:v>
                </c:pt>
                <c:pt idx="86">
                  <c:v>21227.62483820914</c:v>
                </c:pt>
                <c:pt idx="87">
                  <c:v>21172.134147707249</c:v>
                </c:pt>
                <c:pt idx="88">
                  <c:v>21116.788514313626</c:v>
                </c:pt>
                <c:pt idx="89">
                  <c:v>21061.587558837349</c:v>
                </c:pt>
                <c:pt idx="90">
                  <c:v>21006.530903078739</c:v>
                </c:pt>
                <c:pt idx="91">
                  <c:v>20951.618169826761</c:v>
                </c:pt>
                <c:pt idx="92">
                  <c:v>20896.848982856438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623296"/>
        <c:axId val="126690432"/>
      </c:scatterChart>
      <c:valAx>
        <c:axId val="125623296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26690432"/>
        <c:crosses val="autoZero"/>
        <c:crossBetween val="midCat"/>
      </c:valAx>
      <c:valAx>
        <c:axId val="126690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5623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2"/>
            <c:dispRSqr val="1"/>
            <c:dispEq val="1"/>
            <c:trendlineLbl>
              <c:layout>
                <c:manualLayout>
                  <c:x val="-6.4145641354731539E-2"/>
                  <c:y val="-4.0835514714145468E-2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5008.3114659343491</c:v>
                </c:pt>
                <c:pt idx="2">
                  <c:v>5005.6036849391667</c:v>
                </c:pt>
                <c:pt idx="3">
                  <c:v>5002.8523191773684</c:v>
                </c:pt>
                <c:pt idx="4">
                  <c:v>5000.057254008645</c:v>
                </c:pt>
                <c:pt idx="5">
                  <c:v>4997.2183939887254</c:v>
                </c:pt>
                <c:pt idx="6">
                  <c:v>4994.3356621682069</c:v>
                </c:pt>
                <c:pt idx="7">
                  <c:v>4991.4089994131764</c:v>
                </c:pt>
                <c:pt idx="8">
                  <c:v>4988.4383637469637</c:v>
                </c:pt>
                <c:pt idx="9">
                  <c:v>4985.4237297123682</c:v>
                </c:pt>
                <c:pt idx="10">
                  <c:v>4982.3650877537966</c:v>
                </c:pt>
                <c:pt idx="11">
                  <c:v>4979.2624436186779</c:v>
                </c:pt>
                <c:pt idx="12">
                  <c:v>4976.115817777616</c:v>
                </c:pt>
                <c:pt idx="13">
                  <c:v>4972.9252448626939</c:v>
                </c:pt>
                <c:pt idx="14">
                  <c:v>4969.6907731234051</c:v>
                </c:pt>
                <c:pt idx="15">
                  <c:v>4966.4124638996836</c:v>
                </c:pt>
                <c:pt idx="16">
                  <c:v>4963.0903911115192</c:v>
                </c:pt>
                <c:pt idx="17">
                  <c:v>4959.7246407646589</c:v>
                </c:pt>
                <c:pt idx="18">
                  <c:v>4956.3153104719268</c:v>
                </c:pt>
                <c:pt idx="19">
                  <c:v>4952.8625089896914</c:v>
                </c:pt>
                <c:pt idx="20">
                  <c:v>4949.3663557690052</c:v>
                </c:pt>
                <c:pt idx="21">
                  <c:v>4945.8269805210139</c:v>
                </c:pt>
                <c:pt idx="22">
                  <c:v>4942.2445227961834</c:v>
                </c:pt>
                <c:pt idx="23">
                  <c:v>4938.6191315769338</c:v>
                </c:pt>
                <c:pt idx="24">
                  <c:v>4934.9509648832818</c:v>
                </c:pt>
                <c:pt idx="25">
                  <c:v>4931.2401893911056</c:v>
                </c:pt>
                <c:pt idx="26">
                  <c:v>4927.4869800626348</c:v>
                </c:pt>
                <c:pt idx="27">
                  <c:v>4923.6915197888202</c:v>
                </c:pt>
                <c:pt idx="28">
                  <c:v>4919.8539990432173</c:v>
                </c:pt>
                <c:pt idx="29">
                  <c:v>4915.9746155470293</c:v>
                </c:pt>
                <c:pt idx="30">
                  <c:v>4912.0535739449806</c:v>
                </c:pt>
                <c:pt idx="31">
                  <c:v>4908.091085491692</c:v>
                </c:pt>
                <c:pt idx="32">
                  <c:v>4904.0873677482514</c:v>
                </c:pt>
                <c:pt idx="33">
                  <c:v>4900.0426442886474</c:v>
                </c:pt>
                <c:pt idx="34">
                  <c:v>4895.9571444157964</c:v>
                </c:pt>
                <c:pt idx="35">
                  <c:v>4891.8311028868438</c:v>
                </c:pt>
                <c:pt idx="36">
                  <c:v>4887.6647596474959</c:v>
                </c:pt>
                <c:pt idx="37">
                  <c:v>4883.4583595750601</c:v>
                </c:pt>
                <c:pt idx="38">
                  <c:v>4879.2121522299722</c:v>
                </c:pt>
                <c:pt idx="39">
                  <c:v>4874.926391615546</c:v>
                </c:pt>
                <c:pt idx="40">
                  <c:v>4870.601335945652</c:v>
                </c:pt>
                <c:pt idx="41">
                  <c:v>4866.2372474201584</c:v>
                </c:pt>
                <c:pt idx="42">
                  <c:v>4861.834392007826</c:v>
                </c:pt>
                <c:pt idx="43">
                  <c:v>4857.3930392364873</c:v>
                </c:pt>
                <c:pt idx="44">
                  <c:v>4852.9134619902325</c:v>
                </c:pt>
                <c:pt idx="45">
                  <c:v>4848.3959363134491</c:v>
                </c:pt>
                <c:pt idx="46">
                  <c:v>4843.8407412214565</c:v>
                </c:pt>
                <c:pt idx="47">
                  <c:v>4839.2481585175474</c:v>
                </c:pt>
                <c:pt idx="48">
                  <c:v>4834.6184726162619</c:v>
                </c:pt>
                <c:pt idx="49">
                  <c:v>4829.951970372671</c:v>
                </c:pt>
                <c:pt idx="50">
                  <c:v>4825.2489409175023</c:v>
                </c:pt>
                <c:pt idx="51">
                  <c:v>4820.5096754979331</c:v>
                </c:pt>
                <c:pt idx="52">
                  <c:v>4815.7344673238595</c:v>
                </c:pt>
                <c:pt idx="53">
                  <c:v>4810.923611419491</c:v>
                </c:pt>
                <c:pt idx="54">
                  <c:v>4806.0774044800892</c:v>
                </c:pt>
                <c:pt idx="55">
                  <c:v>4801.1961447337126</c:v>
                </c:pt>
                <c:pt idx="56">
                  <c:v>4796.28013180779</c:v>
                </c:pt>
                <c:pt idx="57">
                  <c:v>4791.329666600388</c:v>
                </c:pt>
                <c:pt idx="58">
                  <c:v>4786.3450511560304</c:v>
                </c:pt>
                <c:pt idx="59">
                  <c:v>4781.3265885459114</c:v>
                </c:pt>
                <c:pt idx="60">
                  <c:v>4776.2745827523786</c:v>
                </c:pt>
                <c:pt idx="61">
                  <c:v>4771.1893385575568</c:v>
                </c:pt>
                <c:pt idx="62">
                  <c:v>4766.0711614359752</c:v>
                </c:pt>
                <c:pt idx="63">
                  <c:v>4760.9203574510675</c:v>
                </c:pt>
                <c:pt idx="64">
                  <c:v>4755.7372331554461</c:v>
                </c:pt>
                <c:pt idx="65">
                  <c:v>4750.5220954948072</c:v>
                </c:pt>
                <c:pt idx="66">
                  <c:v>4745.2752517153767</c:v>
                </c:pt>
                <c:pt idx="67">
                  <c:v>4739.9970092747553</c:v>
                </c:pt>
                <c:pt idx="68">
                  <c:v>4734.6876757560985</c:v>
                </c:pt>
                <c:pt idx="69">
                  <c:v>4729.3475587854864</c:v>
                </c:pt>
                <c:pt idx="70">
                  <c:v>4723.9769659523972</c:v>
                </c:pt>
                <c:pt idx="71">
                  <c:v>4718.5762047332128</c:v>
                </c:pt>
                <c:pt idx="72">
                  <c:v>4713.145582417601</c:v>
                </c:pt>
                <c:pt idx="73">
                  <c:v>4707.6854060377555</c:v>
                </c:pt>
                <c:pt idx="74">
                  <c:v>4702.1959823003372</c:v>
                </c:pt>
                <c:pt idx="75">
                  <c:v>4696.6776175210825</c:v>
                </c:pt>
                <c:pt idx="76">
                  <c:v>4691.130617561962</c:v>
                </c:pt>
                <c:pt idx="77">
                  <c:v>4685.5552877708187</c:v>
                </c:pt>
                <c:pt idx="78">
                  <c:v>4679.9519329234081</c:v>
                </c:pt>
                <c:pt idx="79">
                  <c:v>4674.3208571677687</c:v>
                </c:pt>
                <c:pt idx="80">
                  <c:v>4668.662363970825</c:v>
                </c:pt>
                <c:pt idx="81">
                  <c:v>4662.9767560671926</c:v>
                </c:pt>
                <c:pt idx="82">
                  <c:v>4657.2643354100646</c:v>
                </c:pt>
                <c:pt idx="83">
                  <c:v>4651.5254031241566</c:v>
                </c:pt>
                <c:pt idx="84">
                  <c:v>4645.7602594606224</c:v>
                </c:pt>
                <c:pt idx="85">
                  <c:v>4639.9692037538662</c:v>
                </c:pt>
                <c:pt idx="86">
                  <c:v>4634.1525343802186</c:v>
                </c:pt>
                <c:pt idx="87">
                  <c:v>4628.3105487184021</c:v>
                </c:pt>
                <c:pt idx="88">
                  <c:v>4622.4435431117108</c:v>
                </c:pt>
                <c:pt idx="89">
                  <c:v>4616.5518128318763</c:v>
                </c:pt>
                <c:pt idx="90">
                  <c:v>4610.6356520445561</c:v>
                </c:pt>
                <c:pt idx="91">
                  <c:v>4604.695353776372</c:v>
                </c:pt>
                <c:pt idx="92">
                  <c:v>4598.7312098834882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17952"/>
        <c:axId val="126719872"/>
      </c:scatterChart>
      <c:valAx>
        <c:axId val="126717952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26719872"/>
        <c:crosses val="autoZero"/>
        <c:crossBetween val="midCat"/>
      </c:valAx>
      <c:valAx>
        <c:axId val="126719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26717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18.750445451453256</c:v>
                </c:pt>
                <c:pt idx="2">
                  <c:v>18.463638037055841</c:v>
                </c:pt>
                <c:pt idx="3">
                  <c:v>18.181217638058474</c:v>
                </c:pt>
                <c:pt idx="4">
                  <c:v>17.903117150533038</c:v>
                </c:pt>
                <c:pt idx="5">
                  <c:v>17.629270496975245</c:v>
                </c:pt>
                <c:pt idx="6">
                  <c:v>17.35961261060443</c:v>
                </c:pt>
                <c:pt idx="7">
                  <c:v>17.094079419903494</c:v>
                </c:pt>
                <c:pt idx="8">
                  <c:v>16.832607833395311</c:v>
                </c:pt>
                <c:pt idx="9">
                  <c:v>16.575135724652014</c:v>
                </c:pt>
                <c:pt idx="10">
                  <c:v>16.32160191753357</c:v>
                </c:pt>
                <c:pt idx="11">
                  <c:v>16.071946171652137</c:v>
                </c:pt>
                <c:pt idx="12">
                  <c:v>15.826109168058778</c:v>
                </c:pt>
                <c:pt idx="13">
                  <c:v>15.584032495149101</c:v>
                </c:pt>
                <c:pt idx="14">
                  <c:v>15.345658634784487</c:v>
                </c:pt>
                <c:pt idx="15">
                  <c:v>15.110930948625606</c:v>
                </c:pt>
                <c:pt idx="16">
                  <c:v>14.879793664674985</c:v>
                </c:pt>
                <c:pt idx="17">
                  <c:v>14.652191864025404</c:v>
                </c:pt>
                <c:pt idx="18">
                  <c:v>14.428071467811016</c:v>
                </c:pt>
                <c:pt idx="19">
                  <c:v>14.207379224358032</c:v>
                </c:pt>
                <c:pt idx="20">
                  <c:v>13.990062696531975</c:v>
                </c:pt>
                <c:pt idx="21">
                  <c:v>13.776070249278456</c:v>
                </c:pt>
                <c:pt idx="22">
                  <c:v>13.565351037354533</c:v>
                </c:pt>
                <c:pt idx="23">
                  <c:v>13.357854993247729</c:v>
                </c:pt>
                <c:pt idx="24">
                  <c:v>13.153532815279842</c:v>
                </c:pt>
                <c:pt idx="25">
                  <c:v>12.952335955892718</c:v>
                </c:pt>
                <c:pt idx="26">
                  <c:v>12.754216610113209</c:v>
                </c:pt>
                <c:pt idx="27">
                  <c:v>12.559127704194569</c:v>
                </c:pt>
                <c:pt idx="28">
                  <c:v>12.36702288443159</c:v>
                </c:pt>
                <c:pt idx="29">
                  <c:v>12.177856506146822</c:v>
                </c:pt>
                <c:pt idx="30">
                  <c:v>11.991583622845267</c:v>
                </c:pt>
                <c:pt idx="31">
                  <c:v>11.808159975534952</c:v>
                </c:pt>
                <c:pt idx="32">
                  <c:v>11.627541982210866</c:v>
                </c:pt>
                <c:pt idx="33">
                  <c:v>11.44968672749974</c:v>
                </c:pt>
                <c:pt idx="34">
                  <c:v>11.274551952463231</c:v>
                </c:pt>
                <c:pt idx="35">
                  <c:v>11.10209604455707</c:v>
                </c:pt>
                <c:pt idx="36">
                  <c:v>10.9322780277438</c:v>
                </c:pt>
                <c:pt idx="37">
                  <c:v>10.765057552756746</c:v>
                </c:pt>
                <c:pt idx="38">
                  <c:v>10.600394887512905</c:v>
                </c:pt>
                <c:pt idx="39">
                  <c:v>10.438250907672494</c:v>
                </c:pt>
                <c:pt idx="40">
                  <c:v>10.278587087342881</c:v>
                </c:pt>
                <c:pt idx="41">
                  <c:v>10.121365489924726</c:v>
                </c:pt>
                <c:pt idx="42">
                  <c:v>9.9665487590981225</c:v>
                </c:pt>
                <c:pt idx="43">
                  <c:v>9.8141001099466347</c:v>
                </c:pt>
                <c:pt idx="44">
                  <c:v>9.6639833202170848</c:v>
                </c:pt>
                <c:pt idx="45">
                  <c:v>9.5161627217130427</c:v>
                </c:pt>
                <c:pt idx="46">
                  <c:v>9.370603191819951</c:v>
                </c:pt>
                <c:pt idx="47">
                  <c:v>9.227270145159892</c:v>
                </c:pt>
                <c:pt idx="48">
                  <c:v>9.0861295253739947</c:v>
                </c:pt>
                <c:pt idx="49">
                  <c:v>8.9471477970305457</c:v>
                </c:pt>
                <c:pt idx="50">
                  <c:v>8.8102919376568707</c:v>
                </c:pt>
                <c:pt idx="51">
                  <c:v>8.6755294298930927</c:v>
                </c:pt>
                <c:pt idx="52">
                  <c:v>8.542828253765915</c:v>
                </c:pt>
                <c:pt idx="53">
                  <c:v>8.4121568790805785</c:v>
                </c:pt>
                <c:pt idx="54">
                  <c:v>8.2834842579291941</c:v>
                </c:pt>
                <c:pt idx="55">
                  <c:v>8.1567798173136659</c:v>
                </c:pt>
                <c:pt idx="56">
                  <c:v>8.0320134518814541</c:v>
                </c:pt>
                <c:pt idx="57">
                  <c:v>7.9091555167724596</c:v>
                </c:pt>
                <c:pt idx="58">
                  <c:v>7.7881768205753108</c:v>
                </c:pt>
                <c:pt idx="59">
                  <c:v>7.6690486183914013</c:v>
                </c:pt>
                <c:pt idx="60">
                  <c:v>7.5517426050050132</c:v>
                </c:pt>
                <c:pt idx="61">
                  <c:v>7.4362309081579161</c:v>
                </c:pt>
                <c:pt idx="62">
                  <c:v>7.3224860819268347</c:v>
                </c:pt>
                <c:pt idx="63">
                  <c:v>7.2104811002022151</c:v>
                </c:pt>
                <c:pt idx="64">
                  <c:v>7.1001893502667413</c:v>
                </c:pt>
                <c:pt idx="65">
                  <c:v>6.9915846264720729</c:v>
                </c:pt>
                <c:pt idx="66">
                  <c:v>6.8846411240123082</c:v>
                </c:pt>
                <c:pt idx="67">
                  <c:v>6.779333432792682</c:v>
                </c:pt>
                <c:pt idx="68">
                  <c:v>6.6756365313920529</c:v>
                </c:pt>
                <c:pt idx="69">
                  <c:v>6.5735257811177386</c:v>
                </c:pt>
                <c:pt idx="70">
                  <c:v>6.4729769201512912</c:v>
                </c:pt>
                <c:pt idx="71">
                  <c:v>6.3739660577838135</c:v>
                </c:pt>
                <c:pt idx="72">
                  <c:v>6.2764696687394572</c:v>
                </c:pt>
                <c:pt idx="73">
                  <c:v>6.1804645875857478</c:v>
                </c:pt>
                <c:pt idx="74">
                  <c:v>6.0859280032294079</c:v>
                </c:pt>
                <c:pt idx="75">
                  <c:v>5.9928374534963735</c:v>
                </c:pt>
                <c:pt idx="76">
                  <c:v>5.9011708197947152</c:v>
                </c:pt>
                <c:pt idx="77">
                  <c:v>5.8109063218591945</c:v>
                </c:pt>
                <c:pt idx="78">
                  <c:v>5.7220225125762072</c:v>
                </c:pt>
                <c:pt idx="79">
                  <c:v>5.6344982728878863</c:v>
                </c:pt>
                <c:pt idx="80">
                  <c:v>5.5483128067741498</c:v>
                </c:pt>
                <c:pt idx="81">
                  <c:v>5.4634456363115076</c:v>
                </c:pt>
                <c:pt idx="82">
                  <c:v>5.3798765968074402</c:v>
                </c:pt>
                <c:pt idx="83">
                  <c:v>5.2975858320092142</c:v>
                </c:pt>
                <c:pt idx="84">
                  <c:v>5.2165537893859719</c:v>
                </c:pt>
                <c:pt idx="85">
                  <c:v>5.136761215482994</c:v>
                </c:pt>
                <c:pt idx="86">
                  <c:v>5.0581891513470234</c:v>
                </c:pt>
                <c:pt idx="87">
                  <c:v>4.9808189280215576</c:v>
                </c:pt>
                <c:pt idx="88">
                  <c:v>4.904632162111052</c:v>
                </c:pt>
                <c:pt idx="89">
                  <c:v>4.8296107514129689</c:v>
                </c:pt>
                <c:pt idx="90">
                  <c:v>4.7557368706166407</c:v>
                </c:pt>
                <c:pt idx="91">
                  <c:v>4.6829929670679222</c:v>
                </c:pt>
                <c:pt idx="92">
                  <c:v>4.6113617565986296</c:v>
                </c:pt>
                <c:pt idx="93">
                  <c:v>4.5408262194197686</c:v>
                </c:pt>
                <c:pt idx="94">
                  <c:v>4.471369596077583</c:v>
                </c:pt>
                <c:pt idx="95">
                  <c:v>4.4029753834714587</c:v>
                </c:pt>
                <c:pt idx="96">
                  <c:v>4.335627330932736</c:v>
                </c:pt>
                <c:pt idx="97">
                  <c:v>4.2693094363635051</c:v>
                </c:pt>
                <c:pt idx="98">
                  <c:v>4.204005942434458</c:v>
                </c:pt>
                <c:pt idx="99">
                  <c:v>4.1397013328409002</c:v>
                </c:pt>
                <c:pt idx="100">
                  <c:v>4.0763803286160316</c:v>
                </c:pt>
                <c:pt idx="101">
                  <c:v>4.0140278845006181</c:v>
                </c:pt>
                <c:pt idx="102">
                  <c:v>3.9526291853681919</c:v>
                </c:pt>
                <c:pt idx="103">
                  <c:v>3.8921696427049346</c:v>
                </c:pt>
                <c:pt idx="104">
                  <c:v>3.8326348911434032</c:v>
                </c:pt>
                <c:pt idx="105">
                  <c:v>3.774010785049275</c:v>
                </c:pt>
                <c:pt idx="106">
                  <c:v>3.7162833951603029</c:v>
                </c:pt>
                <c:pt idx="107">
                  <c:v>3.6594390052766821</c:v>
                </c:pt>
                <c:pt idx="108">
                  <c:v>3.6034641090020387</c:v>
                </c:pt>
                <c:pt idx="109">
                  <c:v>3.548345406534271</c:v>
                </c:pt>
                <c:pt idx="110">
                  <c:v>3.4940698015054759</c:v>
                </c:pt>
                <c:pt idx="111">
                  <c:v>3.4406243978702142</c:v>
                </c:pt>
                <c:pt idx="112">
                  <c:v>3.3879964968413701</c:v>
                </c:pt>
                <c:pt idx="113">
                  <c:v>3.3361735938728829</c:v>
                </c:pt>
                <c:pt idx="114">
                  <c:v>3.2851433756886288</c:v>
                </c:pt>
                <c:pt idx="115">
                  <c:v>3.23489371735675</c:v>
                </c:pt>
                <c:pt idx="116">
                  <c:v>3.1854126794087354</c:v>
                </c:pt>
                <c:pt idx="117">
                  <c:v>3.1366885050025664</c:v>
                </c:pt>
                <c:pt idx="118">
                  <c:v>3.0887096171292567</c:v>
                </c:pt>
                <c:pt idx="119">
                  <c:v>3.0414646158621208</c:v>
                </c:pt>
                <c:pt idx="120">
                  <c:v>2.9949422756481159</c:v>
                </c:pt>
                <c:pt idx="121">
                  <c:v>2.9491315426406195</c:v>
                </c:pt>
                <c:pt idx="122">
                  <c:v>2.9040215320730005</c:v>
                </c:pt>
                <c:pt idx="123">
                  <c:v>2.859601525672367</c:v>
                </c:pt>
                <c:pt idx="124">
                  <c:v>2.8158609691128729</c:v>
                </c:pt>
                <c:pt idx="125">
                  <c:v>2.7727894695079782</c:v>
                </c:pt>
                <c:pt idx="126">
                  <c:v>2.7303767929410685</c:v>
                </c:pt>
                <c:pt idx="127">
                  <c:v>2.6886128620338461</c:v>
                </c:pt>
                <c:pt idx="128">
                  <c:v>2.6474877535519141</c:v>
                </c:pt>
                <c:pt idx="129">
                  <c:v>2.606991696046987</c:v>
                </c:pt>
                <c:pt idx="130">
                  <c:v>2.5671150675351657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3456.2096630413403</c:v>
                </c:pt>
                <c:pt idx="2">
                  <c:v>3450.7823416090964</c:v>
                </c:pt>
                <c:pt idx="3">
                  <c:v>3445.3015491823753</c:v>
                </c:pt>
                <c:pt idx="4">
                  <c:v>3439.7686910504649</c:v>
                </c:pt>
                <c:pt idx="5">
                  <c:v>3434.1851452100532</c:v>
                </c:pt>
                <c:pt idx="6">
                  <c:v>3428.5522628766116</c:v>
                </c:pt>
                <c:pt idx="7">
                  <c:v>3422.8713689862557</c:v>
                </c:pt>
                <c:pt idx="8">
                  <c:v>3417.1437626882571</c:v>
                </c:pt>
                <c:pt idx="9">
                  <c:v>3411.3707178283858</c:v>
                </c:pt>
                <c:pt idx="10">
                  <c:v>3405.5534834232494</c:v>
                </c:pt>
                <c:pt idx="11">
                  <c:v>3399.6932841257981</c:v>
                </c:pt>
                <c:pt idx="12">
                  <c:v>3393.7913206821572</c:v>
                </c:pt>
                <c:pt idx="13">
                  <c:v>3387.8487703799547</c:v>
                </c:pt>
                <c:pt idx="14">
                  <c:v>3381.8667874882931</c:v>
                </c:pt>
                <c:pt idx="15">
                  <c:v>3375.8465036895295</c:v>
                </c:pt>
                <c:pt idx="16">
                  <c:v>3369.7890285030103</c:v>
                </c:pt>
                <c:pt idx="17">
                  <c:v>3363.695449700911</c:v>
                </c:pt>
                <c:pt idx="18">
                  <c:v>3357.5668337163315</c:v>
                </c:pt>
                <c:pt idx="19">
                  <c:v>3351.4042260437868</c:v>
                </c:pt>
                <c:pt idx="20">
                  <c:v>3345.2086516322356</c:v>
                </c:pt>
                <c:pt idx="21">
                  <c:v>3338.981115270788</c:v>
                </c:pt>
                <c:pt idx="22">
                  <c:v>3332.7226019672235</c:v>
                </c:pt>
                <c:pt idx="23">
                  <c:v>3326.4340773194576</c:v>
                </c:pt>
                <c:pt idx="24">
                  <c:v>3320.1164878800864</c:v>
                </c:pt>
                <c:pt idx="25">
                  <c:v>3313.7707615141376</c:v>
                </c:pt>
                <c:pt idx="26">
                  <c:v>3307.3978077501538</c:v>
                </c:pt>
                <c:pt idx="27">
                  <c:v>3300.9985181247334</c:v>
                </c:pt>
                <c:pt idx="28">
                  <c:v>3294.5737665206511</c:v>
                </c:pt>
                <c:pt idx="29">
                  <c:v>3288.1244094986737</c:v>
                </c:pt>
                <c:pt idx="30">
                  <c:v>3281.6512866231951</c:v>
                </c:pt>
                <c:pt idx="31">
                  <c:v>3275.1552207817972</c:v>
                </c:pt>
                <c:pt idx="32">
                  <c:v>3268.6370184988568</c:v>
                </c:pt>
                <c:pt idx="33">
                  <c:v>3262.0974702433068</c:v>
                </c:pt>
                <c:pt idx="34">
                  <c:v>3255.5373507306576</c:v>
                </c:pt>
                <c:pt idx="35">
                  <c:v>3248.95741921939</c:v>
                </c:pt>
                <c:pt idx="36">
                  <c:v>3242.3584198018202</c:v>
                </c:pt>
                <c:pt idx="37">
                  <c:v>3235.7410816895444</c:v>
                </c:pt>
                <c:pt idx="38">
                  <c:v>3229.1061194935592</c:v>
                </c:pt>
                <c:pt idx="39">
                  <c:v>3222.4542334991579</c:v>
                </c:pt>
                <c:pt idx="40">
                  <c:v>3215.7861099357037</c:v>
                </c:pt>
                <c:pt idx="41">
                  <c:v>3209.1024212413695</c:v>
                </c:pt>
                <c:pt idx="42">
                  <c:v>3202.4038263229404</c:v>
                </c:pt>
                <c:pt idx="43">
                  <c:v>3195.6909708107737</c:v>
                </c:pt>
                <c:pt idx="44">
                  <c:v>3188.9644873090006</c:v>
                </c:pt>
                <c:pt idx="45">
                  <c:v>3182.2249956410624</c:v>
                </c:pt>
                <c:pt idx="46">
                  <c:v>3175.4731030906673</c:v>
                </c:pt>
                <c:pt idx="47">
                  <c:v>3168.7094046382513</c:v>
                </c:pt>
                <c:pt idx="48">
                  <c:v>3161.9344831930289</c:v>
                </c:pt>
                <c:pt idx="49">
                  <c:v>3155.1489098207144</c:v>
                </c:pt>
                <c:pt idx="50">
                  <c:v>3148.3532439669953</c:v>
                </c:pt>
                <c:pt idx="51">
                  <c:v>3141.5480336768351</c:v>
                </c:pt>
                <c:pt idx="52">
                  <c:v>3134.733815809685</c:v>
                </c:pt>
                <c:pt idx="53">
                  <c:v>3127.9111162506802</c:v>
                </c:pt>
                <c:pt idx="54">
                  <c:v>3121.0804501178945</c:v>
                </c:pt>
                <c:pt idx="55">
                  <c:v>3114.2423219657271</c:v>
                </c:pt>
                <c:pt idx="56">
                  <c:v>3107.397225984495</c:v>
                </c:pt>
                <c:pt idx="57">
                  <c:v>3100.5456461962981</c:v>
                </c:pt>
                <c:pt idx="58">
                  <c:v>3093.6880566472314</c:v>
                </c:pt>
                <c:pt idx="59">
                  <c:v>3086.8249215960068</c:v>
                </c:pt>
                <c:pt idx="60">
                  <c:v>3079.9566956990561</c:v>
                </c:pt>
                <c:pt idx="61">
                  <c:v>3073.0838241921761</c:v>
                </c:pt>
                <c:pt idx="62">
                  <c:v>3066.2067430687857</c:v>
                </c:pt>
                <c:pt idx="63">
                  <c:v>3059.3258792548527</c:v>
                </c:pt>
                <c:pt idx="64">
                  <c:v>3052.4416507805549</c:v>
                </c:pt>
                <c:pt idx="65">
                  <c:v>3045.5544669487367</c:v>
                </c:pt>
                <c:pt idx="66">
                  <c:v>3038.6647285002196</c:v>
                </c:pt>
                <c:pt idx="67">
                  <c:v>3031.7728277760257</c:v>
                </c:pt>
                <c:pt idx="68">
                  <c:v>3024.8791488765714</c:v>
                </c:pt>
                <c:pt idx="69">
                  <c:v>3017.9840678178884</c:v>
                </c:pt>
                <c:pt idx="70">
                  <c:v>3011.0879526849267</c:v>
                </c:pt>
                <c:pt idx="71">
                  <c:v>3004.1911637819931</c:v>
                </c:pt>
                <c:pt idx="72">
                  <c:v>2997.2940537803815</c:v>
                </c:pt>
                <c:pt idx="73">
                  <c:v>2990.3969678632434</c:v>
                </c:pt>
                <c:pt idx="74">
                  <c:v>2983.5002438677525</c:v>
                </c:pt>
                <c:pt idx="75">
                  <c:v>2976.6042124246133</c:v>
                </c:pt>
                <c:pt idx="76">
                  <c:v>2969.7091970949637</c:v>
                </c:pt>
                <c:pt idx="77">
                  <c:v>2962.8155145047172</c:v>
                </c:pt>
                <c:pt idx="78">
                  <c:v>2955.9234744763962</c:v>
                </c:pt>
                <c:pt idx="79">
                  <c:v>2949.033380158503</c:v>
                </c:pt>
                <c:pt idx="80">
                  <c:v>2942.1455281524682</c:v>
                </c:pt>
                <c:pt idx="81">
                  <c:v>2935.2602086372317</c:v>
                </c:pt>
                <c:pt idx="82">
                  <c:v>2928.3777054914913</c:v>
                </c:pt>
                <c:pt idx="83">
                  <c:v>2921.4982964136666</c:v>
                </c:pt>
                <c:pt idx="84">
                  <c:v>2914.6222530396217</c:v>
                </c:pt>
                <c:pt idx="85">
                  <c:v>2907.7498410581848</c:v>
                </c:pt>
                <c:pt idx="86">
                  <c:v>2900.8813203245086</c:v>
                </c:pt>
                <c:pt idx="87">
                  <c:v>2894.0169449713126</c:v>
                </c:pt>
                <c:pt idx="88">
                  <c:v>2887.1569635180417</c:v>
                </c:pt>
                <c:pt idx="89">
                  <c:v>2880.3016189779864</c:v>
                </c:pt>
                <c:pt idx="90">
                  <c:v>2873.4511489633965</c:v>
                </c:pt>
                <c:pt idx="91">
                  <c:v>2866.6057857886317</c:v>
                </c:pt>
                <c:pt idx="92">
                  <c:v>2859.7657565713812</c:v>
                </c:pt>
                <c:pt idx="93">
                  <c:v>2852.9312833319877</c:v>
                </c:pt>
                <c:pt idx="94">
                  <c:v>2846.1025830909171</c:v>
                </c:pt>
                <c:pt idx="95">
                  <c:v>2839.2798679644006</c:v>
                </c:pt>
                <c:pt idx="96">
                  <c:v>2832.4633452582893</c:v>
                </c:pt>
                <c:pt idx="97">
                  <c:v>2825.6532175601519</c:v>
                </c:pt>
                <c:pt idx="98">
                  <c:v>2818.8496828296484</c:v>
                </c:pt>
                <c:pt idx="99">
                  <c:v>2812.0529344872111</c:v>
                </c:pt>
                <c:pt idx="100">
                  <c:v>2805.2631615010691</c:v>
                </c:pt>
                <c:pt idx="101">
                  <c:v>2798.4805484726394</c:v>
                </c:pt>
                <c:pt idx="102">
                  <c:v>2791.705275720321</c:v>
                </c:pt>
                <c:pt idx="103">
                  <c:v>2784.9375193617216</c:v>
                </c:pt>
                <c:pt idx="104">
                  <c:v>2778.1774513943424</c:v>
                </c:pt>
                <c:pt idx="105">
                  <c:v>2771.4252397747514</c:v>
                </c:pt>
                <c:pt idx="106">
                  <c:v>2764.6810484962766</c:v>
                </c:pt>
                <c:pt idx="107">
                  <c:v>2757.9450376652412</c:v>
                </c:pt>
                <c:pt idx="108">
                  <c:v>2751.2173635757717</c:v>
                </c:pt>
                <c:pt idx="109">
                  <c:v>2744.4981787832048</c:v>
                </c:pt>
                <c:pt idx="110">
                  <c:v>2737.7876321761191</c:v>
                </c:pt>
                <c:pt idx="111">
                  <c:v>2731.085869047015</c:v>
                </c:pt>
                <c:pt idx="112">
                  <c:v>2724.3930311616728</c:v>
                </c:pt>
                <c:pt idx="113">
                  <c:v>2717.7092568272092</c:v>
                </c:pt>
                <c:pt idx="114">
                  <c:v>2711.0346809588586</c:v>
                </c:pt>
                <c:pt idx="115">
                  <c:v>2704.3694351455019</c:v>
                </c:pt>
                <c:pt idx="116">
                  <c:v>2697.7136477139684</c:v>
                </c:pt>
                <c:pt idx="117">
                  <c:v>2691.0674437921289</c:v>
                </c:pt>
                <c:pt idx="118">
                  <c:v>2684.4309453708102</c:v>
                </c:pt>
                <c:pt idx="119">
                  <c:v>2677.8042713645441</c:v>
                </c:pt>
                <c:pt idx="120">
                  <c:v>2671.1875376711791</c:v>
                </c:pt>
                <c:pt idx="121">
                  <c:v>2664.580857230374</c:v>
                </c:pt>
                <c:pt idx="122">
                  <c:v>2657.9843400809932</c:v>
                </c:pt>
                <c:pt idx="123">
                  <c:v>2651.3980934174256</c:v>
                </c:pt>
                <c:pt idx="124">
                  <c:v>2644.8222216448471</c:v>
                </c:pt>
                <c:pt idx="125">
                  <c:v>2638.256826433445</c:v>
                </c:pt>
                <c:pt idx="126">
                  <c:v>2631.7020067716253</c:v>
                </c:pt>
                <c:pt idx="127">
                  <c:v>2625.1578590182212</c:v>
                </c:pt>
                <c:pt idx="128">
                  <c:v>2618.6244769537216</c:v>
                </c:pt>
                <c:pt idx="129">
                  <c:v>2612.1019518305366</c:v>
                </c:pt>
                <c:pt idx="130">
                  <c:v>2605.5903724223203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1159.4273122240702</c:v>
                </c:pt>
                <c:pt idx="2">
                  <c:v>1164.2697147419174</c:v>
                </c:pt>
                <c:pt idx="3">
                  <c:v>1169.056227166305</c:v>
                </c:pt>
                <c:pt idx="4">
                  <c:v>1173.7870496161356</c:v>
                </c:pt>
                <c:pt idx="5">
                  <c:v>1178.462386145304</c:v>
                </c:pt>
                <c:pt idx="6">
                  <c:v>1183.0824446095935</c:v>
                </c:pt>
                <c:pt idx="7">
                  <c:v>1187.6474365364954</c:v>
                </c:pt>
                <c:pt idx="8">
                  <c:v>1192.1575769978961</c:v>
                </c:pt>
                <c:pt idx="9">
                  <c:v>1196.6130844855725</c:v>
                </c:pt>
                <c:pt idx="10">
                  <c:v>1201.014180789444</c:v>
                </c:pt>
                <c:pt idx="11">
                  <c:v>1205.3610908785229</c:v>
                </c:pt>
                <c:pt idx="12">
                  <c:v>1209.6540427845123</c:v>
                </c:pt>
                <c:pt idx="13">
                  <c:v>1213.8932674879975</c:v>
                </c:pt>
                <c:pt idx="14">
                  <c:v>1218.0789988071806</c:v>
                </c:pt>
                <c:pt idx="15">
                  <c:v>1222.2114732891077</c:v>
                </c:pt>
                <c:pt idx="16">
                  <c:v>1226.290930103338</c:v>
                </c:pt>
                <c:pt idx="17">
                  <c:v>1230.3176109380088</c:v>
                </c:pt>
                <c:pt idx="18">
                  <c:v>1234.2917598982451</c:v>
                </c:pt>
                <c:pt idx="19">
                  <c:v>1238.2136234068719</c:v>
                </c:pt>
                <c:pt idx="20">
                  <c:v>1242.083450107378</c:v>
                </c:pt>
                <c:pt idx="21">
                  <c:v>1245.9014907690919</c:v>
                </c:pt>
                <c:pt idx="22">
                  <c:v>1249.6679981945204</c:v>
                </c:pt>
                <c:pt idx="23">
                  <c:v>1253.3832271288106</c:v>
                </c:pt>
                <c:pt idx="24">
                  <c:v>1257.047434171292</c:v>
                </c:pt>
                <c:pt idx="25">
                  <c:v>1260.660877689055</c:v>
                </c:pt>
                <c:pt idx="26">
                  <c:v>1264.2238177325276</c:v>
                </c:pt>
                <c:pt idx="27">
                  <c:v>1267.7365159530098</c:v>
                </c:pt>
                <c:pt idx="28">
                  <c:v>1271.1992355221246</c:v>
                </c:pt>
                <c:pt idx="29">
                  <c:v>1274.6122410531495</c:v>
                </c:pt>
                <c:pt idx="30">
                  <c:v>1277.9757985241897</c:v>
                </c:pt>
                <c:pt idx="31">
                  <c:v>1281.2901752031548</c:v>
                </c:pt>
                <c:pt idx="32">
                  <c:v>1284.555639574505</c:v>
                </c:pt>
                <c:pt idx="33">
                  <c:v>1287.7724612677289</c:v>
                </c:pt>
                <c:pt idx="34">
                  <c:v>1290.9409109875203</c:v>
                </c:pt>
                <c:pt idx="35">
                  <c:v>1294.0612604456169</c:v>
                </c:pt>
                <c:pt idx="36">
                  <c:v>1297.1337822942698</c:v>
                </c:pt>
                <c:pt idx="37">
                  <c:v>1300.1587500613093</c:v>
                </c:pt>
                <c:pt idx="38">
                  <c:v>1303.1364380867753</c:v>
                </c:pt>
                <c:pt idx="39">
                  <c:v>1306.0671214610804</c:v>
                </c:pt>
                <c:pt idx="40">
                  <c:v>1308.9510759646739</c:v>
                </c:pt>
                <c:pt idx="41">
                  <c:v>1311.7885780091783</c:v>
                </c:pt>
                <c:pt idx="42">
                  <c:v>1314.5799045799654</c:v>
                </c:pt>
                <c:pt idx="43">
                  <c:v>1317.3253331801445</c:v>
                </c:pt>
                <c:pt idx="44">
                  <c:v>1320.0251417759346</c:v>
                </c:pt>
                <c:pt idx="45">
                  <c:v>1322.6796087433895</c:v>
                </c:pt>
                <c:pt idx="46">
                  <c:v>1325.2890128164518</c:v>
                </c:pt>
                <c:pt idx="47">
                  <c:v>1327.8536330363047</c:v>
                </c:pt>
                <c:pt idx="48">
                  <c:v>1330.3737487019991</c:v>
                </c:pt>
                <c:pt idx="49">
                  <c:v>1332.8496393223259</c:v>
                </c:pt>
                <c:pt idx="50">
                  <c:v>1335.2815845689104</c:v>
                </c:pt>
                <c:pt idx="51">
                  <c:v>1337.6698642305039</c:v>
                </c:pt>
                <c:pt idx="52">
                  <c:v>1340.0147581684455</c:v>
                </c:pt>
                <c:pt idx="53">
                  <c:v>1342.3165462732723</c:v>
                </c:pt>
                <c:pt idx="54">
                  <c:v>1344.5755084224525</c:v>
                </c:pt>
                <c:pt idx="55">
                  <c:v>1346.7919244392203</c:v>
                </c:pt>
                <c:pt idx="56">
                  <c:v>1348.9660740524878</c:v>
                </c:pt>
                <c:pt idx="57">
                  <c:v>1351.0982368578111</c:v>
                </c:pt>
                <c:pt idx="58">
                  <c:v>1353.1886922793926</c:v>
                </c:pt>
                <c:pt idx="59">
                  <c:v>1355.2377195330926</c:v>
                </c:pt>
                <c:pt idx="60">
                  <c:v>1357.2455975904331</c:v>
                </c:pt>
                <c:pt idx="61">
                  <c:v>1359.2126051435719</c:v>
                </c:pt>
                <c:pt idx="62">
                  <c:v>1361.1390205712255</c:v>
                </c:pt>
                <c:pt idx="63">
                  <c:v>1363.0251219055233</c:v>
                </c:pt>
                <c:pt idx="64">
                  <c:v>1364.8711867997717</c:v>
                </c:pt>
                <c:pt idx="65">
                  <c:v>1366.6774924971101</c:v>
                </c:pt>
                <c:pt idx="66">
                  <c:v>1368.4443158000379</c:v>
                </c:pt>
                <c:pt idx="67">
                  <c:v>1370.1719330407991</c:v>
                </c:pt>
                <c:pt idx="68">
                  <c:v>1371.8606200525999</c:v>
                </c:pt>
                <c:pt idx="69">
                  <c:v>1373.5106521416465</c:v>
                </c:pt>
                <c:pt idx="70">
                  <c:v>1375.1223040599839</c:v>
                </c:pt>
                <c:pt idx="71">
                  <c:v>1376.6958499791197</c:v>
                </c:pt>
                <c:pt idx="72">
                  <c:v>1378.2315634644142</c:v>
                </c:pt>
                <c:pt idx="73">
                  <c:v>1379.7297174502226</c:v>
                </c:pt>
                <c:pt idx="74">
                  <c:v>1381.1905842157726</c:v>
                </c:pt>
                <c:pt idx="75">
                  <c:v>1382.6144353617613</c:v>
                </c:pt>
                <c:pt idx="76">
                  <c:v>1384.0015417876566</c:v>
                </c:pt>
                <c:pt idx="77">
                  <c:v>1385.3521736696878</c:v>
                </c:pt>
                <c:pt idx="78">
                  <c:v>1386.6666004395092</c:v>
                </c:pt>
                <c:pt idx="79">
                  <c:v>1387.945090763526</c:v>
                </c:pt>
                <c:pt idx="80">
                  <c:v>1389.1879125228631</c:v>
                </c:pt>
                <c:pt idx="81">
                  <c:v>1390.3953327939678</c:v>
                </c:pt>
                <c:pt idx="82">
                  <c:v>1391.5676178298288</c:v>
                </c:pt>
                <c:pt idx="83">
                  <c:v>1392.7050330418008</c:v>
                </c:pt>
                <c:pt idx="84">
                  <c:v>1393.80784298202</c:v>
                </c:pt>
                <c:pt idx="85">
                  <c:v>1394.8763113263988</c:v>
                </c:pt>
                <c:pt idx="86">
                  <c:v>1395.910700858185</c:v>
                </c:pt>
                <c:pt idx="87">
                  <c:v>1396.9112734520768</c:v>
                </c:pt>
                <c:pt idx="88">
                  <c:v>1397.8782900588767</c:v>
                </c:pt>
                <c:pt idx="89">
                  <c:v>1398.812010690677</c:v>
                </c:pt>
                <c:pt idx="90">
                  <c:v>1399.7126944065617</c:v>
                </c:pt>
                <c:pt idx="91">
                  <c:v>1400.580599298816</c:v>
                </c:pt>
                <c:pt idx="92">
                  <c:v>1401.41598247963</c:v>
                </c:pt>
                <c:pt idx="93">
                  <c:v>1402.2191000682872</c:v>
                </c:pt>
                <c:pt idx="94">
                  <c:v>1402.9902071788263</c:v>
                </c:pt>
                <c:pt idx="95">
                  <c:v>1403.729557908166</c:v>
                </c:pt>
                <c:pt idx="96">
                  <c:v>1404.4374053246827</c:v>
                </c:pt>
                <c:pt idx="97">
                  <c:v>1405.1140014572293</c:v>
                </c:pt>
                <c:pt idx="98">
                  <c:v>1405.7595972845886</c:v>
                </c:pt>
                <c:pt idx="99">
                  <c:v>1406.3744427253475</c:v>
                </c:pt>
                <c:pt idx="100">
                  <c:v>1406.9587866281861</c:v>
                </c:pt>
                <c:pt idx="101">
                  <c:v>1407.5128767625686</c:v>
                </c:pt>
                <c:pt idx="102">
                  <c:v>1408.0369598098312</c:v>
                </c:pt>
                <c:pt idx="103">
                  <c:v>1408.5312813546541</c:v>
                </c:pt>
                <c:pt idx="104">
                  <c:v>1408.9960858769109</c:v>
                </c:pt>
                <c:pt idx="105">
                  <c:v>1409.4316167438865</c:v>
                </c:pt>
                <c:pt idx="106">
                  <c:v>1409.8381162028538</c:v>
                </c:pt>
                <c:pt idx="107">
                  <c:v>1410.2158253740038</c:v>
                </c:pt>
                <c:pt idx="108">
                  <c:v>1410.5649842437172</c:v>
                </c:pt>
                <c:pt idx="109">
                  <c:v>1410.885831658172</c:v>
                </c:pt>
                <c:pt idx="110">
                  <c:v>1411.1786053172798</c:v>
                </c:pt>
                <c:pt idx="111">
                  <c:v>1411.4435417689401</c:v>
                </c:pt>
                <c:pt idx="112">
                  <c:v>1411.6808764036089</c:v>
                </c:pt>
                <c:pt idx="113">
                  <c:v>1411.8908434491714</c:v>
                </c:pt>
                <c:pt idx="114">
                  <c:v>1412.0736759661133</c:v>
                </c:pt>
                <c:pt idx="115">
                  <c:v>1412.2296058429824</c:v>
                </c:pt>
                <c:pt idx="116">
                  <c:v>1412.3588637921343</c:v>
                </c:pt>
                <c:pt idx="117">
                  <c:v>1412.4616793457558</c:v>
                </c:pt>
                <c:pt idx="118">
                  <c:v>1412.5382808521588</c:v>
                </c:pt>
                <c:pt idx="119">
                  <c:v>1412.5888954723378</c:v>
                </c:pt>
                <c:pt idx="120">
                  <c:v>1412.6137491767856</c:v>
                </c:pt>
                <c:pt idx="121">
                  <c:v>1412.6130667425605</c:v>
                </c:pt>
                <c:pt idx="122">
                  <c:v>1412.5870717505984</c:v>
                </c:pt>
                <c:pt idx="123">
                  <c:v>1412.5359865832654</c:v>
                </c:pt>
                <c:pt idx="124">
                  <c:v>1412.4600324221428</c:v>
                </c:pt>
                <c:pt idx="125">
                  <c:v>1412.3594292460405</c:v>
                </c:pt>
                <c:pt idx="126">
                  <c:v>1412.2343958292327</c:v>
                </c:pt>
                <c:pt idx="127">
                  <c:v>1412.0851497399096</c:v>
                </c:pt>
                <c:pt idx="128">
                  <c:v>1411.9119073388415</c:v>
                </c:pt>
                <c:pt idx="129">
                  <c:v>1411.7148837782479</c:v>
                </c:pt>
                <c:pt idx="130">
                  <c:v>1411.4942930008679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239.13606682510991</c:v>
                </c:pt>
                <c:pt idx="2">
                  <c:v>236.82893777726181</c:v>
                </c:pt>
                <c:pt idx="3">
                  <c:v>234.60502213411706</c:v>
                </c:pt>
                <c:pt idx="4">
                  <c:v>232.46177021797669</c:v>
                </c:pt>
                <c:pt idx="5">
                  <c:v>230.39670472239567</c:v>
                </c:pt>
                <c:pt idx="6">
                  <c:v>228.40741869452955</c:v>
                </c:pt>
                <c:pt idx="7">
                  <c:v>226.4915735736426</c:v>
                </c:pt>
                <c:pt idx="8">
                  <c:v>224.64689728421121</c:v>
                </c:pt>
                <c:pt idx="9">
                  <c:v>222.8711823821005</c:v>
                </c:pt>
                <c:pt idx="10">
                  <c:v>221.16228425233356</c:v>
                </c:pt>
                <c:pt idx="11">
                  <c:v>219.51811935701537</c:v>
                </c:pt>
                <c:pt idx="12">
                  <c:v>217.93666353201257</c:v>
                </c:pt>
                <c:pt idx="13">
                  <c:v>216.41595033103022</c:v>
                </c:pt>
                <c:pt idx="14">
                  <c:v>214.95406941576368</c:v>
                </c:pt>
                <c:pt idx="15">
                  <c:v>213.54916499084189</c:v>
                </c:pt>
                <c:pt idx="16">
                  <c:v>212.19943428231278</c:v>
                </c:pt>
                <c:pt idx="17">
                  <c:v>210.90312605845781</c:v>
                </c:pt>
                <c:pt idx="18">
                  <c:v>209.65853919175561</c:v>
                </c:pt>
                <c:pt idx="19">
                  <c:v>208.46402126084774</c:v>
                </c:pt>
                <c:pt idx="20">
                  <c:v>207.31796719139231</c:v>
                </c:pt>
                <c:pt idx="21">
                  <c:v>206.21881793472133</c:v>
                </c:pt>
                <c:pt idx="22">
                  <c:v>205.16505918324881</c:v>
                </c:pt>
                <c:pt idx="23">
                  <c:v>204.15522012160534</c:v>
                </c:pt>
                <c:pt idx="24">
                  <c:v>203.18787221250417</c:v>
                </c:pt>
                <c:pt idx="25">
                  <c:v>202.26162801637088</c:v>
                </c:pt>
                <c:pt idx="26">
                  <c:v>201.37514004379631</c:v>
                </c:pt>
                <c:pt idx="27">
                  <c:v>200.52709963989847</c:v>
                </c:pt>
                <c:pt idx="28">
                  <c:v>199.71623589970454</c:v>
                </c:pt>
                <c:pt idx="29">
                  <c:v>198.94131461368923</c:v>
                </c:pt>
                <c:pt idx="30">
                  <c:v>198.20113724262939</c:v>
                </c:pt>
                <c:pt idx="31">
                  <c:v>197.49453992095889</c:v>
                </c:pt>
                <c:pt idx="32">
                  <c:v>196.82039248782979</c:v>
                </c:pt>
                <c:pt idx="33">
                  <c:v>196.17759754510857</c:v>
                </c:pt>
                <c:pt idx="34">
                  <c:v>195.56508954155746</c:v>
                </c:pt>
                <c:pt idx="35">
                  <c:v>194.98183388247199</c:v>
                </c:pt>
                <c:pt idx="36">
                  <c:v>194.42682606406595</c:v>
                </c:pt>
                <c:pt idx="37">
                  <c:v>193.89909083191492</c:v>
                </c:pt>
                <c:pt idx="38">
                  <c:v>193.39768136278903</c:v>
                </c:pt>
                <c:pt idx="39">
                  <c:v>192.92167846922348</c:v>
                </c:pt>
                <c:pt idx="40">
                  <c:v>192.4701898261946</c:v>
                </c:pt>
                <c:pt idx="41">
                  <c:v>192.04234921928577</c:v>
                </c:pt>
                <c:pt idx="42">
                  <c:v>191.63731581374566</c:v>
                </c:pt>
                <c:pt idx="43">
                  <c:v>191.25427344385719</c:v>
                </c:pt>
                <c:pt idx="44">
                  <c:v>190.8924299220524</c:v>
                </c:pt>
                <c:pt idx="45">
                  <c:v>190.55101636722358</c:v>
                </c:pt>
                <c:pt idx="46">
                  <c:v>190.22928655169699</c:v>
                </c:pt>
                <c:pt idx="47">
                  <c:v>189.92651626634986</c:v>
                </c:pt>
                <c:pt idx="48">
                  <c:v>189.6420027033661</c:v>
                </c:pt>
                <c:pt idx="49">
                  <c:v>189.37506385614014</c:v>
                </c:pt>
                <c:pt idx="50">
                  <c:v>189.12503793585205</c:v>
                </c:pt>
                <c:pt idx="51">
                  <c:v>188.89128280425038</c:v>
                </c:pt>
                <c:pt idx="52">
                  <c:v>188.67317542219195</c:v>
                </c:pt>
                <c:pt idx="53">
                  <c:v>188.47011131350069</c:v>
                </c:pt>
                <c:pt idx="54">
                  <c:v>188.28150404371937</c:v>
                </c:pt>
                <c:pt idx="55">
                  <c:v>188.10678471334043</c:v>
                </c:pt>
                <c:pt idx="56">
                  <c:v>187.94540146511349</c:v>
                </c:pt>
                <c:pt idx="57">
                  <c:v>187.79681900503789</c:v>
                </c:pt>
                <c:pt idx="58">
                  <c:v>187.6605181366605</c:v>
                </c:pt>
                <c:pt idx="59">
                  <c:v>187.53599530830849</c:v>
                </c:pt>
                <c:pt idx="60">
                  <c:v>187.4227621728979</c:v>
                </c:pt>
                <c:pt idx="61">
                  <c:v>187.32034515996872</c:v>
                </c:pt>
                <c:pt idx="62">
                  <c:v>187.22828505960626</c:v>
                </c:pt>
                <c:pt idx="63">
                  <c:v>187.14613661791918</c:v>
                </c:pt>
                <c:pt idx="64">
                  <c:v>187.07346814375268</c:v>
                </c:pt>
                <c:pt idx="65">
                  <c:v>187.00986112632512</c:v>
                </c:pt>
                <c:pt idx="66">
                  <c:v>186.95490986348437</c:v>
                </c:pt>
                <c:pt idx="67">
                  <c:v>186.90822110028901</c:v>
                </c:pt>
                <c:pt idx="68">
                  <c:v>186.8694136776279</c:v>
                </c:pt>
                <c:pt idx="69">
                  <c:v>186.838118190599</c:v>
                </c:pt>
                <c:pt idx="70">
                  <c:v>186.81397665637667</c:v>
                </c:pt>
                <c:pt idx="71">
                  <c:v>186.7966421913039</c:v>
                </c:pt>
                <c:pt idx="72">
                  <c:v>186.78577869695351</c:v>
                </c:pt>
                <c:pt idx="73">
                  <c:v>186.78106055490923</c:v>
                </c:pt>
                <c:pt idx="74">
                  <c:v>186.78217233002448</c:v>
                </c:pt>
                <c:pt idx="75">
                  <c:v>186.78880848192384</c:v>
                </c:pt>
                <c:pt idx="76">
                  <c:v>186.80067308451825</c:v>
                </c:pt>
                <c:pt idx="77">
                  <c:v>186.81747955331153</c:v>
                </c:pt>
                <c:pt idx="78">
                  <c:v>186.83895038028209</c:v>
                </c:pt>
                <c:pt idx="79">
                  <c:v>186.86481687612962</c:v>
                </c:pt>
                <c:pt idx="80">
                  <c:v>186.89481891968239</c:v>
                </c:pt>
                <c:pt idx="81">
                  <c:v>186.92870471426659</c:v>
                </c:pt>
                <c:pt idx="82">
                  <c:v>186.96623055084436</c:v>
                </c:pt>
                <c:pt idx="83">
                  <c:v>187.00716057773306</c:v>
                </c:pt>
                <c:pt idx="84">
                  <c:v>187.05126657672298</c:v>
                </c:pt>
                <c:pt idx="85">
                  <c:v>187.09832774541616</c:v>
                </c:pt>
                <c:pt idx="86">
                  <c:v>187.14813048561376</c:v>
                </c:pt>
                <c:pt idx="87">
                  <c:v>187.20046819758434</c:v>
                </c:pt>
                <c:pt idx="88">
                  <c:v>187.25514108004975</c:v>
                </c:pt>
                <c:pt idx="89">
                  <c:v>187.3119559357304</c:v>
                </c:pt>
                <c:pt idx="90">
                  <c:v>187.37072598229548</c:v>
                </c:pt>
                <c:pt idx="91">
                  <c:v>187.43127066856869</c:v>
                </c:pt>
                <c:pt idx="92">
                  <c:v>187.49341549584335</c:v>
                </c:pt>
                <c:pt idx="93">
                  <c:v>187.55699184416559</c:v>
                </c:pt>
                <c:pt idx="94">
                  <c:v>187.62183680344785</c:v>
                </c:pt>
                <c:pt idx="95">
                  <c:v>187.68779300927866</c:v>
                </c:pt>
                <c:pt idx="96">
                  <c:v>187.75470848329894</c:v>
                </c:pt>
                <c:pt idx="97">
                  <c:v>187.82243647801778</c:v>
                </c:pt>
                <c:pt idx="98">
                  <c:v>187.89083532594518</c:v>
                </c:pt>
                <c:pt idx="99">
                  <c:v>187.95976829292184</c:v>
                </c:pt>
                <c:pt idx="100">
                  <c:v>188.02910343552983</c:v>
                </c:pt>
                <c:pt idx="101">
                  <c:v>188.09871346247104</c:v>
                </c:pt>
                <c:pt idx="102">
                  <c:v>188.16847559980368</c:v>
                </c:pt>
                <c:pt idx="103">
                  <c:v>188.23827145992976</c:v>
                </c:pt>
                <c:pt idx="104">
                  <c:v>188.30798691422976</c:v>
                </c:pt>
                <c:pt idx="105">
                  <c:v>188.37751196924347</c:v>
                </c:pt>
                <c:pt idx="106">
                  <c:v>188.44674064629888</c:v>
                </c:pt>
                <c:pt idx="107">
                  <c:v>188.51557086449358</c:v>
                </c:pt>
                <c:pt idx="108">
                  <c:v>188.58390432693574</c:v>
                </c:pt>
                <c:pt idx="109">
                  <c:v>188.65164641015468</c:v>
                </c:pt>
                <c:pt idx="110">
                  <c:v>188.71870605659308</c:v>
                </c:pt>
                <c:pt idx="111">
                  <c:v>188.78499567009555</c:v>
                </c:pt>
                <c:pt idx="112">
                  <c:v>188.85043101431074</c:v>
                </c:pt>
                <c:pt idx="113">
                  <c:v>188.91493111392626</c:v>
                </c:pt>
                <c:pt idx="114">
                  <c:v>188.97841815865789</c:v>
                </c:pt>
                <c:pt idx="115">
                  <c:v>189.04081740991717</c:v>
                </c:pt>
                <c:pt idx="116">
                  <c:v>189.10205711008297</c:v>
                </c:pt>
                <c:pt idx="117">
                  <c:v>189.16206839430501</c:v>
                </c:pt>
                <c:pt idx="118">
                  <c:v>189.22078520476953</c:v>
                </c:pt>
                <c:pt idx="119">
                  <c:v>189.27814420735859</c:v>
                </c:pt>
                <c:pt idx="120">
                  <c:v>189.33408471063714</c:v>
                </c:pt>
                <c:pt idx="121">
                  <c:v>189.3885485871032</c:v>
                </c:pt>
                <c:pt idx="122">
                  <c:v>189.44148019663874</c:v>
                </c:pt>
                <c:pt idx="123">
                  <c:v>189.49282631210019</c:v>
                </c:pt>
                <c:pt idx="124">
                  <c:v>189.54253604698971</c:v>
                </c:pt>
                <c:pt idx="125">
                  <c:v>189.59056078514919</c:v>
                </c:pt>
                <c:pt idx="126">
                  <c:v>189.63685411242147</c:v>
                </c:pt>
                <c:pt idx="127">
                  <c:v>189.68137175022426</c:v>
                </c:pt>
                <c:pt idx="128">
                  <c:v>189.72407149098365</c:v>
                </c:pt>
                <c:pt idx="129">
                  <c:v>189.76491313537605</c:v>
                </c:pt>
                <c:pt idx="130">
                  <c:v>189.80385843132851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82.572351898549726</c:v>
                </c:pt>
                <c:pt idx="2">
                  <c:v>82.953295984375515</c:v>
                </c:pt>
                <c:pt idx="3">
                  <c:v>83.323227790595112</c:v>
                </c:pt>
                <c:pt idx="4">
                  <c:v>83.682527513046196</c:v>
                </c:pt>
                <c:pt idx="5">
                  <c:v>84.031563431753412</c:v>
                </c:pt>
                <c:pt idx="6">
                  <c:v>84.370692256156588</c:v>
                </c:pt>
                <c:pt idx="7">
                  <c:v>84.700259460633049</c:v>
                </c:pt>
                <c:pt idx="8">
                  <c:v>85.020599610584924</c:v>
                </c:pt>
                <c:pt idx="9">
                  <c:v>85.332036679354502</c:v>
                </c:pt>
                <c:pt idx="10">
                  <c:v>85.634884356223708</c:v>
                </c:pt>
                <c:pt idx="11">
                  <c:v>85.929446345746172</c:v>
                </c:pt>
                <c:pt idx="12">
                  <c:v>86.216016658654013</c:v>
                </c:pt>
                <c:pt idx="13">
                  <c:v>86.494879894574083</c:v>
                </c:pt>
                <c:pt idx="14">
                  <c:v>86.766311516782338</c:v>
                </c:pt>
                <c:pt idx="15">
                  <c:v>87.030578119218532</c:v>
                </c:pt>
                <c:pt idx="16">
                  <c:v>87.287937685976928</c:v>
                </c:pt>
                <c:pt idx="17">
                  <c:v>87.538639843483253</c:v>
                </c:pt>
                <c:pt idx="18">
                  <c:v>87.7829261055617</c:v>
                </c:pt>
                <c:pt idx="19">
                  <c:v>88.021030111590491</c:v>
                </c:pt>
                <c:pt idx="20">
                  <c:v>88.253177857938837</c:v>
                </c:pt>
                <c:pt idx="21">
                  <c:v>88.479587922872696</c:v>
                </c:pt>
                <c:pt idx="22">
                  <c:v>88.700471685111694</c:v>
                </c:pt>
                <c:pt idx="23">
                  <c:v>88.916033536214229</c:v>
                </c:pt>
                <c:pt idx="24">
                  <c:v>89.126471086963122</c:v>
                </c:pt>
                <c:pt idx="25">
                  <c:v>89.331975367919156</c:v>
                </c:pt>
                <c:pt idx="26">
                  <c:v>89.532731024305264</c:v>
                </c:pt>
                <c:pt idx="27">
                  <c:v>89.728916505379686</c:v>
                </c:pt>
                <c:pt idx="28">
                  <c:v>89.92070424845177</c:v>
                </c:pt>
                <c:pt idx="29">
                  <c:v>90.10826085769007</c:v>
                </c:pt>
                <c:pt idx="30">
                  <c:v>90.291747277868055</c:v>
                </c:pt>
                <c:pt idx="31">
                  <c:v>90.471318963188722</c:v>
                </c:pt>
                <c:pt idx="32">
                  <c:v>90.647126041325492</c:v>
                </c:pt>
                <c:pt idx="33">
                  <c:v>90.819313472813036</c:v>
                </c:pt>
                <c:pt idx="34">
                  <c:v>90.988021205917676</c:v>
                </c:pt>
                <c:pt idx="35">
                  <c:v>91.153384327113798</c:v>
                </c:pt>
                <c:pt idx="36">
                  <c:v>91.315533207288723</c:v>
                </c:pt>
                <c:pt idx="37">
                  <c:v>91.474593643795515</c:v>
                </c:pt>
                <c:pt idx="38">
                  <c:v>91.630686998469614</c:v>
                </c:pt>
                <c:pt idx="39">
                  <c:v>91.78393033172199</c:v>
                </c:pt>
                <c:pt idx="40">
                  <c:v>91.93443653281841</c:v>
                </c:pt>
                <c:pt idx="41">
                  <c:v>92.082314446451406</c:v>
                </c:pt>
                <c:pt idx="42">
                  <c:v>92.227668995708427</c:v>
                </c:pt>
                <c:pt idx="43">
                  <c:v>92.370601301536965</c:v>
                </c:pt>
                <c:pt idx="44">
                  <c:v>92.51120879880439</c:v>
                </c:pt>
                <c:pt idx="45">
                  <c:v>92.649585349047783</c:v>
                </c:pt>
                <c:pt idx="46">
                  <c:v>92.785821350006188</c:v>
                </c:pt>
                <c:pt idx="47">
                  <c:v>92.920003842025267</c:v>
                </c:pt>
                <c:pt idx="48">
                  <c:v>93.05221661142167</c:v>
                </c:pt>
                <c:pt idx="49">
                  <c:v>93.182540290892263</c:v>
                </c:pt>
                <c:pt idx="50">
                  <c:v>93.311052457050721</c:v>
                </c:pt>
                <c:pt idx="51">
                  <c:v>93.437827725171871</c:v>
                </c:pt>
                <c:pt idx="52">
                  <c:v>93.562937841221782</c:v>
                </c:pt>
                <c:pt idx="53">
                  <c:v>93.686451771249665</c:v>
                </c:pt>
                <c:pt idx="54">
                  <c:v>93.80843578821522</c:v>
                </c:pt>
                <c:pt idx="55">
                  <c:v>93.928953556323279</c:v>
                </c:pt>
                <c:pt idx="56">
                  <c:v>94.048066212935424</c:v>
                </c:pt>
                <c:pt idx="57">
                  <c:v>94.16583244812648</c:v>
                </c:pt>
                <c:pt idx="58">
                  <c:v>94.282308581951654</c:v>
                </c:pt>
                <c:pt idx="59">
                  <c:v>94.397548639488591</c:v>
                </c:pt>
                <c:pt idx="60">
                  <c:v>94.51160442371642</c:v>
                </c:pt>
                <c:pt idx="61">
                  <c:v>94.624525586292577</c:v>
                </c:pt>
                <c:pt idx="62">
                  <c:v>94.736359696286129</c:v>
                </c:pt>
                <c:pt idx="63">
                  <c:v>94.847152306924883</c:v>
                </c:pt>
                <c:pt idx="64">
                  <c:v>94.956947020412002</c:v>
                </c:pt>
                <c:pt idx="65">
                  <c:v>95.065785550866067</c:v>
                </c:pt>
                <c:pt idx="66">
                  <c:v>95.173707785437358</c:v>
                </c:pt>
                <c:pt idx="67">
                  <c:v>95.280751843651316</c:v>
                </c:pt>
                <c:pt idx="68">
                  <c:v>95.386954135029058</c:v>
                </c:pt>
                <c:pt idx="69">
                  <c:v>95.49234941503309</c:v>
                </c:pt>
                <c:pt idx="70">
                  <c:v>95.596970839385321</c:v>
                </c:pt>
                <c:pt idx="71">
                  <c:v>95.700850016803031</c:v>
                </c:pt>
                <c:pt idx="72">
                  <c:v>95.804017060197182</c:v>
                </c:pt>
                <c:pt idx="73">
                  <c:v>95.906500636376151</c:v>
                </c:pt>
                <c:pt idx="74">
                  <c:v>96.008328014297007</c:v>
                </c:pt>
                <c:pt idx="75">
                  <c:v>96.109525111905</c:v>
                </c:pt>
                <c:pt idx="76">
                  <c:v>96.210116541600982</c:v>
                </c:pt>
                <c:pt idx="77">
                  <c:v>96.310125654375256</c:v>
                </c:pt>
                <c:pt idx="78">
                  <c:v>96.409574582645433</c:v>
                </c:pt>
                <c:pt idx="79">
                  <c:v>96.508484281834654</c:v>
                </c:pt>
                <c:pt idx="80">
                  <c:v>96.606874570725608</c:v>
                </c:pt>
                <c:pt idx="81">
                  <c:v>96.70476417062487</c:v>
                </c:pt>
                <c:pt idx="82">
                  <c:v>96.802170743370866</c:v>
                </c:pt>
                <c:pt idx="83">
                  <c:v>96.899110928218235</c:v>
                </c:pt>
                <c:pt idx="84">
                  <c:v>96.995600377630069</c:v>
                </c:pt>
                <c:pt idx="85">
                  <c:v>97.091653792008842</c:v>
                </c:pt>
                <c:pt idx="86">
                  <c:v>97.18728495339596</c:v>
                </c:pt>
                <c:pt idx="87">
                  <c:v>97.282506758168964</c:v>
                </c:pt>
                <c:pt idx="88">
                  <c:v>97.377331248764662</c:v>
                </c:pt>
                <c:pt idx="89">
                  <c:v>97.471769644455719</c:v>
                </c:pt>
                <c:pt idx="90">
                  <c:v>97.565832371207364</c:v>
                </c:pt>
                <c:pt idx="91">
                  <c:v>97.659529090640149</c:v>
                </c:pt>
                <c:pt idx="92">
                  <c:v>97.752868728124142</c:v>
                </c:pt>
                <c:pt idx="93">
                  <c:v>97.845859500028922</c:v>
                </c:pt>
                <c:pt idx="94">
                  <c:v>97.938508940153397</c:v>
                </c:pt>
                <c:pt idx="95">
                  <c:v>98.030823925358561</c:v>
                </c:pt>
                <c:pt idx="96">
                  <c:v>98.122810700425703</c:v>
                </c:pt>
                <c:pt idx="97">
                  <c:v>98.214474902162095</c:v>
                </c:pt>
                <c:pt idx="98">
                  <c:v>98.305821582775422</c:v>
                </c:pt>
                <c:pt idx="99">
                  <c:v>98.396855232537646</c:v>
                </c:pt>
                <c:pt idx="100">
                  <c:v>98.487579801758429</c:v>
                </c:pt>
                <c:pt idx="101">
                  <c:v>98.577998722087855</c:v>
                </c:pt>
                <c:pt idx="102">
                  <c:v>98.668114927167267</c:v>
                </c:pt>
                <c:pt idx="103">
                  <c:v>98.757930872646867</c:v>
                </c:pt>
                <c:pt idx="104">
                  <c:v>98.847448555588059</c:v>
                </c:pt>
                <c:pt idx="105">
                  <c:v>98.936669533267931</c:v>
                </c:pt>
                <c:pt idx="106">
                  <c:v>99.025594941403043</c:v>
                </c:pt>
                <c:pt idx="107">
                  <c:v>99.114225511808868</c:v>
                </c:pt>
                <c:pt idx="108">
                  <c:v>99.202561589511092</c:v>
                </c:pt>
                <c:pt idx="109">
                  <c:v>99.290603149324326</c:v>
                </c:pt>
                <c:pt idx="110">
                  <c:v>99.378349811913424</c:v>
                </c:pt>
                <c:pt idx="111">
                  <c:v>99.4658008593522</c:v>
                </c:pt>
                <c:pt idx="112">
                  <c:v>99.552955250193861</c:v>
                </c:pt>
                <c:pt idx="113">
                  <c:v>99.639811634067158</c:v>
                </c:pt>
                <c:pt idx="114">
                  <c:v>99.726368365811695</c:v>
                </c:pt>
                <c:pt idx="115">
                  <c:v>99.81262351916574</c:v>
                </c:pt>
                <c:pt idx="116">
                  <c:v>99.898574900019284</c:v>
                </c:pt>
                <c:pt idx="117">
                  <c:v>99.984220059244734</c:v>
                </c:pt>
                <c:pt idx="118">
                  <c:v>100.06955630511749</c:v>
                </c:pt>
                <c:pt idx="119">
                  <c:v>100.1545807153381</c:v>
                </c:pt>
                <c:pt idx="120">
                  <c:v>100.23929014866741</c:v>
                </c:pt>
                <c:pt idx="121">
                  <c:v>100.32368125618592</c:v>
                </c:pt>
                <c:pt idx="122">
                  <c:v>100.40775049218813</c:v>
                </c:pt>
                <c:pt idx="123">
                  <c:v>100.49149412472229</c:v>
                </c:pt>
                <c:pt idx="124">
                  <c:v>100.57490824578599</c:v>
                </c:pt>
                <c:pt idx="125">
                  <c:v>100.65798878118729</c:v>
                </c:pt>
                <c:pt idx="126">
                  <c:v>100.74073150008121</c:v>
                </c:pt>
                <c:pt idx="127">
                  <c:v>100.82313202419095</c:v>
                </c:pt>
                <c:pt idx="128">
                  <c:v>100.90518583672284</c:v>
                </c:pt>
                <c:pt idx="129">
                  <c:v>100.98688829098403</c:v>
                </c:pt>
                <c:pt idx="130">
                  <c:v>101.06823461871153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52.215626493826136</c:v>
                </c:pt>
                <c:pt idx="2">
                  <c:v>52.305756789460467</c:v>
                </c:pt>
                <c:pt idx="3">
                  <c:v>52.385075265916065</c:v>
                </c:pt>
                <c:pt idx="4">
                  <c:v>52.454098460488972</c:v>
                </c:pt>
                <c:pt idx="5">
                  <c:v>52.513323982244337</c:v>
                </c:pt>
                <c:pt idx="6">
                  <c:v>52.563231120710348</c:v>
                </c:pt>
                <c:pt idx="7">
                  <c:v>52.604281436246481</c:v>
                </c:pt>
                <c:pt idx="8">
                  <c:v>52.636919332619222</c:v>
                </c:pt>
                <c:pt idx="9">
                  <c:v>52.661572612303303</c:v>
                </c:pt>
                <c:pt idx="10">
                  <c:v>52.678653015011633</c:v>
                </c:pt>
                <c:pt idx="11">
                  <c:v>52.688556739942761</c:v>
                </c:pt>
                <c:pt idx="12">
                  <c:v>52.69166495222062</c:v>
                </c:pt>
                <c:pt idx="13">
                  <c:v>52.688344273987852</c:v>
                </c:pt>
                <c:pt idx="14">
                  <c:v>52.678947260600694</c:v>
                </c:pt>
                <c:pt idx="15">
                  <c:v>52.663812862360679</c:v>
                </c:pt>
                <c:pt idx="16">
                  <c:v>52.643266872205793</c:v>
                </c:pt>
                <c:pt idx="17">
                  <c:v>52.617622359771829</c:v>
                </c:pt>
                <c:pt idx="18">
                  <c:v>52.587180092222702</c:v>
                </c:pt>
                <c:pt idx="19">
                  <c:v>52.552228942237186</c:v>
                </c:pt>
                <c:pt idx="20">
                  <c:v>52.513046283528396</c:v>
                </c:pt>
                <c:pt idx="21">
                  <c:v>52.469898374261504</c:v>
                </c:pt>
                <c:pt idx="22">
                  <c:v>52.423040728724722</c:v>
                </c:pt>
                <c:pt idx="23">
                  <c:v>52.372718477598404</c:v>
                </c:pt>
                <c:pt idx="24">
                  <c:v>52.319166717157209</c:v>
                </c:pt>
                <c:pt idx="25">
                  <c:v>52.26261084773062</c:v>
                </c:pt>
                <c:pt idx="26">
                  <c:v>52.203266901737784</c:v>
                </c:pt>
                <c:pt idx="27">
                  <c:v>52.141341861603571</c:v>
                </c:pt>
                <c:pt idx="28">
                  <c:v>52.077033967853943</c:v>
                </c:pt>
                <c:pt idx="29">
                  <c:v>52.010533017680046</c:v>
                </c:pt>
                <c:pt idx="30">
                  <c:v>51.942020654252268</c:v>
                </c:pt>
                <c:pt idx="31">
                  <c:v>51.871670647057257</c:v>
                </c:pt>
                <c:pt idx="32">
                  <c:v>51.799649163523178</c:v>
                </c:pt>
                <c:pt idx="33">
                  <c:v>51.726115032190656</c:v>
                </c:pt>
                <c:pt idx="34">
                  <c:v>51.651219997679689</c:v>
                </c:pt>
                <c:pt idx="35">
                  <c:v>51.575108967695343</c:v>
                </c:pt>
                <c:pt idx="36">
                  <c:v>51.497920252308191</c:v>
                </c:pt>
                <c:pt idx="37">
                  <c:v>51.419785795738655</c:v>
                </c:pt>
                <c:pt idx="38">
                  <c:v>51.340831400867671</c:v>
                </c:pt>
                <c:pt idx="39">
                  <c:v>51.261176946689808</c:v>
                </c:pt>
                <c:pt idx="40">
                  <c:v>51.180936598918684</c:v>
                </c:pt>
                <c:pt idx="41">
                  <c:v>51.10021901394839</c:v>
                </c:pt>
                <c:pt idx="42">
                  <c:v>51.019127536368892</c:v>
                </c:pt>
                <c:pt idx="43">
                  <c:v>50.937760390227474</c:v>
                </c:pt>
                <c:pt idx="44">
                  <c:v>50.856210864222867</c:v>
                </c:pt>
                <c:pt idx="45">
                  <c:v>50.774567491013251</c:v>
                </c:pt>
                <c:pt idx="46">
                  <c:v>50.692914220814082</c:v>
                </c:pt>
                <c:pt idx="47">
                  <c:v>50.611330589456543</c:v>
                </c:pt>
                <c:pt idx="48">
                  <c:v>50.529891881072579</c:v>
                </c:pt>
                <c:pt idx="49">
                  <c:v>50.44866928556754</c:v>
                </c:pt>
                <c:pt idx="50">
                  <c:v>50.367730051036851</c:v>
                </c:pt>
                <c:pt idx="51">
                  <c:v>50.287137631278611</c:v>
                </c:pt>
                <c:pt idx="52">
                  <c:v>50.206951828549499</c:v>
                </c:pt>
                <c:pt idx="53">
                  <c:v>50.127228931707251</c:v>
                </c:pt>
                <c:pt idx="54">
                  <c:v>50.048021849878602</c:v>
                </c:pt>
                <c:pt idx="55">
                  <c:v>49.969380241787732</c:v>
                </c:pt>
                <c:pt idx="56">
                  <c:v>49.89135064087624</c:v>
                </c:pt>
                <c:pt idx="57">
                  <c:v>49.813976576341808</c:v>
                </c:pt>
                <c:pt idx="58">
                  <c:v>49.73729869021912</c:v>
                </c:pt>
                <c:pt idx="59">
                  <c:v>49.661354850622885</c:v>
                </c:pt>
                <c:pt idx="60">
                  <c:v>49.586180261269455</c:v>
                </c:pt>
                <c:pt idx="61">
                  <c:v>49.511807567389937</c:v>
                </c:pt>
                <c:pt idx="62">
                  <c:v>49.438266958144617</c:v>
                </c:pt>
                <c:pt idx="63">
                  <c:v>49.365586265645092</c:v>
                </c:pt>
                <c:pt idx="64">
                  <c:v>49.29379106068761</c:v>
                </c:pt>
                <c:pt idx="65">
                  <c:v>49.222904745297861</c:v>
                </c:pt>
                <c:pt idx="66">
                  <c:v>49.152948642184754</c:v>
                </c:pt>
                <c:pt idx="67">
                  <c:v>49.083942081197648</c:v>
                </c:pt>
                <c:pt idx="68">
                  <c:v>49.015902482878928</c:v>
                </c:pt>
                <c:pt idx="69">
                  <c:v>48.948845439200952</c:v>
                </c:pt>
                <c:pt idx="70">
                  <c:v>48.882784791573918</c:v>
                </c:pt>
                <c:pt idx="71">
                  <c:v>48.817732706208524</c:v>
                </c:pt>
                <c:pt idx="72">
                  <c:v>48.753699746915004</c:v>
                </c:pt>
                <c:pt idx="73">
                  <c:v>48.690694945417505</c:v>
                </c:pt>
                <c:pt idx="74">
                  <c:v>48.628725869260677</c:v>
                </c:pt>
                <c:pt idx="75">
                  <c:v>48.567798687382862</c:v>
                </c:pt>
                <c:pt idx="76">
                  <c:v>48.507918233428285</c:v>
                </c:pt>
                <c:pt idx="77">
                  <c:v>48.449088066868292</c:v>
                </c:pt>
                <c:pt idx="78">
                  <c:v>48.391310531999871</c:v>
                </c:pt>
                <c:pt idx="79">
                  <c:v>48.334586814887395</c:v>
                </c:pt>
                <c:pt idx="80">
                  <c:v>48.278916998311836</c:v>
                </c:pt>
                <c:pt idx="81">
                  <c:v>48.2243001147896</c:v>
                </c:pt>
                <c:pt idx="82">
                  <c:v>48.170734197721401</c:v>
                </c:pt>
                <c:pt idx="83">
                  <c:v>48.11821633072978</c:v>
                </c:pt>
                <c:pt idx="84">
                  <c:v>48.066742695242134</c:v>
                </c:pt>
                <c:pt idx="85">
                  <c:v>48.016308616374374</c:v>
                </c:pt>
                <c:pt idx="86">
                  <c:v>47.966908607168818</c:v>
                </c:pt>
                <c:pt idx="87">
                  <c:v>47.918536411238236</c:v>
                </c:pt>
                <c:pt idx="88">
                  <c:v>47.871185043866397</c:v>
                </c:pt>
                <c:pt idx="89">
                  <c:v>47.824846831614074</c:v>
                </c:pt>
                <c:pt idx="90">
                  <c:v>47.779513450477928</c:v>
                </c:pt>
                <c:pt idx="91">
                  <c:v>47.735175962648242</c:v>
                </c:pt>
                <c:pt idx="92">
                  <c:v>47.691824851910255</c:v>
                </c:pt>
                <c:pt idx="93">
                  <c:v>47.649450057732288</c:v>
                </c:pt>
                <c:pt idx="94">
                  <c:v>47.608041008082758</c:v>
                </c:pt>
                <c:pt idx="95">
                  <c:v>47.567586651016818</c:v>
                </c:pt>
                <c:pt idx="96">
                  <c:v>47.528075485072151</c:v>
                </c:pt>
                <c:pt idx="97">
                  <c:v>47.489495588512256</c:v>
                </c:pt>
                <c:pt idx="98">
                  <c:v>47.45183464745444</c:v>
                </c:pt>
                <c:pt idx="99">
                  <c:v>47.415079982918598</c:v>
                </c:pt>
                <c:pt idx="100">
                  <c:v>47.379218576831747</c:v>
                </c:pt>
                <c:pt idx="101">
                  <c:v>47.344237097022265</c:v>
                </c:pt>
                <c:pt idx="102">
                  <c:v>47.310121921236771</c:v>
                </c:pt>
                <c:pt idx="103">
                  <c:v>47.276859160211494</c:v>
                </c:pt>
                <c:pt idx="104">
                  <c:v>47.244434679829197</c:v>
                </c:pt>
                <c:pt idx="105">
                  <c:v>47.212834122391527</c:v>
                </c:pt>
                <c:pt idx="106">
                  <c:v>47.182042927036051</c:v>
                </c:pt>
                <c:pt idx="107">
                  <c:v>47.152046349326078</c:v>
                </c:pt>
                <c:pt idx="108">
                  <c:v>47.122829480040686</c:v>
                </c:pt>
                <c:pt idx="109">
                  <c:v>47.094377263191518</c:v>
                </c:pt>
                <c:pt idx="110">
                  <c:v>47.066674513291986</c:v>
                </c:pt>
                <c:pt idx="111">
                  <c:v>47.039705931903903</c:v>
                </c:pt>
                <c:pt idx="112">
                  <c:v>47.013456123485703</c:v>
                </c:pt>
                <c:pt idx="113">
                  <c:v>46.987909610565652</c:v>
                </c:pt>
                <c:pt idx="114">
                  <c:v>46.96305084826281</c:v>
                </c:pt>
                <c:pt idx="115">
                  <c:v>46.938864238177771</c:v>
                </c:pt>
                <c:pt idx="116">
                  <c:v>46.915334141674506</c:v>
                </c:pt>
                <c:pt idx="117">
                  <c:v>46.892444892574026</c:v>
                </c:pt>
                <c:pt idx="118">
                  <c:v>46.870180809279887</c:v>
                </c:pt>
                <c:pt idx="119">
                  <c:v>46.848526206355046</c:v>
                </c:pt>
                <c:pt idx="120">
                  <c:v>46.827465405568816</c:v>
                </c:pt>
                <c:pt idx="121">
                  <c:v>46.806982746432233</c:v>
                </c:pt>
                <c:pt idx="122">
                  <c:v>46.787062596239529</c:v>
                </c:pt>
                <c:pt idx="123">
                  <c:v>46.767689359632811</c:v>
                </c:pt>
                <c:pt idx="124">
                  <c:v>46.748847487706598</c:v>
                </c:pt>
                <c:pt idx="125">
                  <c:v>46.73052148666828</c:v>
                </c:pt>
                <c:pt idx="126">
                  <c:v>46.712695926070118</c:v>
                </c:pt>
                <c:pt idx="127">
                  <c:v>46.69535544662785</c:v>
                </c:pt>
                <c:pt idx="128">
                  <c:v>46.678484767640583</c:v>
                </c:pt>
                <c:pt idx="129">
                  <c:v>46.662068694026097</c:v>
                </c:pt>
                <c:pt idx="130">
                  <c:v>46.646092122985351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45600"/>
        <c:axId val="127095552"/>
      </c:areaChart>
      <c:catAx>
        <c:axId val="12674560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27095552"/>
        <c:crosses val="autoZero"/>
        <c:auto val="1"/>
        <c:lblAlgn val="ctr"/>
        <c:lblOffset val="100"/>
        <c:noMultiLvlLbl val="0"/>
      </c:catAx>
      <c:valAx>
        <c:axId val="1270955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267456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93"/>
  <sheetViews>
    <sheetView tabSelected="1" zoomScale="70" zoomScaleNormal="70" workbookViewId="0">
      <selection activeCell="F27" sqref="F27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6220105.9522259887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8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7.7460822262109225E+18</v>
      </c>
      <c r="H10" s="80">
        <f t="shared" ref="H10:H17" ca="1" si="1">INDIRECT("Eq_de_Bateman_avec_RK1!"&amp;O10&amp;P10)</f>
        <v>15.826109168058778</v>
      </c>
      <c r="I10" s="89">
        <f ca="1">H10*1000/E10/C$8*6.02214129E+23</f>
        <v>6.4379908965849057E+18</v>
      </c>
      <c r="J10" s="80">
        <f t="shared" ref="J10:J15" ca="1" si="2">H10/(SUM(H$10:H$15))*100</f>
        <v>0.31804141518407986</v>
      </c>
      <c r="K10" s="96">
        <f ca="1">SUM(D10:D15)-SUM(H10:H15)</f>
        <v>34.859978945219154</v>
      </c>
      <c r="O10" s="6" t="s">
        <v>120</v>
      </c>
      <c r="P10" s="6">
        <f>P$9</f>
        <v>14</v>
      </c>
    </row>
    <row r="11" spans="1:16" ht="15">
      <c r="A11" s="109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1.4022643440257964E+21</v>
      </c>
      <c r="G11" s="100"/>
      <c r="H11" s="80">
        <f t="shared" ca="1" si="1"/>
        <v>3393.7913206821572</v>
      </c>
      <c r="I11" s="89">
        <f t="shared" ref="I11:I17" ca="1" si="4">H11*1000/E11/C$8*6.02214129E+23</f>
        <v>1.3748027490192279E+21</v>
      </c>
      <c r="J11" s="80">
        <f t="shared" ca="1" si="2"/>
        <v>68.201614370741453</v>
      </c>
      <c r="O11" s="6" t="s">
        <v>121</v>
      </c>
      <c r="P11" s="6">
        <f t="shared" ref="P11:P17" si="5">P$9</f>
        <v>14</v>
      </c>
    </row>
    <row r="12" spans="1:16" ht="15">
      <c r="A12" s="109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4.6574338606438718E+20</v>
      </c>
      <c r="G12" s="101"/>
      <c r="H12" s="80">
        <f t="shared" ca="1" si="1"/>
        <v>1209.6540427845123</v>
      </c>
      <c r="I12" s="89">
        <f t="shared" ca="1" si="4"/>
        <v>4.8798120787778136E+20</v>
      </c>
      <c r="J12" s="80">
        <f t="shared" ca="1" si="2"/>
        <v>24.309201937441159</v>
      </c>
      <c r="O12" s="6" t="s">
        <v>122</v>
      </c>
      <c r="P12" s="6">
        <f t="shared" si="5"/>
        <v>14</v>
      </c>
    </row>
    <row r="13" spans="1:16" ht="15">
      <c r="A13" s="109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9.702987209674734E+19</v>
      </c>
      <c r="G13" s="10"/>
      <c r="H13" s="80">
        <f t="shared" ca="1" si="1"/>
        <v>217.93666353201257</v>
      </c>
      <c r="I13" s="89">
        <f t="shared" ca="1" si="4"/>
        <v>8.7552068957703946E+19</v>
      </c>
      <c r="J13" s="80">
        <f t="shared" ca="1" si="2"/>
        <v>4.379654162256724</v>
      </c>
      <c r="O13" s="6" t="s">
        <v>123</v>
      </c>
      <c r="P13" s="6">
        <f t="shared" si="5"/>
        <v>14</v>
      </c>
    </row>
    <row r="14" spans="1:16" ht="15">
      <c r="A14" s="109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3.2877890545178849E+19</v>
      </c>
      <c r="G14" s="44"/>
      <c r="H14" s="80">
        <f t="shared" ca="1" si="1"/>
        <v>86.216016658654013</v>
      </c>
      <c r="I14" s="89">
        <f t="shared" ca="1" si="4"/>
        <v>3.4492585217589424E+19</v>
      </c>
      <c r="J14" s="80">
        <f t="shared" ca="1" si="2"/>
        <v>1.7325966640615482</v>
      </c>
      <c r="O14" s="6" t="s">
        <v>124</v>
      </c>
      <c r="P14" s="6">
        <f t="shared" si="5"/>
        <v>14</v>
      </c>
    </row>
    <row r="15" spans="1:16" ht="15">
      <c r="A15" s="109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2.0935906012576186E+19</v>
      </c>
      <c r="H15" s="80">
        <f t="shared" ca="1" si="1"/>
        <v>52.69166495222062</v>
      </c>
      <c r="I15" s="89">
        <f t="shared" ca="1" si="4"/>
        <v>2.1167912771663647E+19</v>
      </c>
      <c r="J15" s="80">
        <f t="shared" ca="1" si="2"/>
        <v>1.0588914503150222</v>
      </c>
      <c r="O15" s="6" t="s">
        <v>125</v>
      </c>
      <c r="P15" s="6">
        <f t="shared" si="5"/>
        <v>14</v>
      </c>
    </row>
    <row r="16" spans="1:16" ht="15">
      <c r="A16" s="109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5.7255366140277055E+19</v>
      </c>
      <c r="H16" s="80">
        <f t="shared" ca="1" si="1"/>
        <v>109.65409355809237</v>
      </c>
      <c r="I16" s="89">
        <f t="shared" ca="1" si="4"/>
        <v>4.517624656923988E+19</v>
      </c>
      <c r="O16" s="6" t="s">
        <v>128</v>
      </c>
      <c r="P16" s="6">
        <f t="shared" si="5"/>
        <v>14</v>
      </c>
    </row>
    <row r="17" spans="1:16" ht="15">
      <c r="A17" s="109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1.0815324002538532E+22</v>
      </c>
      <c r="H17" s="80">
        <f t="shared" ca="1" si="1"/>
        <v>25764.524596316704</v>
      </c>
      <c r="I17" s="89">
        <f t="shared" ca="1" si="4"/>
        <v>1.0480894137941205E+22</v>
      </c>
      <c r="O17" s="6" t="s">
        <v>129</v>
      </c>
      <c r="P17" s="6">
        <f t="shared" si="5"/>
        <v>14</v>
      </c>
    </row>
    <row r="18" spans="1:16" ht="15">
      <c r="A18" s="109"/>
      <c r="B18" s="45" t="s">
        <v>53</v>
      </c>
      <c r="C18" s="91">
        <f>SUM(K44:K51)</f>
        <v>3.561147683880416E-3</v>
      </c>
      <c r="D18" s="11"/>
      <c r="E18" s="11"/>
      <c r="F18" s="11"/>
      <c r="G18" s="11">
        <f ca="1">H18/C18</f>
        <v>0.97133547965976474</v>
      </c>
      <c r="H18" s="92">
        <f ca="1">SUMPRODUCT(I10:I17,G44:G51)*1E-24</f>
        <v>3.4590690936612441E-3</v>
      </c>
    </row>
    <row r="19" spans="1:16" ht="15">
      <c r="A19" s="109"/>
      <c r="B19" s="45" t="s">
        <v>130</v>
      </c>
      <c r="C19" s="91">
        <f>SUM(L44:L51)</f>
        <v>7.4036888748532648E-3</v>
      </c>
      <c r="D19" s="11"/>
      <c r="E19" s="11">
        <f>E38/E10*C10/100*6.02214129E+23*C2/100</f>
        <v>8.7815119640844134E+18</v>
      </c>
      <c r="F19" s="11"/>
      <c r="G19" s="11">
        <f t="shared" ref="G19:G21" ca="1" si="6">H19/C19</f>
        <v>0.9725850191988521</v>
      </c>
      <c r="H19" s="92">
        <f ca="1">SUMPRODUCT(I10:I17,I44:I51)*1E-24</f>
        <v>7.2007168864914898E-3</v>
      </c>
    </row>
    <row r="20" spans="1:16" ht="15">
      <c r="A20" s="109"/>
      <c r="B20" s="99" t="s">
        <v>145</v>
      </c>
      <c r="C20" s="91">
        <f>C19-C18</f>
        <v>3.8425411909728487E-3</v>
      </c>
      <c r="D20" s="11"/>
      <c r="E20" s="11"/>
      <c r="F20" s="11"/>
      <c r="G20" s="11">
        <f t="shared" ca="1" si="6"/>
        <v>0.97374305358661384</v>
      </c>
      <c r="H20" s="92">
        <f ca="1">H19-H18</f>
        <v>3.7416477928302458E-3</v>
      </c>
    </row>
    <row r="21" spans="1:16" ht="15">
      <c r="A21" s="109"/>
      <c r="B21" s="45" t="s">
        <v>131</v>
      </c>
      <c r="C21" s="91">
        <f>SUM(M44:M51)</f>
        <v>1.0405065276121185E-2</v>
      </c>
      <c r="D21" s="11"/>
      <c r="E21" s="11"/>
      <c r="F21" s="11"/>
      <c r="G21" s="11">
        <f t="shared" ca="1" si="6"/>
        <v>0.972391107451685</v>
      </c>
      <c r="H21" s="92">
        <f ca="1">SUMPRODUCT(I10:I17,J44:J51)*1E-24</f>
        <v>1.0117792946954552E-2</v>
      </c>
      <c r="J21" s="7"/>
    </row>
    <row r="22" spans="1:16" ht="15">
      <c r="A22" s="110"/>
      <c r="B22" s="45" t="s">
        <v>134</v>
      </c>
      <c r="C22" s="91">
        <f>C21/C19</f>
        <v>1.4053893203781345</v>
      </c>
      <c r="D22" s="11"/>
      <c r="E22" s="11"/>
      <c r="F22" s="11"/>
      <c r="G22" s="11"/>
      <c r="H22" s="93">
        <f ca="1">H21/H19</f>
        <v>1.4051091171124201</v>
      </c>
      <c r="I22" s="90">
        <f ca="1">(H22-C22)/(C22*H22)</f>
        <v>-1.4189480381051641E-4</v>
      </c>
      <c r="J22" s="7"/>
    </row>
    <row r="23" spans="1:16" ht="15" customHeight="1">
      <c r="A23" s="107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7"/>
      <c r="B24" s="45" t="s">
        <v>58</v>
      </c>
      <c r="C24" s="76">
        <v>75</v>
      </c>
      <c r="I24" s="7"/>
      <c r="J24" s="95"/>
    </row>
    <row r="25" spans="1:16" ht="15.75" customHeight="1" thickBot="1">
      <c r="A25" s="107"/>
      <c r="B25" s="45" t="s">
        <v>71</v>
      </c>
      <c r="C25" s="46">
        <f>C24/100*C23</f>
        <v>2250</v>
      </c>
      <c r="E25" s="9" t="s">
        <v>57</v>
      </c>
      <c r="G25" s="104" t="s">
        <v>141</v>
      </c>
      <c r="H25" s="105"/>
      <c r="I25" s="105"/>
      <c r="J25" s="106" t="s">
        <v>144</v>
      </c>
      <c r="K25" s="106"/>
    </row>
    <row r="26" spans="1:16" ht="15.75" thickBot="1">
      <c r="A26" s="107"/>
      <c r="B26" s="45" t="s">
        <v>46</v>
      </c>
      <c r="C26" s="76">
        <f>365*20</f>
        <v>7300</v>
      </c>
      <c r="E26" s="9" t="s">
        <v>49</v>
      </c>
      <c r="H26" s="45" t="s">
        <v>142</v>
      </c>
      <c r="I26" s="45" t="s">
        <v>143</v>
      </c>
      <c r="L26" s="97"/>
    </row>
    <row r="27" spans="1:16" ht="15.75" thickBot="1">
      <c r="A27" s="107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8">
        <v>1.9645746679088916E-2</v>
      </c>
      <c r="K27" s="98">
        <v>1.5143810742301866E-4</v>
      </c>
    </row>
    <row r="28" spans="1:16" ht="15">
      <c r="A28" s="107"/>
      <c r="B28" s="45" t="s">
        <v>56</v>
      </c>
      <c r="C28" s="47">
        <f>C25*1000000/B41</f>
        <v>7.0216980111677022E+19</v>
      </c>
      <c r="G28" s="45" t="s">
        <v>9</v>
      </c>
      <c r="H28" s="94">
        <v>0</v>
      </c>
      <c r="I28" s="94">
        <v>0</v>
      </c>
      <c r="J28" s="98">
        <v>5.3065861449795193</v>
      </c>
      <c r="K28" s="98">
        <v>-8.9020792911469471E-2</v>
      </c>
    </row>
    <row r="29" spans="1:16" ht="15">
      <c r="A29" s="107"/>
      <c r="B29" s="45" t="s">
        <v>54</v>
      </c>
      <c r="C29" s="47">
        <f>C28/C8</f>
        <v>11288711261670.467</v>
      </c>
      <c r="G29" s="45" t="s">
        <v>10</v>
      </c>
      <c r="H29" s="94">
        <v>0</v>
      </c>
      <c r="I29" s="94">
        <v>0</v>
      </c>
      <c r="J29" s="98">
        <v>0.45676520680899557</v>
      </c>
      <c r="K29" s="98">
        <v>4.4662190512099187E-2</v>
      </c>
    </row>
    <row r="30" spans="1:16" ht="15">
      <c r="A30" s="107"/>
      <c r="B30" s="45" t="s">
        <v>59</v>
      </c>
      <c r="C30" s="47">
        <f>C29/C18</f>
        <v>3169964366479091.5</v>
      </c>
      <c r="G30" s="45" t="s">
        <v>11</v>
      </c>
      <c r="H30" s="94">
        <v>0</v>
      </c>
      <c r="I30" s="94">
        <v>0</v>
      </c>
      <c r="J30" s="98">
        <v>0.47617655854992336</v>
      </c>
      <c r="K30" s="98">
        <v>-7.3391956993873464E-3</v>
      </c>
      <c r="O30" s="12"/>
      <c r="P30" s="11"/>
    </row>
    <row r="31" spans="1:16" ht="15">
      <c r="A31" s="107"/>
      <c r="B31" s="45" t="s">
        <v>51</v>
      </c>
      <c r="C31" s="46">
        <f>C25*1000000/C8</f>
        <v>361.7301726500001</v>
      </c>
      <c r="G31" s="45" t="s">
        <v>13</v>
      </c>
      <c r="H31" s="94">
        <v>0</v>
      </c>
      <c r="I31" s="94">
        <v>0</v>
      </c>
      <c r="J31" s="98">
        <v>2.3296637546081911E-2</v>
      </c>
      <c r="K31" s="98">
        <v>3.6482707746472443E-2</v>
      </c>
      <c r="O31" s="12"/>
      <c r="P31" s="11"/>
    </row>
    <row r="32" spans="1:16" ht="15" customHeight="1">
      <c r="A32" s="107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8">
        <v>1.3847468553649378E-2</v>
      </c>
      <c r="K32" s="98">
        <v>8.097964138869429E-2</v>
      </c>
      <c r="O32" s="12"/>
      <c r="P32" s="11"/>
    </row>
    <row r="33" spans="1:16" ht="15">
      <c r="A33" s="107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8">
        <v>-1.1083884355684859E-2</v>
      </c>
      <c r="K33" s="98">
        <v>0</v>
      </c>
      <c r="O33" s="12"/>
      <c r="P33" s="11"/>
    </row>
    <row r="34" spans="1:16" ht="15">
      <c r="A34" s="107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8">
        <v>-4.1550636979081901E-2</v>
      </c>
      <c r="K34" s="98">
        <v>-6.3133964165990619</v>
      </c>
      <c r="O34" s="12"/>
      <c r="P34" s="11"/>
    </row>
    <row r="35" spans="1:16" ht="15">
      <c r="P35" s="12"/>
    </row>
    <row r="36" spans="1:16" ht="15.75" thickBot="1"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111">
        <v>0.52359999999999995</v>
      </c>
      <c r="E38" s="74">
        <f>D38*C38</f>
        <v>5.7876827624000002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200</v>
      </c>
      <c r="B41" s="58">
        <f>A41*1000000*1.602176565E-19</f>
        <v>3.20435313E-11</v>
      </c>
    </row>
    <row r="42" spans="1:16" ht="15" thickBot="1"/>
    <row r="43" spans="1:16" ht="60.75" thickBot="1">
      <c r="A43" s="103"/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102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1.2574000000000001</v>
      </c>
      <c r="H44" s="81">
        <f t="shared" si="9"/>
        <v>0.49964999999999998</v>
      </c>
      <c r="I44" s="82">
        <f>H44+G44</f>
        <v>1.75705</v>
      </c>
      <c r="J44" s="81">
        <v>3.7700999999999998</v>
      </c>
      <c r="K44" s="72">
        <f t="shared" ref="K44:K51" si="10">G44*1E-24*F10</f>
        <v>9.7399237912376141E-6</v>
      </c>
      <c r="L44" s="72">
        <f t="shared" ref="L44:L51" si="11">I44*1E-24*F10</f>
        <v>1.3610253775563901E-5</v>
      </c>
      <c r="M44" s="72">
        <f t="shared" ref="M44:M51" si="12">J44*1E-24*F10</f>
        <v>2.9203504601037798E-5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1.7581</v>
      </c>
      <c r="H45" s="81">
        <f t="shared" si="9"/>
        <v>0.46</v>
      </c>
      <c r="I45" s="84">
        <f t="shared" ref="I45:I51" si="13">H45+G45</f>
        <v>2.2181000000000002</v>
      </c>
      <c r="J45" s="83">
        <v>5.1894</v>
      </c>
      <c r="K45" s="72">
        <f t="shared" si="10"/>
        <v>2.4653209432317527E-3</v>
      </c>
      <c r="L45" s="72">
        <f t="shared" si="11"/>
        <v>3.110362541483619E-3</v>
      </c>
      <c r="M45" s="72">
        <f t="shared" si="12"/>
        <v>7.2769105868874676E-3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0.41233999999999998</v>
      </c>
      <c r="H46" s="81">
        <f t="shared" si="9"/>
        <v>0.45650000000000002</v>
      </c>
      <c r="I46" s="84">
        <f t="shared" si="13"/>
        <v>0.86884000000000006</v>
      </c>
      <c r="J46" s="83">
        <v>1.2642</v>
      </c>
      <c r="K46" s="72">
        <f t="shared" si="10"/>
        <v>1.9204462780978939E-4</v>
      </c>
      <c r="L46" s="72">
        <f t="shared" si="11"/>
        <v>4.0465648354818216E-4</v>
      </c>
      <c r="M46" s="72">
        <f t="shared" si="12"/>
        <v>5.8879278866259821E-4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2.4379</v>
      </c>
      <c r="H47" s="81">
        <f t="shared" si="9"/>
        <v>0.44946999999999998</v>
      </c>
      <c r="I47" s="84">
        <f t="shared" si="13"/>
        <v>2.8873699999999998</v>
      </c>
      <c r="J47" s="83">
        <v>7.2667000000000002</v>
      </c>
      <c r="K47" s="72">
        <f t="shared" si="10"/>
        <v>2.3654912518466031E-4</v>
      </c>
      <c r="L47" s="72">
        <f t="shared" si="11"/>
        <v>2.8016114179598534E-4</v>
      </c>
      <c r="M47" s="72">
        <f t="shared" si="12"/>
        <v>7.0508697156543385E-4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0.29924000000000001</v>
      </c>
      <c r="H48" s="81">
        <f t="shared" si="9"/>
        <v>0.44864999999999999</v>
      </c>
      <c r="I48" s="84">
        <f t="shared" si="13"/>
        <v>0.74788999999999994</v>
      </c>
      <c r="J48" s="83">
        <v>0.93701999999999996</v>
      </c>
      <c r="K48" s="72">
        <f t="shared" si="10"/>
        <v>9.8383799667393192E-6</v>
      </c>
      <c r="L48" s="72">
        <f t="shared" si="11"/>
        <v>2.4589045559833807E-5</v>
      </c>
      <c r="M48" s="72">
        <f t="shared" si="12"/>
        <v>3.0807240998643484E-5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0.30301</v>
      </c>
      <c r="H49" s="81">
        <f t="shared" si="9"/>
        <v>1.6904999999999999</v>
      </c>
      <c r="I49" s="84">
        <f t="shared" si="13"/>
        <v>1.9935099999999999</v>
      </c>
      <c r="J49" s="83">
        <v>1.0602</v>
      </c>
      <c r="K49" s="72">
        <f t="shared" si="10"/>
        <v>6.3437888808707105E-6</v>
      </c>
      <c r="L49" s="72">
        <f t="shared" si="11"/>
        <v>4.1735937995130752E-5</v>
      </c>
      <c r="M49" s="72">
        <f t="shared" si="12"/>
        <v>2.2196247554533271E-5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1.8372999999999999</v>
      </c>
      <c r="H50" s="81">
        <f t="shared" si="9"/>
        <v>0.51763999999999999</v>
      </c>
      <c r="I50" s="84">
        <f t="shared" si="13"/>
        <v>2.35494</v>
      </c>
      <c r="J50" s="83">
        <v>4.5256999999999996</v>
      </c>
      <c r="K50" s="72">
        <f t="shared" si="10"/>
        <v>1.0519528420953102E-4</v>
      </c>
      <c r="L50" s="72">
        <f t="shared" si="11"/>
        <v>1.3483295193838404E-4</v>
      </c>
      <c r="M50" s="72">
        <f t="shared" si="12"/>
        <v>2.5912061054105185E-4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4.9570000000000003E-2</v>
      </c>
      <c r="H51" s="81">
        <f t="shared" si="9"/>
        <v>0.26422000000000001</v>
      </c>
      <c r="I51" s="84">
        <f t="shared" si="13"/>
        <v>0.31379000000000001</v>
      </c>
      <c r="J51" s="83">
        <v>0.13804</v>
      </c>
      <c r="K51" s="72">
        <f t="shared" si="10"/>
        <v>5.3611561080583504E-4</v>
      </c>
      <c r="L51" s="72">
        <f t="shared" si="11"/>
        <v>3.393740518756566E-3</v>
      </c>
      <c r="M51" s="72">
        <f t="shared" si="12"/>
        <v>1.4929473253104189E-3</v>
      </c>
    </row>
    <row r="53" spans="1:13">
      <c r="F53" s="10"/>
      <c r="G53" s="10"/>
    </row>
    <row r="54" spans="1:13">
      <c r="F54" s="10"/>
      <c r="G54" s="10">
        <f>C50/C45</f>
        <v>29199.502281211116</v>
      </c>
    </row>
    <row r="55" spans="1:13">
      <c r="D55" s="10">
        <f>C51/C48</f>
        <v>11914.666666666666</v>
      </c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-1.0338794337522161E-3</v>
      </c>
      <c r="H76" s="94">
        <f>D76/D86-1</f>
        <v>-4.7032923046131936E-3</v>
      </c>
      <c r="I76" s="94">
        <f>E76/E86-1</f>
        <v>-9.8140632874454958E-4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-1.0807121324156732E-3</v>
      </c>
      <c r="H77" s="94">
        <f t="shared" si="14"/>
        <v>-3.8478260869565517E-3</v>
      </c>
      <c r="I77" s="94">
        <f t="shared" si="14"/>
        <v>-1.0405827263266776E-3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5.5779211330464484E-4</v>
      </c>
      <c r="H78" s="94">
        <f t="shared" si="14"/>
        <v>-2.5848849945235841E-3</v>
      </c>
      <c r="I78" s="94">
        <f t="shared" si="14"/>
        <v>6.3281126404035604E-4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-1.9689076664342053E-3</v>
      </c>
      <c r="H79" s="94">
        <f t="shared" si="14"/>
        <v>-3.3150154626560013E-3</v>
      </c>
      <c r="I79" s="94">
        <f t="shared" si="14"/>
        <v>-1.9128352622236333E-3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6.6835984494040268E-4</v>
      </c>
      <c r="H80" s="94">
        <f t="shared" si="14"/>
        <v>-3.4325197815668895E-3</v>
      </c>
      <c r="I80" s="94">
        <f t="shared" si="14"/>
        <v>6.7234424025097717E-4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5.6103758951842053E-4</v>
      </c>
      <c r="H81" s="94">
        <f t="shared" si="14"/>
        <v>-3.0168589174799365E-3</v>
      </c>
      <c r="I81" s="94">
        <f t="shared" si="14"/>
        <v>6.6025278249370878E-4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-2.0682523267838704E-3</v>
      </c>
      <c r="H82" s="94">
        <f t="shared" si="14"/>
        <v>-3.7670968240476332E-3</v>
      </c>
      <c r="I82" s="94">
        <f t="shared" si="14"/>
        <v>-2.0328346996044688E-3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7.2624571313273378E-4</v>
      </c>
      <c r="H83" s="94">
        <f t="shared" si="14"/>
        <v>4.6930588146241181E-3</v>
      </c>
      <c r="I83" s="94">
        <f t="shared" si="14"/>
        <v>7.2442770211544882E-4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1.2574000000000001</v>
      </c>
      <c r="D86" s="10">
        <v>0.49964999999999998</v>
      </c>
      <c r="E86" s="10">
        <v>3.7700999999999998</v>
      </c>
    </row>
    <row r="87" spans="1:9">
      <c r="B87" s="6" t="s">
        <v>9</v>
      </c>
      <c r="C87" s="10">
        <v>1.7581</v>
      </c>
      <c r="D87" s="10">
        <v>0.46</v>
      </c>
      <c r="E87" s="10">
        <v>5.1894</v>
      </c>
    </row>
    <row r="88" spans="1:9">
      <c r="B88" s="6" t="s">
        <v>10</v>
      </c>
      <c r="C88" s="10">
        <v>0.41233999999999998</v>
      </c>
      <c r="D88" s="10">
        <v>0.45650000000000002</v>
      </c>
      <c r="E88" s="10">
        <v>1.2642</v>
      </c>
    </row>
    <row r="89" spans="1:9">
      <c r="B89" s="6" t="s">
        <v>11</v>
      </c>
      <c r="C89" s="10">
        <v>2.4379</v>
      </c>
      <c r="D89" s="10">
        <v>0.44946999999999998</v>
      </c>
      <c r="E89" s="10">
        <v>7.2667000000000002</v>
      </c>
    </row>
    <row r="90" spans="1:9">
      <c r="B90" s="6" t="s">
        <v>13</v>
      </c>
      <c r="C90" s="10">
        <v>0.29924000000000001</v>
      </c>
      <c r="D90" s="10">
        <v>0.44864999999999999</v>
      </c>
      <c r="E90" s="10">
        <v>0.93701999999999996</v>
      </c>
    </row>
    <row r="91" spans="1:9">
      <c r="B91" s="6" t="s">
        <v>14</v>
      </c>
      <c r="C91" s="10">
        <v>0.30301</v>
      </c>
      <c r="D91" s="10">
        <v>1.6904999999999999</v>
      </c>
      <c r="E91" s="10">
        <v>1.0602</v>
      </c>
    </row>
    <row r="92" spans="1:9">
      <c r="B92" s="6" t="s">
        <v>15</v>
      </c>
      <c r="C92" s="10">
        <v>1.8372999999999999</v>
      </c>
      <c r="D92" s="10">
        <v>0.51763999999999999</v>
      </c>
      <c r="E92" s="10">
        <v>4.5256999999999996</v>
      </c>
    </row>
    <row r="93" spans="1:9">
      <c r="B93" s="6" t="s">
        <v>16</v>
      </c>
      <c r="C93" s="10">
        <v>4.9570000000000003E-2</v>
      </c>
      <c r="D93" s="10">
        <v>0.26422000000000001</v>
      </c>
      <c r="E93" s="10">
        <v>0.13804</v>
      </c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J2" sqref="J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3169964366479091.5</v>
      </c>
      <c r="I2" s="39">
        <f>B2</f>
        <v>19.041708027546772</v>
      </c>
      <c r="J2" s="21">
        <f>-(Données!I$44*1E-24*H2+Données!F$44)*I2</f>
        <v>-1.1083050840696931E-7</v>
      </c>
      <c r="K2" s="41">
        <f>B3</f>
        <v>3461.5820803761339</v>
      </c>
      <c r="L2" s="23">
        <f>-(Données!I$45*1E-24*H2+Données!F$45)*K2+(I2*Données!H$44*1E-24*H2)+(Données!H$51*1E-24*H2)*Y2</f>
        <v>-2.0442988336352861E-6</v>
      </c>
      <c r="M2" s="39">
        <f>B4</f>
        <v>1154.5288235649409</v>
      </c>
      <c r="N2" s="21">
        <f>-(Données!I$46*1E-24*H2+Données!F$46)*M2+Données!H$45*1E-24*H2*K2</f>
        <v>1.8639606769898308E-6</v>
      </c>
      <c r="O2" s="41">
        <f>B5</f>
        <v>241.52903340204062</v>
      </c>
      <c r="P2" s="23">
        <f>-(Données!I$47*1E-24*H2+Données!F$47)*O2+(Données!H$46*1E-24*H2)*M2</f>
        <v>-9.1056566854289093E-7</v>
      </c>
      <c r="Q2" s="39">
        <f>B6</f>
        <v>82.180003066254471</v>
      </c>
      <c r="R2" s="43">
        <f>-(Données!I$48*1E-24*H2+Données!F$48)*Q2+Données!H$47*1E-24*H2*O2</f>
        <v>1.4929559828586728E-7</v>
      </c>
      <c r="S2" s="41">
        <f>B7</f>
        <v>52.114148285917473</v>
      </c>
      <c r="T2" s="22">
        <f>-(Données!I$49*1E-24*H2+Données!F$49)*S2+Données!F$47*O2</f>
        <v>3.8614234364027556E-8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-1.0342894084133986E-6</v>
      </c>
      <c r="Y2" s="41">
        <f>B9</f>
        <v>26586.632553782751</v>
      </c>
      <c r="Z2" s="23">
        <f>-(Données!I$51*1E-24*H2+Données!F$51)*Y2+Données!F$48*Q2</f>
        <v>-2.644580162723177E-5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3169964366479091.5</v>
      </c>
      <c r="I3" s="40">
        <f>I2+J2*D$5</f>
        <v>18.750445451453256</v>
      </c>
      <c r="J3" s="21">
        <f>-(Données!I$44*1E-24*H3+Données!F$44)*I3</f>
        <v>-1.0913524139932122E-7</v>
      </c>
      <c r="K3" s="42">
        <f>K2+L2*D$5</f>
        <v>3456.2096630413403</v>
      </c>
      <c r="L3" s="23">
        <f>-(Données!I$45*1E-24*H3+Données!F$45)*K3+(I3*Données!H$44*1E-24*H3)+(Données!H$51*1E-24*H3)*Y3</f>
        <v>-2.0651908037457938E-6</v>
      </c>
      <c r="M3" s="40">
        <f>M2+N2*D$5</f>
        <v>1159.4273122240702</v>
      </c>
      <c r="N3" s="21">
        <f>-(Données!I$46*1E-24*H3+Données!F$46)*M3+Données!H$45*1E-24*H3*K3</f>
        <v>1.842618918511132E-6</v>
      </c>
      <c r="O3" s="42">
        <f>O2+P2*D$5</f>
        <v>239.13606682510991</v>
      </c>
      <c r="P3" s="23">
        <f>-(Données!I$47*1E-24*H3+Données!F$47)*O3+(Données!H$46*1E-24*H3)*M3</f>
        <v>-8.7790298624356657E-7</v>
      </c>
      <c r="Q3" s="40">
        <f>Q2+R2*D$5</f>
        <v>82.572351898549726</v>
      </c>
      <c r="R3" s="43">
        <f>-(Données!I$48*1E-24*H3+Données!F$48)*Q3+Données!H$47*1E-24*H3*O3</f>
        <v>1.4495589262777534E-7</v>
      </c>
      <c r="S3" s="42">
        <f>S2+T2*D$5</f>
        <v>52.215626493826136</v>
      </c>
      <c r="T3" s="22">
        <f>-(Données!I$49*1E-24*H3+Données!F$49)*S3+Données!F$47*O3</f>
        <v>3.4296155111998678E-8</v>
      </c>
      <c r="U3" s="28">
        <f t="shared" si="2"/>
        <v>5008.3114659343491</v>
      </c>
      <c r="V3" s="19"/>
      <c r="W3" s="40">
        <f t="shared" ref="W3:W18" si="3">W2+X2*D$5</f>
        <v>136.25503709258092</v>
      </c>
      <c r="X3" s="21">
        <f>-(Données!I$50*1E-24*H3+Données!F$50)*W3+Données!F$45*K3</f>
        <v>-1.0140033894550323E-6</v>
      </c>
      <c r="Y3" s="42">
        <f t="shared" ref="Y3:Y18" si="4">Y2+Z2*D$5</f>
        <v>26517.132987106386</v>
      </c>
      <c r="Z3" s="23">
        <f>-(Données!I$51*1E-24*H3+Données!F$51)*Y3+Données!F$48*Q3</f>
        <v>-2.6376670168182101E-5</v>
      </c>
      <c r="AA3" s="15">
        <f t="shared" ref="AA3:AA18" si="5">W3+Y3</f>
        <v>26653.388024198968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3169964366479091.5</v>
      </c>
      <c r="I4" s="40">
        <f t="shared" ref="I4:I18" si="6">I3+J3*D$5</f>
        <v>18.463638037055841</v>
      </c>
      <c r="J4" s="21">
        <f>-(Données!I$44*1E-24*H4+Données!F$44)*I4</f>
        <v>-1.0746590525013917E-7</v>
      </c>
      <c r="K4" s="42">
        <f t="shared" ref="K4:K18" si="7">K3+L3*D$5</f>
        <v>3450.7823416090964</v>
      </c>
      <c r="L4" s="23">
        <f>-(Données!I$45*1E-24*H4+Données!F$45)*K4+(I4*Données!H$44*1E-24*H4)+(Données!H$51*1E-24*H4)*Y4</f>
        <v>-2.0855374530901819E-6</v>
      </c>
      <c r="M4" s="40">
        <f t="shared" ref="M4:M18" si="8">M3+N3*D$5</f>
        <v>1164.2697147419174</v>
      </c>
      <c r="N4" s="21">
        <f>-(Données!I$46*1E-24*H4+Données!F$46)*M4+Données!H$45*1E-24*H4*K4</f>
        <v>1.8213517596604617E-6</v>
      </c>
      <c r="O4" s="42">
        <f t="shared" ref="O4:O18" si="9">O3+P3*D$5</f>
        <v>236.82893777726181</v>
      </c>
      <c r="P4" s="23">
        <f>-(Données!I$47*1E-24*H4+Données!F$47)*O4+(Données!H$46*1E-24*H4)*M4</f>
        <v>-8.4623882920271804E-7</v>
      </c>
      <c r="Q4" s="40">
        <f t="shared" ref="Q4:Q18" si="10">Q3+R3*D$5</f>
        <v>82.953295984375515</v>
      </c>
      <c r="R4" s="43">
        <f>-(Données!I$48*1E-24*H4+Données!F$48)*Q4+Données!H$47*1E-24*H4*O4</f>
        <v>1.4076552748082041E-7</v>
      </c>
      <c r="S4" s="42">
        <f t="shared" ref="S4:S18" si="11">S3+T3*D$5</f>
        <v>52.305756789460467</v>
      </c>
      <c r="T4" s="22">
        <f>-(Données!I$49*1E-24*H4+Données!F$49)*S4+Données!F$47*O4</f>
        <v>3.0182068666513293E-8</v>
      </c>
      <c r="U4" s="28">
        <f t="shared" si="2"/>
        <v>5005.6036849391667</v>
      </c>
      <c r="V4" s="19"/>
      <c r="W4" s="40">
        <f t="shared" si="3"/>
        <v>133.59023618509309</v>
      </c>
      <c r="X4" s="21">
        <f>-(Données!I$50*1E-24*H4+Données!F$50)*W4+Données!F$45*K4</f>
        <v>-9.9411539612211408E-7</v>
      </c>
      <c r="Y4" s="42">
        <f t="shared" si="4"/>
        <v>26447.815097904404</v>
      </c>
      <c r="Z4" s="23">
        <f>-(Données!I$51*1E-24*H4+Données!F$51)*Y4+Données!F$48*Q4</f>
        <v>-2.6307719424952124E-5</v>
      </c>
      <c r="AA4" s="15">
        <f t="shared" si="5"/>
        <v>26581.405334089497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3169964366479091.5</v>
      </c>
      <c r="I5" s="40">
        <f t="shared" si="6"/>
        <v>18.181217638058474</v>
      </c>
      <c r="J5" s="21">
        <f>-(Données!I$44*1E-24*H5+Données!F$44)*I5</f>
        <v>-1.058221033201812E-7</v>
      </c>
      <c r="K5" s="42">
        <f t="shared" si="7"/>
        <v>3445.3015491823753</v>
      </c>
      <c r="L5" s="23">
        <f>-(Données!I$45*1E-24*H5+Données!F$45)*K5+(I5*Données!H$44*1E-24*H5)+(Données!H$51*1E-24*H5)*Y5</f>
        <v>-2.1053493652627507E-6</v>
      </c>
      <c r="M5" s="40">
        <f t="shared" si="8"/>
        <v>1169.056227166305</v>
      </c>
      <c r="N5" s="21">
        <f>-(Données!I$46*1E-24*H5+Données!F$46)*M5+Données!H$45*1E-24*H5*K5</f>
        <v>1.8001607495550039E-6</v>
      </c>
      <c r="O5" s="42">
        <f t="shared" si="9"/>
        <v>234.60502213411706</v>
      </c>
      <c r="P5" s="23">
        <f>-(Données!I$47*1E-24*H5+Données!F$47)*O5+(Données!H$46*1E-24*H5)*M5</f>
        <v>-8.1554486915539528E-7</v>
      </c>
      <c r="Q5" s="40">
        <f t="shared" si="10"/>
        <v>83.323227790595112</v>
      </c>
      <c r="R5" s="43">
        <f>-(Données!I$48*1E-24*H5+Données!F$48)*Q5+Données!H$47*1E-24*H5*O5</f>
        <v>1.3671983350497669E-7</v>
      </c>
      <c r="S5" s="42">
        <f t="shared" si="11"/>
        <v>52.385075265916065</v>
      </c>
      <c r="T5" s="22">
        <f>-(Données!I$49*1E-24*H5+Données!F$49)*S5+Données!F$47*O5</f>
        <v>2.6264533703542658E-8</v>
      </c>
      <c r="U5" s="28">
        <f t="shared" si="2"/>
        <v>5002.8523191773684</v>
      </c>
      <c r="V5" s="19"/>
      <c r="W5" s="40">
        <f t="shared" si="3"/>
        <v>130.97770092408416</v>
      </c>
      <c r="X5" s="21">
        <f>-(Données!I$50*1E-24*H5+Données!F$50)*W5+Données!F$45*K5</f>
        <v>-9.7461761855408461E-7</v>
      </c>
      <c r="Y5" s="42">
        <f t="shared" si="4"/>
        <v>26378.678411255631</v>
      </c>
      <c r="Z5" s="23">
        <f>-(Données!I$51*1E-24*H5+Données!F$51)*Y5+Données!F$48*Q5</f>
        <v>-2.6238948925113256E-5</v>
      </c>
      <c r="AA5" s="15">
        <f t="shared" si="5"/>
        <v>26509.656112179713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3169964366479091.5</v>
      </c>
      <c r="I6" s="40">
        <f t="shared" si="6"/>
        <v>17.903117150533038</v>
      </c>
      <c r="J6" s="21">
        <f>-(Données!I$44*1E-24*H6+Données!F$44)*I6</f>
        <v>-1.0420344503721199E-7</v>
      </c>
      <c r="K6" s="42">
        <f t="shared" si="7"/>
        <v>3439.7686910504649</v>
      </c>
      <c r="L6" s="23">
        <f>-(Données!I$45*1E-24*H6+Données!F$45)*K6+(I6*Données!H$44*1E-24*H6)+(Données!H$51*1E-24*H6)*Y6</f>
        <v>-2.1246369255752886E-6</v>
      </c>
      <c r="M6" s="40">
        <f t="shared" si="8"/>
        <v>1173.7870496161356</v>
      </c>
      <c r="N6" s="21">
        <f>-(Données!I$46*1E-24*H6+Données!F$46)*M6+Données!H$45*1E-24*H6*K6</f>
        <v>1.7790473855283119E-6</v>
      </c>
      <c r="O6" s="42">
        <f t="shared" si="9"/>
        <v>232.46177021797669</v>
      </c>
      <c r="P6" s="23">
        <f>-(Données!I$47*1E-24*H6+Données!F$47)*O6+(Données!H$46*1E-24*H6)*M6</f>
        <v>-7.8579356757268408E-7</v>
      </c>
      <c r="Q6" s="40">
        <f t="shared" si="10"/>
        <v>83.682527513046196</v>
      </c>
      <c r="R6" s="43">
        <f>-(Données!I$48*1E-24*H6+Données!F$48)*Q6+Données!H$47*1E-24*H6*O6</f>
        <v>1.328142765248163E-7</v>
      </c>
      <c r="S6" s="42">
        <f t="shared" si="11"/>
        <v>52.454098460488972</v>
      </c>
      <c r="T6" s="22">
        <f>-(Données!I$49*1E-24*H6+Données!F$49)*S6+Données!F$47*O6</f>
        <v>2.2536347699909914E-8</v>
      </c>
      <c r="U6" s="28">
        <f t="shared" si="2"/>
        <v>5000.057254008645</v>
      </c>
      <c r="V6" s="19"/>
      <c r="W6" s="40">
        <f t="shared" si="3"/>
        <v>128.41640582252401</v>
      </c>
      <c r="X6" s="21">
        <f>-(Données!I$50*1E-24*H6+Données!F$50)*W6+Données!F$45*K6</f>
        <v>-9.5550240013130051E-7</v>
      </c>
      <c r="Y6" s="42">
        <f t="shared" si="4"/>
        <v>26309.722453480434</v>
      </c>
      <c r="Z6" s="23">
        <f>-(Données!I$51*1E-24*H6+Données!F$51)*Y6+Données!F$48*Q6</f>
        <v>-2.6170358197472607E-5</v>
      </c>
      <c r="AA6" s="15">
        <f t="shared" si="5"/>
        <v>26438.138859302959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3169964366479091.5</v>
      </c>
      <c r="I7" s="40">
        <f t="shared" si="6"/>
        <v>17.629270496975245</v>
      </c>
      <c r="J7" s="21">
        <f>-(Données!I$44*1E-24*H7+Données!F$44)*I7</f>
        <v>-1.0260954580320154E-7</v>
      </c>
      <c r="K7" s="42">
        <f t="shared" si="7"/>
        <v>3434.1851452100532</v>
      </c>
      <c r="L7" s="23">
        <f>-(Données!I$45*1E-24*H7+Données!F$45)*K7+(I7*Données!H$44*1E-24*H7)+(Données!H$51*1E-24*H7)*Y7</f>
        <v>-2.1434103247494279E-6</v>
      </c>
      <c r="M7" s="40">
        <f t="shared" si="8"/>
        <v>1178.462386145304</v>
      </c>
      <c r="N7" s="21">
        <f>-(Données!I$46*1E-24*H7+Données!F$46)*M7+Données!H$45*1E-24*H7*K7</f>
        <v>1.7580131142654087E-6</v>
      </c>
      <c r="O7" s="42">
        <f t="shared" si="9"/>
        <v>230.39670472239567</v>
      </c>
      <c r="P7" s="23">
        <f>-(Données!I$47*1E-24*H7+Données!F$47)*O7+(Données!H$46*1E-24*H7)*M7</f>
        <v>-7.5695815367812319E-7</v>
      </c>
      <c r="Q7" s="40">
        <f t="shared" si="10"/>
        <v>84.031563431753412</v>
      </c>
      <c r="R7" s="43">
        <f>-(Données!I$48*1E-24*H7+Données!F$48)*Q7+Données!H$47*1E-24*H7*O7</f>
        <v>1.2904445373027999E-7</v>
      </c>
      <c r="S7" s="42">
        <f t="shared" si="11"/>
        <v>52.513323982244337</v>
      </c>
      <c r="T7" s="22">
        <f>-(Données!I$49*1E-24*H7+Données!F$49)*S7+Données!F$47*O7</f>
        <v>1.8990539751145995E-8</v>
      </c>
      <c r="U7" s="28">
        <f t="shared" si="2"/>
        <v>4997.2183939887254</v>
      </c>
      <c r="V7" s="19"/>
      <c r="W7" s="40">
        <f t="shared" si="3"/>
        <v>125.90534551497896</v>
      </c>
      <c r="X7" s="21">
        <f>-(Données!I$50*1E-24*H7+Données!F$50)*W7+Données!F$45*K7</f>
        <v>-9.3676223446824287E-7</v>
      </c>
      <c r="Y7" s="42">
        <f t="shared" si="4"/>
        <v>26240.946752137475</v>
      </c>
      <c r="Z7" s="23">
        <f>-(Données!I$51*1E-24*H7+Données!F$51)*Y7+Données!F$48*Q7</f>
        <v>-2.6101946772069716E-5</v>
      </c>
      <c r="AA7" s="15">
        <f t="shared" si="5"/>
        <v>26366.852097652456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3169964366479091.5</v>
      </c>
      <c r="I8" s="40">
        <f t="shared" si="6"/>
        <v>17.35961261060443</v>
      </c>
      <c r="J8" s="21">
        <f>-(Données!I$44*1E-24*H8+Données!F$44)*I8</f>
        <v>-1.010400269029437E-7</v>
      </c>
      <c r="K8" s="42">
        <f t="shared" si="7"/>
        <v>3428.5522628766116</v>
      </c>
      <c r="L8" s="23">
        <f>-(Données!I$45*1E-24*H8+Données!F$45)*K8+(I8*Données!H$44*1E-24*H8)+(Données!H$51*1E-24*H8)*Y8</f>
        <v>-2.1616795625403767E-6</v>
      </c>
      <c r="M8" s="40">
        <f t="shared" si="8"/>
        <v>1183.0824446095935</v>
      </c>
      <c r="N8" s="21">
        <f>-(Données!I$46*1E-24*H8+Données!F$46)*M8+Données!H$45*1E-24*H8*K8</f>
        <v>1.7370593329155216E-6</v>
      </c>
      <c r="O8" s="42">
        <f t="shared" si="9"/>
        <v>228.40741869452955</v>
      </c>
      <c r="P8" s="23">
        <f>-(Données!I$47*1E-24*H8+Données!F$47)*O8+(Données!H$46*1E-24*H8)*M8</f>
        <v>-7.2901260307723205E-7</v>
      </c>
      <c r="Q8" s="40">
        <f t="shared" si="10"/>
        <v>84.370692256156588</v>
      </c>
      <c r="R8" s="43">
        <f>-(Données!I$48*1E-24*H8+Données!F$48)*Q8+Données!H$47*1E-24*H8*O8</f>
        <v>1.2540608998343491E-7</v>
      </c>
      <c r="S8" s="42">
        <f t="shared" si="11"/>
        <v>52.563231120710348</v>
      </c>
      <c r="T8" s="22">
        <f>-(Données!I$49*1E-24*H8+Données!F$49)*S8+Données!F$47*O8</f>
        <v>1.5620363598225036E-8</v>
      </c>
      <c r="U8" s="28">
        <f t="shared" si="2"/>
        <v>4994.3356621682069</v>
      </c>
      <c r="V8" s="19"/>
      <c r="W8" s="40">
        <f t="shared" si="3"/>
        <v>123.44353436279641</v>
      </c>
      <c r="X8" s="21">
        <f>-(Données!I$50*1E-24*H8+Données!F$50)*W8+Données!F$45*K8</f>
        <v>-9.183897624657275E-7</v>
      </c>
      <c r="Y8" s="42">
        <f t="shared" si="4"/>
        <v>26172.350836020476</v>
      </c>
      <c r="Z8" s="23">
        <f>-(Données!I$51*1E-24*H8+Données!F$51)*Y8+Données!F$48*Q8</f>
        <v>-2.6033714180173316E-5</v>
      </c>
      <c r="AA8" s="15">
        <f t="shared" si="5"/>
        <v>26295.794370383272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3169964366479091.5</v>
      </c>
      <c r="I9" s="40">
        <f t="shared" si="6"/>
        <v>17.094079419903494</v>
      </c>
      <c r="J9" s="21">
        <f>-(Données!I$44*1E-24*H9+Données!F$44)*I9</f>
        <v>-9.9494515414072234E-8</v>
      </c>
      <c r="K9" s="42">
        <f t="shared" si="7"/>
        <v>3422.8713689862557</v>
      </c>
      <c r="L9" s="23">
        <f>-(Données!I$45*1E-24*H9+Données!F$45)*K9+(I9*Données!H$44*1E-24*H9)+(Données!H$51*1E-24*H9)*Y9</f>
        <v>-2.1794544512932649E-6</v>
      </c>
      <c r="M9" s="40">
        <f t="shared" si="8"/>
        <v>1187.6474365364954</v>
      </c>
      <c r="N9" s="21">
        <f>-(Données!I$46*1E-24*H9+Données!F$46)*M9+Données!H$45*1E-24*H9*K9</f>
        <v>1.7161873901828617E-6</v>
      </c>
      <c r="O9" s="42">
        <f t="shared" si="9"/>
        <v>226.4915735736426</v>
      </c>
      <c r="P9" s="23">
        <f>-(Données!I$47*1E-24*H9+Données!F$47)*O9+(Données!H$46*1E-24*H9)*M9</f>
        <v>-7.0193161698301998E-7</v>
      </c>
      <c r="Q9" s="40">
        <f t="shared" si="10"/>
        <v>84.700259460633049</v>
      </c>
      <c r="R9" s="43">
        <f>-(Données!I$48*1E-24*H9+Données!F$48)*Q9+Données!H$47*1E-24*H9*O9</f>
        <v>1.2189503422826239E-7</v>
      </c>
      <c r="S9" s="42">
        <f t="shared" si="11"/>
        <v>52.604281436246481</v>
      </c>
      <c r="T9" s="22">
        <f>-(Données!I$49*1E-24*H9+Données!F$49)*S9+Données!F$47*O9</f>
        <v>1.2419290857208056E-8</v>
      </c>
      <c r="U9" s="28">
        <f t="shared" si="2"/>
        <v>4991.4089994131764</v>
      </c>
      <c r="V9" s="19"/>
      <c r="W9" s="40">
        <f t="shared" si="3"/>
        <v>121.03000606703648</v>
      </c>
      <c r="X9" s="21">
        <f>-(Données!I$50*1E-24*H9+Données!F$50)*W9+Données!F$45*K9</f>
        <v>-9.0037776942094999E-7</v>
      </c>
      <c r="Y9" s="42">
        <f t="shared" si="4"/>
        <v>26103.934235154982</v>
      </c>
      <c r="Z9" s="23">
        <f>-(Données!I$51*1E-24*H9+Données!F$51)*Y9+Données!F$48*Q9</f>
        <v>-2.5965659954278102E-5</v>
      </c>
      <c r="AA9" s="15">
        <f t="shared" si="5"/>
        <v>26224.96424122202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3169964366479091.5</v>
      </c>
      <c r="I10" s="40">
        <f t="shared" si="6"/>
        <v>16.832607833395311</v>
      </c>
      <c r="J10" s="21">
        <f>-(Données!I$44*1E-24*H10+Données!F$44)*I10</f>
        <v>-9.7972644118453368E-8</v>
      </c>
      <c r="K10" s="42">
        <f t="shared" si="7"/>
        <v>3417.1437626882571</v>
      </c>
      <c r="L10" s="23">
        <f>-(Données!I$45*1E-24*H10+Données!F$45)*K10+(I10*Données!H$44*1E-24*H10)+(Données!H$51*1E-24*H10)*Y10</f>
        <v>-2.1967446194334791E-6</v>
      </c>
      <c r="M10" s="40">
        <f t="shared" si="8"/>
        <v>1192.1575769978961</v>
      </c>
      <c r="N10" s="21">
        <f>-(Données!I$46*1E-24*H10+Données!F$46)*M10+Données!H$45*1E-24*H10*K10</f>
        <v>1.6953985873958718E-6</v>
      </c>
      <c r="O10" s="42">
        <f t="shared" si="9"/>
        <v>224.64689728421121</v>
      </c>
      <c r="P10" s="23">
        <f>-(Données!I$47*1E-24*H10+Données!F$47)*O10+(Données!H$46*1E-24*H10)*M10</f>
        <v>-6.756906020208179E-7</v>
      </c>
      <c r="Q10" s="40">
        <f t="shared" si="10"/>
        <v>85.020599610584924</v>
      </c>
      <c r="R10" s="43">
        <f>-(Données!I$48*1E-24*H10+Données!F$48)*Q10+Données!H$47*1E-24*H10*O10</f>
        <v>1.1850725600060287E-7</v>
      </c>
      <c r="S10" s="42">
        <f t="shared" si="11"/>
        <v>52.636919332619222</v>
      </c>
      <c r="T10" s="22">
        <f>-(Données!I$49*1E-24*H10+Données!F$49)*S10+Données!F$47*O10</f>
        <v>9.3810044459968714E-9</v>
      </c>
      <c r="U10" s="28">
        <f t="shared" si="2"/>
        <v>4988.4383637469637</v>
      </c>
      <c r="V10" s="19"/>
      <c r="W10" s="40">
        <f t="shared" si="3"/>
        <v>118.66381328899823</v>
      </c>
      <c r="X10" s="21">
        <f>-(Données!I$50*1E-24*H10+Données!F$50)*W10+Données!F$45*K10</f>
        <v>-8.8271918219423731E-7</v>
      </c>
      <c r="Y10" s="42">
        <f t="shared" si="4"/>
        <v>26035.696480795141</v>
      </c>
      <c r="Z10" s="23">
        <f>-(Données!I$51*1E-24*H10+Données!F$51)*Y10+Données!F$48*Q10</f>
        <v>-2.5897783628101505E-5</v>
      </c>
      <c r="AA10" s="15">
        <f t="shared" si="5"/>
        <v>26154.360294084137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3169964366479091.5</v>
      </c>
      <c r="I11" s="40">
        <f t="shared" si="6"/>
        <v>16.575135724652014</v>
      </c>
      <c r="J11" s="21">
        <f>-(Données!I$44*1E-24*H11+Données!F$44)*I11</f>
        <v>-9.6474051414933668E-8</v>
      </c>
      <c r="K11" s="42">
        <f t="shared" si="7"/>
        <v>3411.3707178283858</v>
      </c>
      <c r="L11" s="23">
        <f>-(Données!I$45*1E-24*H11+Données!F$45)*K11+(I11*Données!H$44*1E-24*H11)+(Données!H$51*1E-24*H11)*Y11</f>
        <v>-2.2135595148919754E-6</v>
      </c>
      <c r="M11" s="40">
        <f t="shared" si="8"/>
        <v>1196.6130844855725</v>
      </c>
      <c r="N11" s="21">
        <f>-(Données!I$46*1E-24*H11+Données!F$46)*M11+Données!H$45*1E-24*H11*K11</f>
        <v>1.6746941795553487E-6</v>
      </c>
      <c r="O11" s="42">
        <f t="shared" si="9"/>
        <v>222.8711823821005</v>
      </c>
      <c r="P11" s="23">
        <f>-(Données!I$47*1E-24*H11+Données!F$47)*O11+(Données!H$46*1E-24*H11)*M11</f>
        <v>-6.5026565059624561E-7</v>
      </c>
      <c r="Q11" s="40">
        <f t="shared" si="10"/>
        <v>85.332036679354502</v>
      </c>
      <c r="R11" s="43">
        <f>-(Données!I$48*1E-24*H11+Données!F$48)*Q11+Données!H$47*1E-24*H11*O11</f>
        <v>1.1523884203546392E-7</v>
      </c>
      <c r="S11" s="42">
        <f t="shared" si="11"/>
        <v>52.661572612303303</v>
      </c>
      <c r="T11" s="22">
        <f>-(Données!I$49*1E-24*H11+Données!F$49)*S11+Données!F$47*O11</f>
        <v>6.4993922025616594E-9</v>
      </c>
      <c r="U11" s="28">
        <f t="shared" si="2"/>
        <v>4985.4237297123682</v>
      </c>
      <c r="V11" s="19"/>
      <c r="W11" s="40">
        <f t="shared" si="3"/>
        <v>116.34402727819177</v>
      </c>
      <c r="X11" s="21">
        <f>-(Données!I$50*1E-24*H11+Données!F$50)*W11+Données!F$45*K11</f>
        <v>-8.6540706643139135E-7</v>
      </c>
      <c r="Y11" s="42">
        <f t="shared" si="4"/>
        <v>25967.63710542049</v>
      </c>
      <c r="Z11" s="23">
        <f>-(Données!I$51*1E-24*H11+Données!F$51)*Y11+Données!F$48*Q11</f>
        <v>-2.5830084736580466E-5</v>
      </c>
      <c r="AA11" s="15">
        <f t="shared" si="5"/>
        <v>26083.981132698682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3169964366479091.5</v>
      </c>
      <c r="I12" s="40">
        <f t="shared" si="6"/>
        <v>16.32160191753357</v>
      </c>
      <c r="J12" s="21">
        <f>-(Données!I$44*1E-24*H12+Données!F$44)*I12</f>
        <v>-9.4998381233422554E-8</v>
      </c>
      <c r="K12" s="42">
        <f t="shared" si="7"/>
        <v>3405.5534834232494</v>
      </c>
      <c r="L12" s="23">
        <f>-(Données!I$45*1E-24*H12+Données!F$45)*K12+(I12*Données!H$44*1E-24*H12)+(Données!H$51*1E-24*H12)*Y12</f>
        <v>-2.2299084084670654E-6</v>
      </c>
      <c r="M12" s="40">
        <f t="shared" si="8"/>
        <v>1201.014180789444</v>
      </c>
      <c r="N12" s="21">
        <f>-(Données!I$46*1E-24*H12+Données!F$46)*M12+Données!H$45*1E-24*H12*K12</f>
        <v>1.6540753763618474E-6</v>
      </c>
      <c r="O12" s="42">
        <f t="shared" si="9"/>
        <v>221.16228425233356</v>
      </c>
      <c r="P12" s="23">
        <f>-(Données!I$47*1E-24*H12+Données!F$47)*O12+(Données!H$46*1E-24*H12)*M12</f>
        <v>-6.2563352181057764E-7</v>
      </c>
      <c r="Q12" s="40">
        <f t="shared" si="10"/>
        <v>85.634884356223708</v>
      </c>
      <c r="R12" s="43">
        <f>-(Données!I$48*1E-24*H12+Données!F$48)*Q12+Données!H$47*1E-24*H12*O12</f>
        <v>1.1208599296897669E-7</v>
      </c>
      <c r="S12" s="42">
        <f t="shared" si="11"/>
        <v>52.678653015011633</v>
      </c>
      <c r="T12" s="22">
        <f>-(Données!I$49*1E-24*H12+Données!F$49)*S12+Données!F$47*O12</f>
        <v>3.7685406891656311E-9</v>
      </c>
      <c r="U12" s="28">
        <f t="shared" si="2"/>
        <v>4982.3650877537966</v>
      </c>
      <c r="V12" s="19"/>
      <c r="W12" s="40">
        <f t="shared" si="3"/>
        <v>114.06973750761007</v>
      </c>
      <c r="X12" s="21">
        <f>-(Données!I$50*1E-24*H12+Données!F$50)*W12+Données!F$45*K12</f>
        <v>-8.4843462384053136E-7</v>
      </c>
      <c r="Y12" s="42">
        <f t="shared" si="4"/>
        <v>25899.755642732758</v>
      </c>
      <c r="Z12" s="23">
        <f>-(Données!I$51*1E-24*H12+Données!F$51)*Y12+Données!F$48*Q12</f>
        <v>-2.5762562815868256E-5</v>
      </c>
      <c r="AA12" s="15">
        <f t="shared" si="5"/>
        <v>26013.825380240367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3169964366479091.5</v>
      </c>
      <c r="I13" s="40">
        <f t="shared" si="6"/>
        <v>16.071946171652137</v>
      </c>
      <c r="J13" s="21">
        <f>-(Données!I$44*1E-24*H13+Données!F$44)*I13</f>
        <v>-9.3545282950288896E-8</v>
      </c>
      <c r="K13" s="42">
        <f t="shared" si="7"/>
        <v>3399.6932841257981</v>
      </c>
      <c r="L13" s="23">
        <f>-(Données!I$45*1E-24*H13+Données!F$45)*K13+(I13*Données!H$44*1E-24*H13)+(Données!H$51*1E-24*H13)*Y13</f>
        <v>-2.2458003971235959E-6</v>
      </c>
      <c r="M13" s="40">
        <f t="shared" si="8"/>
        <v>1205.3610908785229</v>
      </c>
      <c r="N13" s="21">
        <f>-(Données!I$46*1E-24*H13+Données!F$46)*M13+Données!H$45*1E-24*H13*K13</f>
        <v>1.6335433432227543E-6</v>
      </c>
      <c r="O13" s="42">
        <f t="shared" si="9"/>
        <v>219.51811935701537</v>
      </c>
      <c r="P13" s="23">
        <f>-(Données!I$47*1E-24*H13+Données!F$47)*O13+(Données!H$46*1E-24*H13)*M13</f>
        <v>-6.0177162290821443E-7</v>
      </c>
      <c r="Q13" s="40">
        <f t="shared" si="10"/>
        <v>85.929446345746172</v>
      </c>
      <c r="R13" s="43">
        <f>-(Données!I$48*1E-24*H13+Données!F$48)*Q13+Données!H$47*1E-24*H13*O13</f>
        <v>1.0904502013236171E-7</v>
      </c>
      <c r="S13" s="42">
        <f t="shared" si="11"/>
        <v>52.688556739942761</v>
      </c>
      <c r="T13" s="22">
        <f>-(Données!I$49*1E-24*H13+Données!F$49)*S13+Données!F$47*O13</f>
        <v>1.1827291772667518E-9</v>
      </c>
      <c r="U13" s="28">
        <f t="shared" si="2"/>
        <v>4979.2624436186779</v>
      </c>
      <c r="V13" s="19"/>
      <c r="W13" s="40">
        <f t="shared" si="3"/>
        <v>111.84005131615716</v>
      </c>
      <c r="X13" s="21">
        <f>-(Données!I$50*1E-24*H13+Données!F$50)*W13+Données!F$45*K13</f>
        <v>-8.3179518952237024E-7</v>
      </c>
      <c r="Y13" s="42">
        <f t="shared" si="4"/>
        <v>25832.051627652658</v>
      </c>
      <c r="Z13" s="23">
        <f>-(Données!I$51*1E-24*H13+Données!F$51)*Y13+Données!F$48*Q13</f>
        <v>-2.5695217403331249E-5</v>
      </c>
      <c r="AA13" s="15">
        <f t="shared" si="5"/>
        <v>25943.891678968816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3169964366479091.5</v>
      </c>
      <c r="I14" s="40">
        <f t="shared" si="6"/>
        <v>15.826109168058778</v>
      </c>
      <c r="J14" s="21">
        <f>-(Données!I$44*1E-24*H14+Données!F$44)*I14</f>
        <v>-9.2114411305051937E-8</v>
      </c>
      <c r="K14" s="42">
        <f t="shared" si="7"/>
        <v>3393.7913206821572</v>
      </c>
      <c r="L14" s="23">
        <f>-(Données!I$45*1E-24*H14+Données!F$45)*K14+(I14*Données!H$44*1E-24*H14)+(Données!H$51*1E-24*H14)*Y14</f>
        <v>-2.2612444072308676E-6</v>
      </c>
      <c r="M14" s="40">
        <f t="shared" si="8"/>
        <v>1209.6540427845123</v>
      </c>
      <c r="N14" s="21">
        <f>-(Données!I$46*1E-24*H14+Données!F$46)*M14+Données!H$45*1E-24*H14*K14</f>
        <v>1.6130992022394195E-6</v>
      </c>
      <c r="O14" s="42">
        <f t="shared" si="9"/>
        <v>217.93666353201257</v>
      </c>
      <c r="P14" s="23">
        <f>-(Données!I$47*1E-24*H14+Données!F$47)*O14+(Données!H$46*1E-24*H14)*M14</f>
        <v>-5.7865799124138516E-7</v>
      </c>
      <c r="Q14" s="40">
        <f t="shared" si="10"/>
        <v>86.216016658654013</v>
      </c>
      <c r="R14" s="43">
        <f>-(Données!I$48*1E-24*H14+Données!F$48)*Q14+Données!H$47*1E-24*H14*O14</f>
        <v>1.0611234243533704E-7</v>
      </c>
      <c r="S14" s="42">
        <f t="shared" si="11"/>
        <v>52.69166495222062</v>
      </c>
      <c r="T14" s="22">
        <f>-(Données!I$49*1E-24*H14+Données!F$49)*S14+Données!F$47*O14</f>
        <v>-1.263576192074251E-9</v>
      </c>
      <c r="U14" s="28">
        <f t="shared" si="2"/>
        <v>4976.115817777616</v>
      </c>
      <c r="V14" s="19"/>
      <c r="W14" s="40">
        <f t="shared" si="3"/>
        <v>109.65409355809237</v>
      </c>
      <c r="X14" s="21">
        <f>-(Données!I$50*1E-24*H14+Données!F$50)*W14+Données!F$45*K14</f>
        <v>-8.1548222935287211E-7</v>
      </c>
      <c r="Y14" s="42">
        <f t="shared" si="4"/>
        <v>25764.524596316704</v>
      </c>
      <c r="Z14" s="23">
        <f>-(Données!I$51*1E-24*H14+Données!F$51)*Y14+Données!F$48*Q14</f>
        <v>-2.5628048037545763E-5</v>
      </c>
      <c r="AA14" s="15">
        <f t="shared" si="5"/>
        <v>25874.178689874796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3169964366479091.5</v>
      </c>
      <c r="I15" s="40">
        <f t="shared" si="6"/>
        <v>15.584032495149101</v>
      </c>
      <c r="J15" s="21">
        <f>-(Données!I$44*1E-24*H15+Données!F$44)*I15</f>
        <v>-9.0705426318346217E-8</v>
      </c>
      <c r="K15" s="42">
        <f t="shared" si="7"/>
        <v>3387.8487703799547</v>
      </c>
      <c r="L15" s="23">
        <f>-(Données!I$45*1E-24*H15+Données!F$45)*K15+(I15*Données!H$44*1E-24*H15)+(Données!H$51*1E-24*H15)*Y15</f>
        <v>-2.2762491977403305E-6</v>
      </c>
      <c r="M15" s="40">
        <f t="shared" si="8"/>
        <v>1213.8932674879975</v>
      </c>
      <c r="N15" s="21">
        <f>-(Données!I$46*1E-24*H15+Données!F$46)*M15+Données!H$45*1E-24*H15*K15</f>
        <v>1.5927440331747285E-6</v>
      </c>
      <c r="O15" s="42">
        <f t="shared" si="9"/>
        <v>216.41595033103022</v>
      </c>
      <c r="P15" s="23">
        <f>-(Données!I$47*1E-24*H15+Données!F$47)*O15+(Données!H$46*1E-24*H15)*M15</f>
        <v>-5.5627127673764189E-7</v>
      </c>
      <c r="Q15" s="40">
        <f t="shared" si="10"/>
        <v>86.494879894574083</v>
      </c>
      <c r="R15" s="43">
        <f>-(Données!I$48*1E-24*H15+Données!F$48)*Q15+Données!H$47*1E-24*H15*O15</f>
        <v>1.0328448333647658E-7</v>
      </c>
      <c r="S15" s="42">
        <f t="shared" si="11"/>
        <v>52.688344273987852</v>
      </c>
      <c r="T15" s="22">
        <f>-(Données!I$49*1E-24*H15+Données!F$49)*S15+Données!F$47*O15</f>
        <v>-3.5757280773040361E-9</v>
      </c>
      <c r="U15" s="28">
        <f t="shared" si="2"/>
        <v>4972.9252448626939</v>
      </c>
      <c r="V15" s="19"/>
      <c r="W15" s="40">
        <f t="shared" si="3"/>
        <v>107.51100625935302</v>
      </c>
      <c r="X15" s="21">
        <f>-(Données!I$50*1E-24*H15+Données!F$50)*W15+Données!F$45*K15</f>
        <v>-7.9948933741726653E-7</v>
      </c>
      <c r="Y15" s="42">
        <f t="shared" si="4"/>
        <v>25697.174086074032</v>
      </c>
      <c r="Z15" s="23">
        <f>-(Données!I$51*1E-24*H15+Données!F$51)*Y15+Données!F$48*Q15</f>
        <v>-2.5561054258294849E-5</v>
      </c>
      <c r="AA15" s="15">
        <f t="shared" si="5"/>
        <v>25804.685092333384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3169964366479091.5</v>
      </c>
      <c r="I16" s="40">
        <f t="shared" si="6"/>
        <v>15.345658634784487</v>
      </c>
      <c r="J16" s="21">
        <f>-(Données!I$44*1E-24*H16+Données!F$44)*I16</f>
        <v>-8.9317993211141604E-8</v>
      </c>
      <c r="K16" s="42">
        <f t="shared" si="7"/>
        <v>3381.8667874882931</v>
      </c>
      <c r="L16" s="23">
        <f>-(Données!I$45*1E-24*H16+Données!F$45)*K16+(I16*Données!H$44*1E-24*H16)+(Données!H$51*1E-24*H16)*Y16</f>
        <v>-2.2908233633042063E-6</v>
      </c>
      <c r="M16" s="40">
        <f t="shared" si="8"/>
        <v>1218.0789988071806</v>
      </c>
      <c r="N16" s="21">
        <f>-(Données!I$46*1E-24*H16+Données!F$46)*M16+Données!H$45*1E-24*H16*K16</f>
        <v>1.5724788744014839E-6</v>
      </c>
      <c r="O16" s="42">
        <f t="shared" si="9"/>
        <v>214.95406941576368</v>
      </c>
      <c r="P16" s="23">
        <f>-(Données!I$47*1E-24*H16+Données!F$47)*O16+(Données!H$46*1E-24*H16)*M16</f>
        <v>-5.3459072485608853E-7</v>
      </c>
      <c r="Q16" s="40">
        <f t="shared" si="10"/>
        <v>86.766311516782338</v>
      </c>
      <c r="R16" s="43">
        <f>-(Données!I$48*1E-24*H16+Données!F$48)*Q16+Données!H$47*1E-24*H16*O16</f>
        <v>1.0055806789809275E-7</v>
      </c>
      <c r="S16" s="42">
        <f t="shared" si="11"/>
        <v>52.678947260600694</v>
      </c>
      <c r="T16" s="22">
        <f>-(Données!I$49*1E-24*H16+Données!F$49)*S16+Données!F$47*O16</f>
        <v>-5.7589034398842316E-9</v>
      </c>
      <c r="U16" s="28">
        <f t="shared" si="2"/>
        <v>4969.6907731234051</v>
      </c>
      <c r="V16" s="19"/>
      <c r="W16" s="40">
        <f t="shared" si="3"/>
        <v>105.40994828062045</v>
      </c>
      <c r="X16" s="21">
        <f>-(Données!I$50*1E-24*H16+Données!F$50)*W16+Données!F$45*K16</f>
        <v>-7.8381023349440972E-7</v>
      </c>
      <c r="Y16" s="42">
        <f t="shared" si="4"/>
        <v>25629.999635483233</v>
      </c>
      <c r="Z16" s="23">
        <f>-(Données!I$51*1E-24*H16+Données!F$51)*Y16+Données!F$48*Q16</f>
        <v>-2.5494235606565152E-5</v>
      </c>
      <c r="AA16" s="15">
        <f t="shared" si="5"/>
        <v>25735.409583763852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3169964366479091.5</v>
      </c>
      <c r="I17" s="40">
        <f t="shared" si="6"/>
        <v>15.110930948625606</v>
      </c>
      <c r="J17" s="21">
        <f>-(Données!I$44*1E-24*H17+Données!F$44)*I17</f>
        <v>-8.7951782325198735E-8</v>
      </c>
      <c r="K17" s="42">
        <f t="shared" si="7"/>
        <v>3375.8465036895295</v>
      </c>
      <c r="L17" s="23">
        <f>-(Données!I$45*1E-24*H17+Données!F$45)*K17+(I17*Données!H$44*1E-24*H17)+(Données!H$51*1E-24*H17)*Y17</f>
        <v>-2.3049753373361609E-6</v>
      </c>
      <c r="M17" s="40">
        <f t="shared" si="8"/>
        <v>1222.2114732891077</v>
      </c>
      <c r="N17" s="21">
        <f>-(Données!I$46*1E-24*H17+Données!F$46)*M17+Données!H$45*1E-24*H17*K17</f>
        <v>1.5523047238319662E-6</v>
      </c>
      <c r="O17" s="42">
        <f t="shared" si="9"/>
        <v>213.54916499084189</v>
      </c>
      <c r="P17" s="23">
        <f>-(Données!I$47*1E-24*H17+Données!F$47)*O17+(Données!H$46*1E-24*H17)*M17</f>
        <v>-5.1359616001869136E-7</v>
      </c>
      <c r="Q17" s="40">
        <f t="shared" si="10"/>
        <v>87.030578119218532</v>
      </c>
      <c r="R17" s="43">
        <f>-(Données!I$48*1E-24*H17+Données!F$48)*Q17+Données!H$47*1E-24*H17*O17</f>
        <v>9.7929819923287548E-8</v>
      </c>
      <c r="S17" s="42">
        <f t="shared" si="11"/>
        <v>52.663812862360679</v>
      </c>
      <c r="T17" s="22">
        <f>-(Données!I$49*1E-24*H17+Données!F$49)*S17+Données!F$47*O17</f>
        <v>-7.818108886942591E-9</v>
      </c>
      <c r="U17" s="28">
        <f t="shared" si="2"/>
        <v>4966.4124638996836</v>
      </c>
      <c r="V17" s="19"/>
      <c r="W17" s="40">
        <f t="shared" si="3"/>
        <v>103.35009498699715</v>
      </c>
      <c r="X17" s="21">
        <f>-(Données!I$50*1E-24*H17+Données!F$50)*W17+Données!F$45*K17</f>
        <v>-7.6843876059050565E-7</v>
      </c>
      <c r="Y17" s="42">
        <f t="shared" si="4"/>
        <v>25563.000784309181</v>
      </c>
      <c r="Z17" s="23">
        <f>-(Données!I$51*1E-24*H17+Données!F$51)*Y17+Données!F$48*Q17</f>
        <v>-2.5427591624543737E-5</v>
      </c>
      <c r="AA17" s="15">
        <f t="shared" si="5"/>
        <v>25666.350879296177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3169964366479091.5</v>
      </c>
      <c r="I18" s="40">
        <f t="shared" si="6"/>
        <v>14.879793664674985</v>
      </c>
      <c r="J18" s="21">
        <f>-(Données!I$44*1E-24*H18+Données!F$44)*I18</f>
        <v>-8.6606469044741202E-8</v>
      </c>
      <c r="K18" s="42">
        <f t="shared" si="7"/>
        <v>3369.7890285030103</v>
      </c>
      <c r="L18" s="23">
        <f>-(Données!I$45*1E-24*H18+Données!F$45)*K18+(I18*Données!H$44*1E-24*H18)+(Données!H$51*1E-24*H18)*Y18</f>
        <v>-2.3187133950150254E-6</v>
      </c>
      <c r="M18" s="40">
        <f t="shared" si="8"/>
        <v>1226.290930103338</v>
      </c>
      <c r="N18" s="21">
        <f>-(Données!I$46*1E-24*H18+Données!F$46)*M18+Données!H$45*1E-24*H18*K18</f>
        <v>1.5322225398290234E-6</v>
      </c>
      <c r="O18" s="42">
        <f t="shared" si="9"/>
        <v>212.19943428231278</v>
      </c>
      <c r="P18" s="23">
        <f>-(Données!I$47*1E-24*H18+Données!F$47)*O18+(Données!H$46*1E-24*H18)*M18</f>
        <v>-4.9326796950340943E-7</v>
      </c>
      <c r="Q18" s="40">
        <f t="shared" si="10"/>
        <v>87.287937685976928</v>
      </c>
      <c r="R18" s="43">
        <f>-(Données!I$48*1E-24*H18+Données!F$48)*Q18+Données!H$47*1E-24*H18*O18</f>
        <v>9.5396559172880806E-8</v>
      </c>
      <c r="S18" s="42">
        <f t="shared" si="11"/>
        <v>52.643266872205793</v>
      </c>
      <c r="T18" s="22">
        <f>-(Données!I$49*1E-24*H18+Données!F$49)*S18+Données!F$47*O18</f>
        <v>-9.7581858576727761E-9</v>
      </c>
      <c r="U18" s="28">
        <f t="shared" si="2"/>
        <v>4963.0903911115192</v>
      </c>
      <c r="V18" s="19"/>
      <c r="W18" s="40">
        <f t="shared" si="3"/>
        <v>101.3306379241653</v>
      </c>
      <c r="X18" s="21">
        <f>-(Données!I$50*1E-24*H18+Données!F$50)*W18+Données!F$45*K18</f>
        <v>-7.533688825212186E-7</v>
      </c>
      <c r="Y18" s="42">
        <f t="shared" si="4"/>
        <v>25496.177073519881</v>
      </c>
      <c r="Z18" s="23">
        <f>-(Données!I$51*1E-24*H18+Données!F$51)*Y18+Données!F$48*Q18</f>
        <v>-2.5361121855614913E-5</v>
      </c>
      <c r="AA18" s="15">
        <f t="shared" si="5"/>
        <v>25597.507711444046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3169964366479091.5</v>
      </c>
      <c r="I19" s="40">
        <f t="shared" ref="I19:I30" si="14">I18+J18*D$5</f>
        <v>14.652191864025404</v>
      </c>
      <c r="J19" s="21">
        <f>-(Données!I$44*1E-24*H19+Données!F$44)*I19</f>
        <v>-8.5281733719325942E-8</v>
      </c>
      <c r="K19" s="42">
        <f t="shared" ref="K19:K30" si="15">K18+L18*D$5</f>
        <v>3363.695449700911</v>
      </c>
      <c r="L19" s="23">
        <f>-(Données!I$45*1E-24*H19+Données!F$45)*K19+(I19*Données!H$44*1E-24*H19)+(Données!H$51*1E-24*H19)*Y19</f>
        <v>-2.3320456562327353E-6</v>
      </c>
      <c r="M19" s="40">
        <f t="shared" ref="M19:M30" si="16">M18+N18*D$5</f>
        <v>1230.3176109380088</v>
      </c>
      <c r="N19" s="21">
        <f>-(Données!I$46*1E-24*H19+Données!F$46)*M19+Données!H$45*1E-24*H19*K19</f>
        <v>1.5122332420990556E-6</v>
      </c>
      <c r="O19" s="42">
        <f t="shared" ref="O19:O30" si="17">O18+P18*D$5</f>
        <v>210.90312605845781</v>
      </c>
      <c r="P19" s="23">
        <f>-(Données!I$47*1E-24*H19+Données!F$47)*O19+(Données!H$46*1E-24*H19)*M19</f>
        <v>-4.7358708778623024E-7</v>
      </c>
      <c r="Q19" s="40">
        <f t="shared" ref="Q19:Q30" si="18">Q18+R18*D$5</f>
        <v>87.538639843483253</v>
      </c>
      <c r="R19" s="43">
        <f>-(Données!I$48*1E-24*H19+Données!F$48)*Q19+Données!H$47*1E-24*H19*O19</f>
        <v>9.2955198659988966E-8</v>
      </c>
      <c r="S19" s="42">
        <f t="shared" ref="S19:S30" si="19">S18+T18*D$5</f>
        <v>52.617622359771829</v>
      </c>
      <c r="T19" s="22">
        <f>-(Données!I$49*1E-24*H19+Données!F$49)*S19+Données!F$47*O19</f>
        <v>-1.1583815657964047E-8</v>
      </c>
      <c r="U19" s="28">
        <f t="shared" ref="U19:U30" si="20">I19+K19+M19+O19+Q19+S19</f>
        <v>4959.7246407646589</v>
      </c>
      <c r="V19" s="19"/>
      <c r="W19" s="40">
        <f t="shared" ref="W19:W30" si="21">W18+X18*D$5</f>
        <v>99.350784500899536</v>
      </c>
      <c r="X19" s="21">
        <f>-(Données!I$50*1E-24*H19+Données!F$50)*W19+Données!F$45*K19</f>
        <v>-7.3859468154122789E-7</v>
      </c>
      <c r="Y19" s="42">
        <f t="shared" ref="Y19:Y30" si="22">Y18+Z18*D$5</f>
        <v>25429.528045283325</v>
      </c>
      <c r="Z19" s="23">
        <f>-(Données!I$51*1E-24*H19+Données!F$51)*Y19+Données!F$48*Q19</f>
        <v>-2.5294825844357128E-5</v>
      </c>
      <c r="AA19" s="15">
        <f t="shared" ref="AA19:AA30" si="23">W19+Y19</f>
        <v>25528.878829784226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3169964366479091.5</v>
      </c>
      <c r="I20" s="40">
        <f t="shared" si="14"/>
        <v>14.428071467811016</v>
      </c>
      <c r="J20" s="21">
        <f>-(Données!I$44*1E-24*H20+Données!F$44)*I20</f>
        <v>-8.3977261587893294E-8</v>
      </c>
      <c r="K20" s="42">
        <f t="shared" si="15"/>
        <v>3357.5668337163315</v>
      </c>
      <c r="L20" s="23">
        <f>-(Données!I$45*1E-24*H20+Données!F$45)*K20+(I20*Données!H$44*1E-24*H20)+(Données!H$51*1E-24*H20)*Y20</f>
        <v>-2.3449800884873948E-6</v>
      </c>
      <c r="M20" s="40">
        <f t="shared" si="16"/>
        <v>1234.2917598982451</v>
      </c>
      <c r="N20" s="21">
        <f>-(Données!I$46*1E-24*H20+Données!F$46)*M20+Données!H$45*1E-24*H20*K20</f>
        <v>1.4923377125672242E-6</v>
      </c>
      <c r="O20" s="42">
        <f t="shared" si="17"/>
        <v>209.65853919175561</v>
      </c>
      <c r="P20" s="23">
        <f>-(Données!I$47*1E-24*H20+Données!F$47)*O20+(Données!H$46*1E-24*H20)*M20</f>
        <v>-4.5453498131958553E-7</v>
      </c>
      <c r="Q20" s="40">
        <f t="shared" si="18"/>
        <v>87.7829261055617</v>
      </c>
      <c r="R20" s="43">
        <f>-(Données!I$48*1E-24*H20+Données!F$48)*Q20+Données!H$47*1E-24*H20*O20</f>
        <v>9.0602742020089899E-8</v>
      </c>
      <c r="S20" s="42">
        <f t="shared" si="19"/>
        <v>52.587180092222702</v>
      </c>
      <c r="T20" s="22">
        <f>-(Données!I$49*1E-24*H20+Données!F$49)*S20+Données!F$47*O20</f>
        <v>-1.3299524347608889E-8</v>
      </c>
      <c r="U20" s="28">
        <f t="shared" si="20"/>
        <v>4956.3153104719268</v>
      </c>
      <c r="V20" s="19"/>
      <c r="W20" s="40">
        <f t="shared" si="21"/>
        <v>97.409757677809182</v>
      </c>
      <c r="X20" s="21">
        <f>-(Données!I$50*1E-24*H20+Données!F$50)*W20+Données!F$45*K20</f>
        <v>-7.2411035602029286E-7</v>
      </c>
      <c r="Y20" s="42">
        <f t="shared" si="22"/>
        <v>25363.053242964354</v>
      </c>
      <c r="Z20" s="23">
        <f>-(Données!I$51*1E-24*H20+Données!F$51)*Y20+Données!F$48*Q20</f>
        <v>-2.52287031365398E-5</v>
      </c>
      <c r="AA20" s="15">
        <f t="shared" si="23"/>
        <v>25460.463000642161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3169964366479091.5</v>
      </c>
      <c r="I21" s="40">
        <f t="shared" si="14"/>
        <v>14.207379224358032</v>
      </c>
      <c r="J21" s="21">
        <f>-(Données!I$44*1E-24*H21+Données!F$44)*I21</f>
        <v>-8.2692742703978865E-8</v>
      </c>
      <c r="K21" s="42">
        <f t="shared" si="15"/>
        <v>3351.4042260437868</v>
      </c>
      <c r="L21" s="23">
        <f>-(Données!I$45*1E-24*H21+Données!F$45)*K21+(I21*Données!H$44*1E-24*H21)+(Données!H$51*1E-24*H21)*Y21</f>
        <v>-2.3575245097226095E-6</v>
      </c>
      <c r="M21" s="40">
        <f t="shared" si="16"/>
        <v>1238.2136234068719</v>
      </c>
      <c r="N21" s="21">
        <f>-(Données!I$46*1E-24*H21+Données!F$46)*M21+Données!H$45*1E-24*H21*K21</f>
        <v>1.4725367962352371E-6</v>
      </c>
      <c r="O21" s="42">
        <f t="shared" si="17"/>
        <v>208.46402126084774</v>
      </c>
      <c r="P21" s="23">
        <f>-(Données!I$47*1E-24*H21+Données!F$47)*O21+(Données!H$46*1E-24*H21)*M21</f>
        <v>-4.3609363373494405E-7</v>
      </c>
      <c r="Q21" s="40">
        <f t="shared" si="18"/>
        <v>88.021030111590491</v>
      </c>
      <c r="R21" s="43">
        <f>-(Données!I$48*1E-24*H21+Données!F$48)*Q21+Données!H$47*1E-24*H21*O21</f>
        <v>8.8336280954468873E-8</v>
      </c>
      <c r="S21" s="42">
        <f t="shared" si="19"/>
        <v>52.552228942237186</v>
      </c>
      <c r="T21" s="22">
        <f>-(Données!I$49*1E-24*H21+Données!F$49)*S21+Données!F$47*O21</f>
        <v>-1.4909687484318188E-8</v>
      </c>
      <c r="U21" s="28">
        <f t="shared" si="20"/>
        <v>4952.8625089896914</v>
      </c>
      <c r="V21" s="19"/>
      <c r="W21" s="40">
        <f t="shared" si="21"/>
        <v>95.506795662187855</v>
      </c>
      <c r="X21" s="21">
        <f>-(Données!I$50*1E-24*H21+Données!F$50)*W21+Données!F$45*K21</f>
        <v>-7.0991021816491708E-7</v>
      </c>
      <c r="Y21" s="42">
        <f t="shared" si="22"/>
        <v>25296.752211121526</v>
      </c>
      <c r="Z21" s="23">
        <f>-(Données!I$51*1E-24*H21+Données!F$51)*Y21+Données!F$48*Q21</f>
        <v>-2.5162753279120223E-5</v>
      </c>
      <c r="AA21" s="15">
        <f t="shared" si="23"/>
        <v>25392.259006783712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3169964366479091.5</v>
      </c>
      <c r="I22" s="40">
        <f t="shared" si="14"/>
        <v>13.990062696531975</v>
      </c>
      <c r="J22" s="21">
        <f>-(Données!I$44*1E-24*H22+Données!F$44)*I22</f>
        <v>-8.1427871862069292E-8</v>
      </c>
      <c r="K22" s="42">
        <f t="shared" si="15"/>
        <v>3345.2086516322356</v>
      </c>
      <c r="L22" s="23">
        <f>-(Données!I$45*1E-24*H22+Données!F$45)*K22+(I22*Données!H$44*1E-24*H22)+(Données!H$51*1E-24*H22)*Y22</f>
        <v>-2.3696865911139841E-6</v>
      </c>
      <c r="M22" s="40">
        <f t="shared" si="16"/>
        <v>1242.083450107378</v>
      </c>
      <c r="N22" s="21">
        <f>-(Données!I$46*1E-24*H22+Données!F$46)*M22+Données!H$45*1E-24*H22*K22</f>
        <v>1.4528313020220332E-6</v>
      </c>
      <c r="O22" s="42">
        <f t="shared" si="17"/>
        <v>207.31796719139231</v>
      </c>
      <c r="P22" s="23">
        <f>-(Données!I$47*1E-24*H22+Données!F$47)*O22+(Données!H$46*1E-24*H22)*M22</f>
        <v>-4.1824553145775203E-7</v>
      </c>
      <c r="Q22" s="40">
        <f t="shared" si="18"/>
        <v>88.253177857938837</v>
      </c>
      <c r="R22" s="43">
        <f>-(Données!I$48*1E-24*H22+Données!F$48)*Q22+Données!H$47*1E-24*H22*O22</f>
        <v>8.6152992745000564E-8</v>
      </c>
      <c r="S22" s="42">
        <f t="shared" si="19"/>
        <v>52.513046283528396</v>
      </c>
      <c r="T22" s="22">
        <f>-(Données!I$49*1E-24*H22+Données!F$49)*S22+Données!F$47*O22</f>
        <v>-1.6418534728650206E-8</v>
      </c>
      <c r="U22" s="28">
        <f t="shared" si="20"/>
        <v>4949.3663557690052</v>
      </c>
      <c r="V22" s="19"/>
      <c r="W22" s="40">
        <f t="shared" si="21"/>
        <v>93.64115160885045</v>
      </c>
      <c r="X22" s="21">
        <f>-(Données!I$50*1E-24*H22+Données!F$50)*W22+Données!F$45*K22</f>
        <v>-6.9598869178471508E-7</v>
      </c>
      <c r="Y22" s="42">
        <f t="shared" si="22"/>
        <v>25230.624495503998</v>
      </c>
      <c r="Z22" s="23">
        <f>-(Données!I$51*1E-24*H22+Données!F$51)*Y22+Données!F$48*Q22</f>
        <v>-2.5096975820240406E-5</v>
      </c>
      <c r="AA22" s="15">
        <f t="shared" si="23"/>
        <v>25324.26564711285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3169964366479091.5</v>
      </c>
      <c r="I23" s="40">
        <f t="shared" si="14"/>
        <v>13.776070249278456</v>
      </c>
      <c r="J23" s="21">
        <f>-(Données!I$44*1E-24*H23+Données!F$44)*I23</f>
        <v>-8.0182348525084566E-8</v>
      </c>
      <c r="K23" s="42">
        <f t="shared" si="15"/>
        <v>3338.981115270788</v>
      </c>
      <c r="L23" s="23">
        <f>-(Données!I$45*1E-24*H23+Données!F$45)*K23+(I23*Données!H$44*1E-24*H23)+(Données!H$51*1E-24*H23)*Y23</f>
        <v>-2.3814738598038801E-6</v>
      </c>
      <c r="M23" s="40">
        <f t="shared" si="16"/>
        <v>1245.9014907690919</v>
      </c>
      <c r="N23" s="21">
        <f>-(Données!I$46*1E-24*H23+Données!F$46)*M23+Données!H$45*1E-24*H23*K23</f>
        <v>1.4332220035877002E-6</v>
      </c>
      <c r="O23" s="42">
        <f t="shared" si="17"/>
        <v>206.21881793472133</v>
      </c>
      <c r="P23" s="23">
        <f>-(Données!I$47*1E-24*H23+Données!F$47)*O23+(Données!H$46*1E-24*H23)*M23</f>
        <v>-4.0097364972318347E-7</v>
      </c>
      <c r="Q23" s="40">
        <f t="shared" si="18"/>
        <v>88.479587922872696</v>
      </c>
      <c r="R23" s="43">
        <f>-(Données!I$48*1E-24*H23+Données!F$48)*Q23+Données!H$47*1E-24*H23*O23</f>
        <v>8.4050137838278553E-8</v>
      </c>
      <c r="S23" s="42">
        <f t="shared" si="19"/>
        <v>52.469898374261504</v>
      </c>
      <c r="T23" s="22">
        <f>-(Données!I$49*1E-24*H23+Données!F$49)*S23+Données!F$47*O23</f>
        <v>-1.7830154313845478E-8</v>
      </c>
      <c r="U23" s="28">
        <f t="shared" si="20"/>
        <v>4945.8269805210139</v>
      </c>
      <c r="V23" s="19"/>
      <c r="W23" s="40">
        <f t="shared" si="21"/>
        <v>91.812093326840213</v>
      </c>
      <c r="X23" s="21">
        <f>-(Données!I$50*1E-24*H23+Données!F$50)*W23+Données!F$45*K23</f>
        <v>-6.8234031010260705E-7</v>
      </c>
      <c r="Y23" s="42">
        <f t="shared" si="22"/>
        <v>25164.669643048408</v>
      </c>
      <c r="Z23" s="23">
        <f>-(Données!I$51*1E-24*H23+Données!F$51)*Y23+Données!F$48*Q23</f>
        <v>-2.5031370309223997E-5</v>
      </c>
      <c r="AA23" s="15">
        <f t="shared" si="23"/>
        <v>25256.481736375248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3169964366479091.5</v>
      </c>
      <c r="I24" s="40">
        <f t="shared" si="14"/>
        <v>13.565351037354533</v>
      </c>
      <c r="J24" s="21">
        <f>-(Données!I$44*1E-24*H24+Données!F$44)*I24</f>
        <v>-7.8955876752969431E-8</v>
      </c>
      <c r="K24" s="42">
        <f t="shared" si="15"/>
        <v>3332.7226019672235</v>
      </c>
      <c r="L24" s="23">
        <f>-(Données!I$45*1E-24*H24+Données!F$45)*K24+(I24*Données!H$44*1E-24*H24)+(Données!H$51*1E-24*H24)*Y24</f>
        <v>-2.3928937015852095E-6</v>
      </c>
      <c r="M24" s="40">
        <f t="shared" si="16"/>
        <v>1249.6679981945204</v>
      </c>
      <c r="N24" s="21">
        <f>-(Données!I$46*1E-24*H24+Données!F$46)*M24+Données!H$45*1E-24*H24*K24</f>
        <v>1.4137096401409382E-6</v>
      </c>
      <c r="O24" s="42">
        <f t="shared" si="17"/>
        <v>205.16505918324881</v>
      </c>
      <c r="P24" s="23">
        <f>-(Données!I$47*1E-24*H24+Données!F$47)*O24+(Données!H$46*1E-24*H24)*M24</f>
        <v>-3.8426143898153051E-7</v>
      </c>
      <c r="Q24" s="40">
        <f t="shared" si="18"/>
        <v>88.700471685111694</v>
      </c>
      <c r="R24" s="43">
        <f>-(Données!I$48*1E-24*H24+Données!F$48)*Q24+Données!H$47*1E-24*H24*O24</f>
        <v>8.202505749715997E-8</v>
      </c>
      <c r="S24" s="42">
        <f t="shared" si="19"/>
        <v>52.423040728724722</v>
      </c>
      <c r="T24" s="22">
        <f>-(Données!I$49*1E-24*H24+Données!F$49)*S24+Données!F$47*O24</f>
        <v>-1.9148497384444177E-8</v>
      </c>
      <c r="U24" s="28">
        <f t="shared" si="20"/>
        <v>4942.2445227961834</v>
      </c>
      <c r="V24" s="19"/>
      <c r="W24" s="40">
        <f t="shared" si="21"/>
        <v>90.018902991890556</v>
      </c>
      <c r="X24" s="21">
        <f>-(Données!I$50*1E-24*H24+Données!F$50)*W24+Données!F$45*K24</f>
        <v>-6.6895971360797944E-7</v>
      </c>
      <c r="Y24" s="42">
        <f t="shared" si="22"/>
        <v>25098.887201875768</v>
      </c>
      <c r="Z24" s="23">
        <f>-(Données!I$51*1E-24*H24+Données!F$51)*Y24+Données!F$48*Q24</f>
        <v>-2.4965936296573177E-5</v>
      </c>
      <c r="AA24" s="15">
        <f t="shared" si="23"/>
        <v>25188.906104867659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3169964366479091.5</v>
      </c>
      <c r="I25" s="40">
        <f t="shared" si="14"/>
        <v>13.357854993247729</v>
      </c>
      <c r="J25" s="21">
        <f>-(Données!I$44*1E-24*H25+Données!F$44)*I25</f>
        <v>-7.7748165132377226E-8</v>
      </c>
      <c r="K25" s="42">
        <f t="shared" si="15"/>
        <v>3326.4340773194576</v>
      </c>
      <c r="L25" s="23">
        <f>-(Données!I$45*1E-24*H25+Données!F$45)*K25+(I25*Données!H$44*1E-24*H25)+(Données!H$51*1E-24*H25)*Y25</f>
        <v>-2.4039533635354389E-6</v>
      </c>
      <c r="M25" s="40">
        <f t="shared" si="16"/>
        <v>1253.3832271288106</v>
      </c>
      <c r="N25" s="21">
        <f>-(Données!I$46*1E-24*H25+Données!F$46)*M25+Données!H$45*1E-24*H25*K25</f>
        <v>1.3942949172303904E-6</v>
      </c>
      <c r="O25" s="42">
        <f t="shared" si="17"/>
        <v>204.15522012160534</v>
      </c>
      <c r="P25" s="23">
        <f>-(Données!I$47*1E-24*H25+Données!F$47)*O25+(Données!H$46*1E-24*H25)*M25</f>
        <v>-3.6809281168232992E-7</v>
      </c>
      <c r="Q25" s="40">
        <f t="shared" si="18"/>
        <v>88.916033536214229</v>
      </c>
      <c r="R25" s="43">
        <f>-(Données!I$48*1E-24*H25+Données!F$48)*Q25+Données!H$47*1E-24*H25*O25</f>
        <v>8.007517151784502E-8</v>
      </c>
      <c r="S25" s="42">
        <f t="shared" si="19"/>
        <v>52.372718477598404</v>
      </c>
      <c r="T25" s="22">
        <f>-(Données!I$49*1E-24*H25+Données!F$49)*S25+Données!F$47*O25</f>
        <v>-2.0377382207455211E-8</v>
      </c>
      <c r="U25" s="28">
        <f t="shared" si="20"/>
        <v>4938.6191315769338</v>
      </c>
      <c r="V25" s="19"/>
      <c r="W25" s="40">
        <f t="shared" si="21"/>
        <v>88.260876864528782</v>
      </c>
      <c r="X25" s="21">
        <f>-(Données!I$50*1E-24*H25+Données!F$50)*W25+Données!F$45*K25</f>
        <v>-6.5584164795196891E-7</v>
      </c>
      <c r="Y25" s="42">
        <f t="shared" si="22"/>
        <v>25033.276721288374</v>
      </c>
      <c r="Z25" s="23">
        <f>-(Données!I$51*1E-24*H25+Données!F$51)*Y25+Données!F$48*Q25</f>
        <v>-2.4900673333965538E-5</v>
      </c>
      <c r="AA25" s="15">
        <f t="shared" si="23"/>
        <v>25121.537598152903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3169964366479091.5</v>
      </c>
      <c r="I26" s="40">
        <f t="shared" si="14"/>
        <v>13.153532815279842</v>
      </c>
      <c r="J26" s="21">
        <f>-(Données!I$44*1E-24*H26+Données!F$44)*I26</f>
        <v>-7.6558926707429186E-8</v>
      </c>
      <c r="K26" s="42">
        <f t="shared" si="15"/>
        <v>3320.1164878800864</v>
      </c>
      <c r="L26" s="23">
        <f>-(Données!I$45*1E-24*H26+Données!F$45)*K26+(I26*Données!H$44*1E-24*H26)+(Données!H$51*1E-24*H26)*Y26</f>
        <v>-2.4146599566015585E-6</v>
      </c>
      <c r="M26" s="40">
        <f t="shared" si="16"/>
        <v>1257.047434171292</v>
      </c>
      <c r="N26" s="21">
        <f>-(Données!I$46*1E-24*H26+Données!F$46)*M26+Données!H$45*1E-24*H26*K26</f>
        <v>1.3749785075201431E-6</v>
      </c>
      <c r="O26" s="42">
        <f t="shared" si="17"/>
        <v>203.18787221250417</v>
      </c>
      <c r="P26" s="23">
        <f>-(Données!I$47*1E-24*H26+Données!F$47)*O26+(Données!H$46*1E-24*H26)*M26</f>
        <v>-3.524521294266703E-7</v>
      </c>
      <c r="Q26" s="40">
        <f t="shared" si="18"/>
        <v>89.126471086963122</v>
      </c>
      <c r="R26" s="43">
        <f>-(Données!I$48*1E-24*H26+Données!F$48)*Q26+Données!H$47*1E-24*H26*O26</f>
        <v>7.8197976010666384E-8</v>
      </c>
      <c r="S26" s="42">
        <f t="shared" si="19"/>
        <v>52.319166717157209</v>
      </c>
      <c r="T26" s="22">
        <f>-(Données!I$49*1E-24*H26+Données!F$49)*S26+Données!F$47*O26</f>
        <v>-2.152049825973641E-8</v>
      </c>
      <c r="U26" s="28">
        <f t="shared" si="20"/>
        <v>4934.9509648832818</v>
      </c>
      <c r="V26" s="19"/>
      <c r="W26" s="40">
        <f t="shared" si="21"/>
        <v>86.537325013711012</v>
      </c>
      <c r="X26" s="21">
        <f>-(Données!I$50*1E-24*H26+Données!F$50)*W26+Données!F$45*K26</f>
        <v>-6.4298096188404415E-7</v>
      </c>
      <c r="Y26" s="42">
        <f t="shared" si="22"/>
        <v>24967.83775176671</v>
      </c>
      <c r="Z26" s="23">
        <f>-(Données!I$51*1E-24*H26+Données!F$51)*Y26+Données!F$48*Q26</f>
        <v>-2.483558097425104E-5</v>
      </c>
      <c r="AA26" s="15">
        <f t="shared" si="23"/>
        <v>25054.375076780423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3169964366479091.5</v>
      </c>
      <c r="I27" s="40">
        <f t="shared" si="14"/>
        <v>12.952335955892718</v>
      </c>
      <c r="J27" s="21">
        <f>-(Données!I$44*1E-24*H27+Données!F$44)*I27</f>
        <v>-7.5387878911532833E-8</v>
      </c>
      <c r="K27" s="42">
        <f t="shared" si="15"/>
        <v>3313.7707615141376</v>
      </c>
      <c r="L27" s="23">
        <f>-(Données!I$45*1E-24*H27+Données!F$45)*K27+(I27*Données!H$44*1E-24*H27)+(Données!H$51*1E-24*H27)*Y27</f>
        <v>-2.425020458136983E-6</v>
      </c>
      <c r="M27" s="40">
        <f t="shared" si="16"/>
        <v>1260.660877689055</v>
      </c>
      <c r="N27" s="21">
        <f>-(Données!I$46*1E-24*H27+Données!F$46)*M27+Données!H$45*1E-24*H27*K27</f>
        <v>1.3557610515496999E-6</v>
      </c>
      <c r="O27" s="42">
        <f t="shared" si="17"/>
        <v>202.26162801637088</v>
      </c>
      <c r="P27" s="23">
        <f>-(Données!I$47*1E-24*H27+Données!F$47)*O27+(Données!H$46*1E-24*H27)*M27</f>
        <v>-3.3732419047738291E-7</v>
      </c>
      <c r="Q27" s="40">
        <f t="shared" si="18"/>
        <v>89.331975367919156</v>
      </c>
      <c r="R27" s="43">
        <f>-(Données!I$48*1E-24*H27+Données!F$48)*Q27+Données!H$47*1E-24*H27*O27</f>
        <v>7.6391041242811949E-8</v>
      </c>
      <c r="S27" s="42">
        <f t="shared" si="19"/>
        <v>52.26261084773062</v>
      </c>
      <c r="T27" s="22">
        <f>-(Données!I$49*1E-24*H27+Données!F$49)*S27+Données!F$47*O27</f>
        <v>-2.258141019514407E-8</v>
      </c>
      <c r="U27" s="28">
        <f t="shared" si="20"/>
        <v>4931.2401893911056</v>
      </c>
      <c r="V27" s="19"/>
      <c r="W27" s="40">
        <f t="shared" si="21"/>
        <v>84.847571045879747</v>
      </c>
      <c r="X27" s="21">
        <f>-(Données!I$50*1E-24*H27+Données!F$50)*W27+Données!F$45*K27</f>
        <v>-6.3037260522907336E-7</v>
      </c>
      <c r="Y27" s="42">
        <f t="shared" si="22"/>
        <v>24902.56984496638</v>
      </c>
      <c r="Z27" s="23">
        <f>-(Données!I$51*1E-24*H27+Données!F$51)*Y27+Données!F$48*Q27</f>
        <v>-2.4770658771448913E-5</v>
      </c>
      <c r="AA27" s="15">
        <f t="shared" si="23"/>
        <v>24987.41741601226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3169964366479091.5</v>
      </c>
      <c r="I28" s="40">
        <f t="shared" si="14"/>
        <v>12.754216610113209</v>
      </c>
      <c r="J28" s="21">
        <f>-(Données!I$44*1E-24*H28+Données!F$44)*I28</f>
        <v>-7.4234743500243362E-8</v>
      </c>
      <c r="K28" s="42">
        <f t="shared" si="15"/>
        <v>3307.3978077501538</v>
      </c>
      <c r="L28" s="23">
        <f>-(Données!I$45*1E-24*H28+Données!F$45)*K28+(I28*Données!H$44*1E-24*H28)+(Données!H$51*1E-24*H28)*Y28</f>
        <v>-2.4350417143913164E-6</v>
      </c>
      <c r="M28" s="40">
        <f t="shared" si="16"/>
        <v>1264.2238177325276</v>
      </c>
      <c r="N28" s="21">
        <f>-(Données!I$46*1E-24*H28+Données!F$46)*M28+Données!H$45*1E-24*H28*K28</f>
        <v>1.3366431584787296E-6</v>
      </c>
      <c r="O28" s="42">
        <f t="shared" si="17"/>
        <v>201.37514004379631</v>
      </c>
      <c r="P28" s="23">
        <f>-(Données!I$47*1E-24*H28+Données!F$47)*O28+(Données!H$46*1E-24*H28)*M28</f>
        <v>-3.2269421761713845E-7</v>
      </c>
      <c r="Q28" s="40">
        <f t="shared" si="18"/>
        <v>89.532731024305264</v>
      </c>
      <c r="R28" s="43">
        <f>-(Données!I$48*1E-24*H28+Données!F$48)*Q28+Données!H$47*1E-24*H28*O28</f>
        <v>7.4652009541255541E-8</v>
      </c>
      <c r="S28" s="42">
        <f t="shared" si="19"/>
        <v>52.203266901737784</v>
      </c>
      <c r="T28" s="22">
        <f>-(Données!I$49*1E-24*H28+Données!F$49)*S28+Données!F$47*O28</f>
        <v>-2.3563561694906128E-8</v>
      </c>
      <c r="U28" s="28">
        <f t="shared" si="20"/>
        <v>4927.4869800626348</v>
      </c>
      <c r="V28" s="19"/>
      <c r="W28" s="40">
        <f t="shared" si="21"/>
        <v>83.190951839337743</v>
      </c>
      <c r="X28" s="21">
        <f>-(Données!I$50*1E-24*H28+Données!F$50)*W28+Données!F$45*K28</f>
        <v>-6.1801162690408568E-7</v>
      </c>
      <c r="Y28" s="42">
        <f t="shared" si="22"/>
        <v>24837.472553715012</v>
      </c>
      <c r="Z28" s="23">
        <f>-(Données!I$51*1E-24*H28+Données!F$51)*Y28+Données!F$48*Q28</f>
        <v>-2.4705906280744581E-5</v>
      </c>
      <c r="AA28" s="15">
        <f t="shared" si="23"/>
        <v>24920.663505554348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3169964366479091.5</v>
      </c>
      <c r="I29" s="40">
        <f t="shared" si="14"/>
        <v>12.559127704194569</v>
      </c>
      <c r="J29" s="21">
        <f>-(Données!I$44*1E-24*H29+Données!F$44)*I29</f>
        <v>-7.3099246485151915E-8</v>
      </c>
      <c r="K29" s="42">
        <f t="shared" si="15"/>
        <v>3300.9985181247334</v>
      </c>
      <c r="L29" s="23">
        <f>-(Données!I$45*1E-24*H29+Données!F$45)*K29+(I29*Données!H$44*1E-24*H29)+(Données!H$51*1E-24*H29)*Y29</f>
        <v>-2.4447304429537614E-6</v>
      </c>
      <c r="M29" s="40">
        <f t="shared" si="16"/>
        <v>1267.7365159530098</v>
      </c>
      <c r="N29" s="21">
        <f>-(Données!I$46*1E-24*H29+Données!F$46)*M29+Données!H$45*1E-24*H29*K29</f>
        <v>1.3176254068168713E-6</v>
      </c>
      <c r="O29" s="42">
        <f t="shared" si="17"/>
        <v>200.52709963989847</v>
      </c>
      <c r="P29" s="23">
        <f>-(Données!I$47*1E-24*H29+Données!F$47)*O29+(Données!H$46*1E-24*H29)*M29</f>
        <v>-3.0854784634471998E-7</v>
      </c>
      <c r="Q29" s="40">
        <f t="shared" si="18"/>
        <v>89.728916505379686</v>
      </c>
      <c r="R29" s="43">
        <f>-(Données!I$48*1E-24*H29+Données!F$48)*Q29+Données!H$47*1E-24*H29*O29</f>
        <v>7.297859325421718E-8</v>
      </c>
      <c r="S29" s="42">
        <f t="shared" si="19"/>
        <v>52.141341861603571</v>
      </c>
      <c r="T29" s="22">
        <f>-(Données!I$49*1E-24*H29+Données!F$49)*S29+Données!F$47*O29</f>
        <v>-2.4470279204578216E-8</v>
      </c>
      <c r="U29" s="28">
        <f t="shared" si="20"/>
        <v>4923.6915197888202</v>
      </c>
      <c r="V29" s="19"/>
      <c r="W29" s="40">
        <f t="shared" si="21"/>
        <v>81.566817283833799</v>
      </c>
      <c r="X29" s="21">
        <f>-(Données!I$50*1E-24*H29+Données!F$50)*W29+Données!F$45*K29</f>
        <v>-6.0589317297394453E-7</v>
      </c>
      <c r="Y29" s="42">
        <f t="shared" si="22"/>
        <v>24772.545432009214</v>
      </c>
      <c r="Z29" s="23">
        <f>-(Données!I$51*1E-24*H29+Données!F$51)*Y29+Données!F$48*Q29</f>
        <v>-2.4641323058486612E-5</v>
      </c>
      <c r="AA29" s="15">
        <f t="shared" si="23"/>
        <v>24854.112249293048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3169964366479091.5</v>
      </c>
      <c r="I30" s="40">
        <f t="shared" si="14"/>
        <v>12.36702288443159</v>
      </c>
      <c r="J30" s="21">
        <f>-(Données!I$44*1E-24*H30+Données!F$44)*I30</f>
        <v>-7.1981118068785103E-8</v>
      </c>
      <c r="K30" s="42">
        <f t="shared" si="15"/>
        <v>3294.5737665206511</v>
      </c>
      <c r="L30" s="23">
        <f>-(Données!I$45*1E-24*H30+Données!F$45)*K30+(I30*Données!H$44*1E-24*H30)+(Données!H$51*1E-24*H30)*Y30</f>
        <v>-2.4540932351511539E-6</v>
      </c>
      <c r="M30" s="40">
        <f t="shared" si="16"/>
        <v>1271.1992355221246</v>
      </c>
      <c r="N30" s="21">
        <f>-(Données!I$46*1E-24*H30+Données!F$46)*M30+Données!H$45*1E-24*H30*K30</f>
        <v>1.2987083451388923E-6</v>
      </c>
      <c r="O30" s="42">
        <f t="shared" si="17"/>
        <v>199.71623589970454</v>
      </c>
      <c r="P30" s="23">
        <f>-(Données!I$47*1E-24*H30+Données!F$47)*O30+(Données!H$46*1E-24*H30)*M30</f>
        <v>-2.9487111340004821E-7</v>
      </c>
      <c r="Q30" s="40">
        <f t="shared" si="18"/>
        <v>89.92070424845177</v>
      </c>
      <c r="R30" s="43">
        <f>-(Données!I$48*1E-24*H30+Données!F$48)*Q30+Données!H$47*1E-24*H30*O30</f>
        <v>7.1368572769522674E-8</v>
      </c>
      <c r="S30" s="42">
        <f t="shared" si="19"/>
        <v>52.077033967853943</v>
      </c>
      <c r="T30" s="22">
        <f>-(Données!I$49*1E-24*H30+Données!F$49)*S30+Données!F$47*O30</f>
        <v>-2.5304775560844607E-8</v>
      </c>
      <c r="U30" s="28">
        <f t="shared" si="20"/>
        <v>4919.8539990432173</v>
      </c>
      <c r="V30" s="19"/>
      <c r="W30" s="40">
        <f t="shared" si="21"/>
        <v>79.974530025258275</v>
      </c>
      <c r="X30" s="21">
        <f>-(Données!I$50*1E-24*H30+Données!F$50)*W30+Données!F$45*K30</f>
        <v>-5.940124847451727E-7</v>
      </c>
      <c r="Y30" s="42">
        <f t="shared" si="22"/>
        <v>24707.788035011512</v>
      </c>
      <c r="Z30" s="23">
        <f>-(Données!I$51*1E-24*H30+Données!F$51)*Y30+Données!F$48*Q30</f>
        <v>-2.4576908662183684E-5</v>
      </c>
      <c r="AA30" s="15">
        <f t="shared" si="23"/>
        <v>24787.76256503677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3169964366479091.5</v>
      </c>
      <c r="I31" s="40">
        <f t="shared" ref="I31:I94" si="26">I30+J30*D$5</f>
        <v>12.177856506146822</v>
      </c>
      <c r="J31" s="21">
        <f>-(Données!I$44*1E-24*H31+Données!F$44)*I31</f>
        <v>-7.0880092580500319E-8</v>
      </c>
      <c r="K31" s="42">
        <f t="shared" ref="K31:K94" si="27">K30+L30*D$5</f>
        <v>3288.1244094986737</v>
      </c>
      <c r="L31" s="23">
        <f>-(Données!I$45*1E-24*H31+Données!F$45)*K31+(I31*Données!H$44*1E-24*H31)+(Données!H$51*1E-24*H31)*Y31</f>
        <v>-2.4631365584013429E-6</v>
      </c>
      <c r="M31" s="40">
        <f t="shared" ref="M31:M94" si="28">M30+N30*D$5</f>
        <v>1274.6122410531495</v>
      </c>
      <c r="N31" s="21">
        <f>-(Données!I$46*1E-24*H31+Données!F$46)*M31+Données!H$45*1E-24*H31*K31</f>
        <v>1.2798924927854698E-6</v>
      </c>
      <c r="O31" s="42">
        <f t="shared" ref="O31:O94" si="29">O30+P30*D$5</f>
        <v>198.94131461368923</v>
      </c>
      <c r="P31" s="23">
        <f>-(Données!I$47*1E-24*H31+Données!F$47)*O31+(Données!H$46*1E-24*H31)*M31</f>
        <v>-2.8165044560876735E-7</v>
      </c>
      <c r="Q31" s="40">
        <f t="shared" ref="Q31:Q94" si="30">Q30+R30*D$5</f>
        <v>90.10826085769007</v>
      </c>
      <c r="R31" s="43">
        <f>-(Données!I$48*1E-24*H31+Données!F$48)*Q31+Données!H$47*1E-24*H31*O31</f>
        <v>6.9819794588276419E-8</v>
      </c>
      <c r="S31" s="42">
        <f t="shared" ref="S31:S94" si="31">S30+T30*D$5</f>
        <v>52.010533017680046</v>
      </c>
      <c r="T31" s="22">
        <f>-(Données!I$49*1E-24*H31+Données!F$49)*S31+Données!F$47*O31</f>
        <v>-2.607015351133229E-8</v>
      </c>
      <c r="U31" s="28">
        <f t="shared" ref="U31:U94" si="32">I31+K31+M31+O31+Q31+S31</f>
        <v>4915.9746155470293</v>
      </c>
      <c r="V31" s="19"/>
      <c r="W31" s="40">
        <f t="shared" ref="W31:W94" si="33">W30+X30*D$5</f>
        <v>78.413465215347955</v>
      </c>
      <c r="X31" s="21">
        <f>-(Données!I$50*1E-24*H31+Données!F$50)*W31+Données!F$45*K31</f>
        <v>-5.8236489689717672E-7</v>
      </c>
      <c r="Y31" s="42">
        <f t="shared" ref="Y31:Y94" si="34">Y30+Z30*D$5</f>
        <v>24643.199919047292</v>
      </c>
      <c r="Z31" s="23">
        <f>-(Données!I$51*1E-24*H31+Données!F$51)*Y31+Données!F$48*Q31</f>
        <v>-2.4512662650501496E-5</v>
      </c>
      <c r="AA31" s="15">
        <f t="shared" ref="AA31:AA94" si="35">W31+Y31</f>
        <v>24721.61338426264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3169964366479091.5</v>
      </c>
      <c r="I32" s="40">
        <f t="shared" si="26"/>
        <v>11.991583622845267</v>
      </c>
      <c r="J32" s="21">
        <f>-(Données!I$44*1E-24*H32+Données!F$44)*I32</f>
        <v>-6.9795908413361656E-8</v>
      </c>
      <c r="K32" s="42">
        <f t="shared" si="27"/>
        <v>3281.6512866231951</v>
      </c>
      <c r="L32" s="23">
        <f>-(Données!I$45*1E-24*H32+Données!F$45)*K32+(I32*Données!H$44*1E-24*H32)+(Données!H$51*1E-24*H32)*Y32</f>
        <v>-2.4718667585228657E-6</v>
      </c>
      <c r="M32" s="40">
        <f t="shared" si="28"/>
        <v>1277.9757985241897</v>
      </c>
      <c r="N32" s="21">
        <f>-(Données!I$46*1E-24*H32+Données!F$46)*M32+Données!H$45*1E-24*H32*K32</f>
        <v>1.2611783405498816E-6</v>
      </c>
      <c r="O32" s="42">
        <f t="shared" si="29"/>
        <v>198.20113724262939</v>
      </c>
      <c r="P32" s="23">
        <f>-(Données!I$47*1E-24*H32+Données!F$47)*O32+(Données!H$46*1E-24*H32)*M32</f>
        <v>-2.6887264903747917E-7</v>
      </c>
      <c r="Q32" s="40">
        <f t="shared" si="30"/>
        <v>90.291747277868055</v>
      </c>
      <c r="R32" s="43">
        <f>-(Données!I$48*1E-24*H32+Données!F$48)*Q32+Données!H$47*1E-24*H32*O32</f>
        <v>6.8330169452306681E-8</v>
      </c>
      <c r="S32" s="42">
        <f t="shared" si="31"/>
        <v>51.942020654252268</v>
      </c>
      <c r="T32" s="22">
        <f>-(Données!I$49*1E-24*H32+Données!F$49)*S32+Données!F$47*O32</f>
        <v>-2.6769409130520254E-8</v>
      </c>
      <c r="U32" s="28">
        <f t="shared" si="32"/>
        <v>4912.0535739449806</v>
      </c>
      <c r="V32" s="19"/>
      <c r="W32" s="40">
        <f t="shared" si="33"/>
        <v>76.883010266302179</v>
      </c>
      <c r="X32" s="21">
        <f>-(Données!I$50*1E-24*H32+Données!F$50)*W32+Données!F$45*K32</f>
        <v>-5.709458356501422E-7</v>
      </c>
      <c r="Y32" s="42">
        <f t="shared" si="34"/>
        <v>24578.780641601774</v>
      </c>
      <c r="Z32" s="23">
        <f>-(Données!I$51*1E-24*H32+Données!F$51)*Y32+Données!F$48*Q32</f>
        <v>-2.4448584583259787E-5</v>
      </c>
      <c r="AA32" s="15">
        <f t="shared" si="35"/>
        <v>24655.663651868075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3169964366479091.5</v>
      </c>
      <c r="I33" s="40">
        <f t="shared" si="26"/>
        <v>11.808159975534952</v>
      </c>
      <c r="J33" s="21">
        <f>-(Données!I$44*1E-24*H33+Données!F$44)*I33</f>
        <v>-6.8728307961981254E-8</v>
      </c>
      <c r="K33" s="42">
        <f t="shared" si="27"/>
        <v>3275.1552207817972</v>
      </c>
      <c r="L33" s="23">
        <f>-(Données!I$45*1E-24*H33+Données!F$45)*K33+(I33*Données!H$44*1E-24*H33)+(Données!H$51*1E-24*H33)*Y33</f>
        <v>-2.4802900620015953E-6</v>
      </c>
      <c r="M33" s="40">
        <f t="shared" si="28"/>
        <v>1281.2901752031548</v>
      </c>
      <c r="N33" s="21">
        <f>-(Données!I$46*1E-24*H33+Données!F$46)*M33+Données!H$45*1E-24*H33*K33</f>
        <v>1.2425663513508582E-6</v>
      </c>
      <c r="O33" s="42">
        <f t="shared" si="29"/>
        <v>197.49453992095889</v>
      </c>
      <c r="P33" s="23">
        <f>-(Données!I$47*1E-24*H33+Données!F$47)*O33+(Données!H$46*1E-24*H33)*M33</f>
        <v>-2.5652489845095198E-7</v>
      </c>
      <c r="Q33" s="40">
        <f t="shared" si="30"/>
        <v>90.471318963188722</v>
      </c>
      <c r="R33" s="43">
        <f>-(Données!I$48*1E-24*H33+Données!F$48)*Q33+Données!H$47*1E-24*H33*O33</f>
        <v>6.6897670523884811E-8</v>
      </c>
      <c r="S33" s="42">
        <f t="shared" si="31"/>
        <v>51.871670647057257</v>
      </c>
      <c r="T33" s="22">
        <f>-(Données!I$49*1E-24*H33+Données!F$49)*S33+Données!F$47*O33</f>
        <v>-2.7405435134733894E-8</v>
      </c>
      <c r="U33" s="28">
        <f t="shared" si="32"/>
        <v>4908.091085491692</v>
      </c>
      <c r="V33" s="19"/>
      <c r="W33" s="40">
        <f t="shared" si="33"/>
        <v>75.382564610213606</v>
      </c>
      <c r="X33" s="21">
        <f>-(Données!I$50*1E-24*H33+Données!F$50)*W33+Données!F$45*K33</f>
        <v>-5.5975081696887325E-7</v>
      </c>
      <c r="Y33" s="42">
        <f t="shared" si="34"/>
        <v>24514.529761316968</v>
      </c>
      <c r="Z33" s="23">
        <f>-(Données!I$51*1E-24*H33+Données!F$51)*Y33+Données!F$48*Q33</f>
        <v>-2.4384674021429279E-5</v>
      </c>
      <c r="AA33" s="15">
        <f t="shared" si="35"/>
        <v>24589.91232592718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3169964366479091.5</v>
      </c>
      <c r="I34" s="40">
        <f t="shared" si="26"/>
        <v>11.627541982210866</v>
      </c>
      <c r="J34" s="21">
        <f>-(Données!I$44*1E-24*H34+Données!F$44)*I34</f>
        <v>-6.7677037561311522E-8</v>
      </c>
      <c r="K34" s="42">
        <f t="shared" si="27"/>
        <v>3268.6370184988568</v>
      </c>
      <c r="L34" s="23">
        <f>-(Données!I$45*1E-24*H34+Données!F$45)*K34+(I34*Données!H$44*1E-24*H34)+(Données!H$51*1E-24*H34)*Y34</f>
        <v>-2.4884125782153161E-6</v>
      </c>
      <c r="M34" s="40">
        <f t="shared" si="28"/>
        <v>1284.555639574505</v>
      </c>
      <c r="N34" s="21">
        <f>-(Données!I$46*1E-24*H34+Données!F$46)*M34+Données!H$45*1E-24*H34*K34</f>
        <v>1.2240569608918855E-6</v>
      </c>
      <c r="O34" s="42">
        <f t="shared" si="29"/>
        <v>196.82039248782979</v>
      </c>
      <c r="P34" s="23">
        <f>-(Données!I$47*1E-24*H34+Données!F$47)*O34+(Données!H$46*1E-24*H34)*M34</f>
        <v>-2.445947270628727E-7</v>
      </c>
      <c r="Q34" s="40">
        <f t="shared" si="30"/>
        <v>90.647126041325492</v>
      </c>
      <c r="R34" s="43">
        <f>-(Données!I$48*1E-24*H34+Données!F$48)*Q34+Données!H$47*1E-24*H34*O34</f>
        <v>6.5520331616262398E-8</v>
      </c>
      <c r="S34" s="42">
        <f t="shared" si="31"/>
        <v>51.799649163523178</v>
      </c>
      <c r="T34" s="22">
        <f>-(Données!I$49*1E-24*H34+Données!F$49)*S34+Données!F$47*O34</f>
        <v>-2.7981024099132579E-8</v>
      </c>
      <c r="U34" s="28">
        <f t="shared" si="32"/>
        <v>4904.0873677482514</v>
      </c>
      <c r="V34" s="19"/>
      <c r="W34" s="40">
        <f t="shared" si="33"/>
        <v>73.911539463219412</v>
      </c>
      <c r="X34" s="21">
        <f>-(Données!I$50*1E-24*H34+Données!F$50)*W34+Données!F$45*K34</f>
        <v>-5.4877544480187869E-7</v>
      </c>
      <c r="Y34" s="42">
        <f t="shared" si="34"/>
        <v>24450.446837988653</v>
      </c>
      <c r="Z34" s="23">
        <f>-(Données!I$51*1E-24*H34+Données!F$51)*Y34+Données!F$48*Q34</f>
        <v>-2.4320930527128649E-5</v>
      </c>
      <c r="AA34" s="15">
        <f t="shared" si="35"/>
        <v>24524.358377451874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3169964366479091.5</v>
      </c>
      <c r="I35" s="40">
        <f t="shared" si="26"/>
        <v>11.44968672749974</v>
      </c>
      <c r="J35" s="21">
        <f>-(Données!I$44*1E-24*H35+Données!F$44)*I35</f>
        <v>-6.6641847426373578E-8</v>
      </c>
      <c r="K35" s="42">
        <f t="shared" si="27"/>
        <v>3262.0974702433068</v>
      </c>
      <c r="L35" s="23">
        <f>-(Données!I$45*1E-24*H35+Données!F$45)*K35+(I35*Données!H$44*1E-24*H35)+(Données!H$51*1E-24*H35)*Y35</f>
        <v>-2.4962403016168529E-6</v>
      </c>
      <c r="M35" s="40">
        <f t="shared" si="28"/>
        <v>1287.7724612677289</v>
      </c>
      <c r="N35" s="21">
        <f>-(Données!I$46*1E-24*H35+Données!F$46)*M35+Données!H$45*1E-24*H35*K35</f>
        <v>1.2056505783071996E-6</v>
      </c>
      <c r="O35" s="42">
        <f t="shared" si="29"/>
        <v>196.17759754510857</v>
      </c>
      <c r="P35" s="23">
        <f>-(Données!I$47*1E-24*H35+Données!F$47)*O35+(Données!H$46*1E-24*H35)*M35</f>
        <v>-2.3307001657195626E-7</v>
      </c>
      <c r="Q35" s="40">
        <f t="shared" si="30"/>
        <v>90.819313472813036</v>
      </c>
      <c r="R35" s="43">
        <f>-(Données!I$48*1E-24*H35+Données!F$48)*Q35+Données!H$47*1E-24*H35*O35</f>
        <v>6.419624547360978E-8</v>
      </c>
      <c r="S35" s="42">
        <f t="shared" si="31"/>
        <v>51.726115032190656</v>
      </c>
      <c r="T35" s="22">
        <f>-(Données!I$49*1E-24*H35+Données!F$49)*S35+Données!F$47*O35</f>
        <v>-2.849887157951496E-8</v>
      </c>
      <c r="U35" s="28">
        <f t="shared" si="32"/>
        <v>4900.0426442886474</v>
      </c>
      <c r="V35" s="19"/>
      <c r="W35" s="40">
        <f t="shared" si="33"/>
        <v>72.469357594280069</v>
      </c>
      <c r="X35" s="21">
        <f>-(Données!I$50*1E-24*H35+Données!F$50)*W35+Données!F$45*K35</f>
        <v>-5.3801540935500704E-7</v>
      </c>
      <c r="Y35" s="42">
        <f t="shared" si="34"/>
        <v>24386.531432563359</v>
      </c>
      <c r="Z35" s="23">
        <f>-(Données!I$51*1E-24*H35+Données!F$51)*Y35+Données!F$48*Q35</f>
        <v>-2.4257353663621546E-5</v>
      </c>
      <c r="AA35" s="15">
        <f t="shared" si="35"/>
        <v>24459.000790157639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3169964366479091.5</v>
      </c>
      <c r="I36" s="40">
        <f t="shared" si="26"/>
        <v>11.274551952463231</v>
      </c>
      <c r="J36" s="21">
        <f>-(Données!I$44*1E-24*H36+Données!F$44)*I36</f>
        <v>-6.562249159290755E-8</v>
      </c>
      <c r="K36" s="42">
        <f t="shared" si="27"/>
        <v>3255.5373507306576</v>
      </c>
      <c r="L36" s="23">
        <f>-(Données!I$45*1E-24*H36+Données!F$45)*K36+(I36*Données!H$44*1E-24*H36)+(Données!H$51*1E-24*H36)*Y36</f>
        <v>-2.5037791138766482E-6</v>
      </c>
      <c r="M36" s="40">
        <f t="shared" si="28"/>
        <v>1290.9409109875203</v>
      </c>
      <c r="N36" s="21">
        <f>-(Données!I$46*1E-24*H36+Données!F$46)*M36+Données!H$45*1E-24*H36*K36</f>
        <v>1.1873475867947321E-6</v>
      </c>
      <c r="O36" s="42">
        <f t="shared" si="29"/>
        <v>195.56508954155746</v>
      </c>
      <c r="P36" s="23">
        <f>-(Données!I$47*1E-24*H36+Données!F$47)*O36+(Données!H$46*1E-24*H36)*M36</f>
        <v>-2.2193898747543898E-7</v>
      </c>
      <c r="Q36" s="40">
        <f t="shared" si="30"/>
        <v>90.988021205917676</v>
      </c>
      <c r="R36" s="43">
        <f>-(Données!I$48*1E-24*H36+Données!F$48)*Q36+Données!H$47*1E-24*H36*O36</f>
        <v>6.2923562098980737E-8</v>
      </c>
      <c r="S36" s="42">
        <f t="shared" si="31"/>
        <v>51.651219997679689</v>
      </c>
      <c r="T36" s="22">
        <f>-(Données!I$49*1E-24*H36+Données!F$49)*S36+Données!F$47*O36</f>
        <v>-2.896157914168508E-8</v>
      </c>
      <c r="U36" s="28">
        <f t="shared" si="32"/>
        <v>4895.9571444157964</v>
      </c>
      <c r="V36" s="19"/>
      <c r="W36" s="40">
        <f t="shared" si="33"/>
        <v>71.055453098495107</v>
      </c>
      <c r="X36" s="21">
        <f>-(Données!I$50*1E-24*H36+Données!F$50)*W36+Données!F$45*K36</f>
        <v>-5.2746648539895591E-7</v>
      </c>
      <c r="Y36" s="42">
        <f t="shared" si="34"/>
        <v>24322.783107135361</v>
      </c>
      <c r="Z36" s="23">
        <f>-(Données!I$51*1E-24*H36+Données!F$51)*Y36+Données!F$48*Q36</f>
        <v>-2.419394299531358E-5</v>
      </c>
      <c r="AA36" s="15">
        <f t="shared" si="35"/>
        <v>24393.838560233857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3169964366479091.5</v>
      </c>
      <c r="I37" s="40">
        <f t="shared" si="26"/>
        <v>11.10209604455707</v>
      </c>
      <c r="J37" s="21">
        <f>-(Données!I$44*1E-24*H37+Données!F$44)*I37</f>
        <v>-6.4618727858930816E-8</v>
      </c>
      <c r="K37" s="42">
        <f t="shared" si="27"/>
        <v>3248.95741921939</v>
      </c>
      <c r="L37" s="23">
        <f>-(Données!I$45*1E-24*H37+Données!F$45)*K37+(I37*Données!H$44*1E-24*H37)+(Données!H$51*1E-24*H37)*Y37</f>
        <v>-2.5110347859854733E-6</v>
      </c>
      <c r="M37" s="40">
        <f t="shared" si="28"/>
        <v>1294.0612604456169</v>
      </c>
      <c r="N37" s="21">
        <f>-(Données!I$46*1E-24*H37+Données!F$46)*M37+Données!H$45*1E-24*H37*K37</f>
        <v>1.1691483442362591E-6</v>
      </c>
      <c r="O37" s="42">
        <f t="shared" si="29"/>
        <v>194.98183388247199</v>
      </c>
      <c r="P37" s="23">
        <f>-(Données!I$47*1E-24*H37+Données!F$47)*O37+(Données!H$46*1E-24*H37)*M37</f>
        <v>-2.1119018965222498E-7</v>
      </c>
      <c r="Q37" s="40">
        <f t="shared" si="30"/>
        <v>91.153384327113798</v>
      </c>
      <c r="R37" s="43">
        <f>-(Données!I$48*1E-24*H37+Données!F$48)*Q37+Données!H$47*1E-24*H37*O37</f>
        <v>6.1700487128964548E-8</v>
      </c>
      <c r="S37" s="42">
        <f t="shared" si="31"/>
        <v>51.575108967695343</v>
      </c>
      <c r="T37" s="22">
        <f>-(Données!I$49*1E-24*H37+Données!F$49)*S37+Données!F$47*O37</f>
        <v>-2.9371657301046342E-8</v>
      </c>
      <c r="U37" s="28">
        <f t="shared" si="32"/>
        <v>4891.8311028868438</v>
      </c>
      <c r="V37" s="19"/>
      <c r="W37" s="40">
        <f t="shared" si="33"/>
        <v>69.669271174866651</v>
      </c>
      <c r="X37" s="21">
        <f>-(Données!I$50*1E-24*H37+Données!F$50)*W37+Données!F$45*K37</f>
        <v>-5.1712453060998986E-7</v>
      </c>
      <c r="Y37" s="42">
        <f t="shared" si="34"/>
        <v>24259.201424943676</v>
      </c>
      <c r="Z37" s="23">
        <f>-(Données!I$51*1E-24*H37+Données!F$51)*Y37+Données!F$48*Q37</f>
        <v>-2.4130698087749317E-5</v>
      </c>
      <c r="AA37" s="15">
        <f t="shared" si="35"/>
        <v>24328.870696118542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3169964366479091.5</v>
      </c>
      <c r="I38" s="40">
        <f t="shared" si="26"/>
        <v>10.9322780277438</v>
      </c>
      <c r="J38" s="21">
        <f>-(Données!I$44*1E-24*H38+Données!F$44)*I38</f>
        <v>-6.3630317727189981E-8</v>
      </c>
      <c r="K38" s="42">
        <f t="shared" si="27"/>
        <v>3242.3584198018202</v>
      </c>
      <c r="L38" s="23">
        <f>-(Données!I$45*1E-24*H38+Données!F$45)*K38+(I38*Données!H$44*1E-24*H38)+(Données!H$51*1E-24*H38)*Y38</f>
        <v>-2.5180129803179977E-6</v>
      </c>
      <c r="M38" s="40">
        <f t="shared" si="28"/>
        <v>1297.1337822942698</v>
      </c>
      <c r="N38" s="21">
        <f>-(Données!I$46*1E-24*H38+Données!F$46)*M38+Données!H$45*1E-24*H38*K38</f>
        <v>1.1510531838050027E-6</v>
      </c>
      <c r="O38" s="42">
        <f t="shared" si="29"/>
        <v>194.42682606406595</v>
      </c>
      <c r="P38" s="23">
        <f>-(Données!I$47*1E-24*H38+Données!F$47)*O38+(Données!H$46*1E-24*H38)*M38</f>
        <v>-2.0081249320815131E-7</v>
      </c>
      <c r="Q38" s="40">
        <f t="shared" si="30"/>
        <v>91.315533207288723</v>
      </c>
      <c r="R38" s="43">
        <f>-(Données!I$48*1E-24*H38+Données!F$48)*Q38+Données!H$47*1E-24*H38*O38</f>
        <v>6.0525280253725627E-8</v>
      </c>
      <c r="S38" s="42">
        <f t="shared" si="31"/>
        <v>51.497920252308191</v>
      </c>
      <c r="T38" s="22">
        <f>-(Données!I$49*1E-24*H38+Données!F$49)*S38+Données!F$47*O38</f>
        <v>-2.9731528375012905E-8</v>
      </c>
      <c r="U38" s="28">
        <f t="shared" si="32"/>
        <v>4887.6647596474959</v>
      </c>
      <c r="V38" s="19"/>
      <c r="W38" s="40">
        <f t="shared" si="33"/>
        <v>68.310267908423597</v>
      </c>
      <c r="X38" s="21">
        <f>-(Données!I$50*1E-24*H38+Données!F$50)*W38+Données!F$45*K38</f>
        <v>-5.0698548394321612E-7</v>
      </c>
      <c r="Y38" s="42">
        <f t="shared" si="34"/>
        <v>24195.785950369071</v>
      </c>
      <c r="Z38" s="23">
        <f>-(Données!I$51*1E-24*H38+Données!F$51)*Y38+Données!F$48*Q38</f>
        <v>-2.4067618507609301E-5</v>
      </c>
      <c r="AA38" s="15">
        <f t="shared" si="35"/>
        <v>24264.096218277493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3169964366479091.5</v>
      </c>
      <c r="I39" s="40">
        <f t="shared" si="26"/>
        <v>10.765057552756746</v>
      </c>
      <c r="J39" s="21">
        <f>-(Données!I$44*1E-24*H39+Données!F$44)*I39</f>
        <v>-6.2657026348493328E-8</v>
      </c>
      <c r="K39" s="42">
        <f t="shared" si="27"/>
        <v>3235.7410816895444</v>
      </c>
      <c r="L39" s="23">
        <f>-(Données!I$45*1E-24*H39+Données!F$45)*K39+(I39*Données!H$44*1E-24*H39)+(Données!H$51*1E-24*H39)*Y39</f>
        <v>-2.5247192526580545E-6</v>
      </c>
      <c r="M39" s="40">
        <f t="shared" si="28"/>
        <v>1300.1587500613093</v>
      </c>
      <c r="N39" s="21">
        <f>-(Données!I$46*1E-24*H39+Données!F$46)*M39+Données!H$45*1E-24*H39*K39</f>
        <v>1.1330624145609133E-6</v>
      </c>
      <c r="O39" s="42">
        <f t="shared" si="29"/>
        <v>193.89909083191492</v>
      </c>
      <c r="P39" s="23">
        <f>-(Données!I$47*1E-24*H39+Données!F$47)*O39+(Données!H$46*1E-24*H39)*M39</f>
        <v>-1.9079507957606497E-7</v>
      </c>
      <c r="Q39" s="40">
        <f t="shared" si="30"/>
        <v>91.474593643795515</v>
      </c>
      <c r="R39" s="43">
        <f>-(Données!I$48*1E-24*H39+Données!F$48)*Q39+Données!H$47*1E-24*H39*O39</f>
        <v>5.9396253681165343E-8</v>
      </c>
      <c r="S39" s="42">
        <f t="shared" si="31"/>
        <v>51.419785795738655</v>
      </c>
      <c r="T39" s="22">
        <f>-(Données!I$49*1E-24*H39+Données!F$49)*S39+Données!F$47*O39</f>
        <v>-3.0043529250755064E-8</v>
      </c>
      <c r="U39" s="28">
        <f t="shared" si="32"/>
        <v>4883.4583595750601</v>
      </c>
      <c r="V39" s="19"/>
      <c r="W39" s="40">
        <f t="shared" si="33"/>
        <v>66.977910056620829</v>
      </c>
      <c r="X39" s="21">
        <f>-(Données!I$50*1E-24*H39+Données!F$50)*W39+Données!F$45*K39</f>
        <v>-4.9704536403777755E-7</v>
      </c>
      <c r="Y39" s="42">
        <f t="shared" si="34"/>
        <v>24132.536248931072</v>
      </c>
      <c r="Z39" s="23">
        <f>-(Données!I$51*1E-24*H39+Données!F$51)*Y39+Données!F$48*Q39</f>
        <v>-2.4004703822707071E-5</v>
      </c>
      <c r="AA39" s="15">
        <f t="shared" si="35"/>
        <v>24199.514158987691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3169964366479091.5</v>
      </c>
      <c r="I40" s="40">
        <f t="shared" si="26"/>
        <v>10.600394887512905</v>
      </c>
      <c r="J40" s="21">
        <f>-(Données!I$44*1E-24*H40+Données!F$44)*I40</f>
        <v>-6.1698622465909871E-8</v>
      </c>
      <c r="K40" s="42">
        <f t="shared" si="27"/>
        <v>3229.1061194935592</v>
      </c>
      <c r="L40" s="23">
        <f>-(Données!I$45*1E-24*H40+Données!F$45)*K40+(I40*Données!H$44*1E-24*H40)+(Données!H$51*1E-24*H40)*Y40</f>
        <v>-2.5311590541861291E-6</v>
      </c>
      <c r="M40" s="40">
        <f t="shared" si="28"/>
        <v>1303.1364380867753</v>
      </c>
      <c r="N40" s="21">
        <f>-(Données!I$46*1E-24*H40+Données!F$46)*M40+Données!H$45*1E-24*H40*K40</f>
        <v>1.1151763220338862E-6</v>
      </c>
      <c r="O40" s="42">
        <f t="shared" si="29"/>
        <v>193.39768136278903</v>
      </c>
      <c r="P40" s="23">
        <f>-(Données!I$47*1E-24*H40+Données!F$47)*O40+(Données!H$46*1E-24*H40)*M40</f>
        <v>-1.8112743286359947E-7</v>
      </c>
      <c r="Q40" s="40">
        <f t="shared" si="30"/>
        <v>91.630686998469614</v>
      </c>
      <c r="R40" s="43">
        <f>-(Données!I$48*1E-24*H40+Données!F$48)*Q40+Données!H$47*1E-24*H40*O40</f>
        <v>5.8311770643978727E-8</v>
      </c>
      <c r="S40" s="42">
        <f t="shared" si="31"/>
        <v>51.340831400867671</v>
      </c>
      <c r="T40" s="22">
        <f>-(Données!I$49*1E-24*H40+Données!F$49)*S40+Données!F$47*O40</f>
        <v>-3.0309914070723668E-8</v>
      </c>
      <c r="U40" s="28">
        <f t="shared" si="32"/>
        <v>4879.2121522299722</v>
      </c>
      <c r="V40" s="19"/>
      <c r="W40" s="40">
        <f t="shared" si="33"/>
        <v>65.671674839929551</v>
      </c>
      <c r="X40" s="21">
        <f>-(Données!I$50*1E-24*H40+Données!F$50)*W40+Données!F$45*K40</f>
        <v>-4.8730026765333884E-7</v>
      </c>
      <c r="Y40" s="42">
        <f t="shared" si="34"/>
        <v>24069.451887284999</v>
      </c>
      <c r="Z40" s="23">
        <f>-(Données!I$51*1E-24*H40+Données!F$51)*Y40+Données!F$48*Q40</f>
        <v>-2.3941953601986218E-5</v>
      </c>
      <c r="AA40" s="15">
        <f t="shared" si="35"/>
        <v>24135.123562124929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3169964366479091.5</v>
      </c>
      <c r="I41" s="40">
        <f t="shared" si="26"/>
        <v>10.438250907672494</v>
      </c>
      <c r="J41" s="21">
        <f>-(Données!I$44*1E-24*H41+Données!F$44)*I41</f>
        <v>-6.0754878359822056E-8</v>
      </c>
      <c r="K41" s="42">
        <f t="shared" si="27"/>
        <v>3222.4542334991579</v>
      </c>
      <c r="L41" s="23">
        <f>-(Données!I$45*1E-24*H41+Données!F$45)*K41+(I41*Données!H$44*1E-24*H41)+(Données!H$51*1E-24*H41)*Y41</f>
        <v>-2.5373377334300012E-6</v>
      </c>
      <c r="M41" s="40">
        <f t="shared" si="28"/>
        <v>1306.0671214610804</v>
      </c>
      <c r="N41" s="21">
        <f>-(Données!I$46*1E-24*H41+Données!F$46)*M41+Données!H$45*1E-24*H41*K41</f>
        <v>1.0973951687951273E-6</v>
      </c>
      <c r="O41" s="42">
        <f t="shared" si="29"/>
        <v>192.92167846922348</v>
      </c>
      <c r="P41" s="23">
        <f>-(Données!I$47*1E-24*H41+Données!F$47)*O41+(Données!H$46*1E-24*H41)*M41</f>
        <v>-1.717993314417353E-7</v>
      </c>
      <c r="Q41" s="40">
        <f t="shared" si="30"/>
        <v>91.78393033172199</v>
      </c>
      <c r="R41" s="43">
        <f>-(Données!I$48*1E-24*H41+Données!F$48)*Q41+Données!H$47*1E-24*H41*O41</f>
        <v>5.7270243948409335E-8</v>
      </c>
      <c r="S41" s="42">
        <f t="shared" si="31"/>
        <v>51.261176946689808</v>
      </c>
      <c r="T41" s="22">
        <f>-(Données!I$49*1E-24*H41+Données!F$49)*S41+Données!F$47*O41</f>
        <v>-3.0532856838328287E-8</v>
      </c>
      <c r="U41" s="28">
        <f t="shared" si="32"/>
        <v>4874.926391615546</v>
      </c>
      <c r="V41" s="19"/>
      <c r="W41" s="40">
        <f t="shared" si="33"/>
        <v>64.391049736536573</v>
      </c>
      <c r="X41" s="21">
        <f>-(Données!I$50*1E-24*H41+Données!F$50)*W41+Données!F$45*K41</f>
        <v>-4.7774636813725021E-7</v>
      </c>
      <c r="Y41" s="42">
        <f t="shared" si="34"/>
        <v>24006.532433218978</v>
      </c>
      <c r="Z41" s="23">
        <f>-(Données!I$51*1E-24*H41+Données!F$51)*Y41+Données!F$48*Q41</f>
        <v>-2.3879367415517372E-5</v>
      </c>
      <c r="AA41" s="15">
        <f t="shared" si="35"/>
        <v>24070.923482955513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3169964366479091.5</v>
      </c>
      <c r="I42" s="40">
        <f t="shared" si="26"/>
        <v>10.278587087342881</v>
      </c>
      <c r="J42" s="21">
        <f>-(Données!I$44*1E-24*H42+Données!F$44)*I42</f>
        <v>-5.9825569793818917E-8</v>
      </c>
      <c r="K42" s="42">
        <f t="shared" si="27"/>
        <v>3215.7861099357037</v>
      </c>
      <c r="L42" s="23">
        <f>-(Données!I$45*1E-24*H42+Données!F$45)*K42+(I42*Données!H$44*1E-24*H42)+(Données!H$51*1E-24*H42)*Y42</f>
        <v>-2.5432605381789718E-6</v>
      </c>
      <c r="M42" s="40">
        <f t="shared" si="28"/>
        <v>1308.9510759646739</v>
      </c>
      <c r="N42" s="21">
        <f>-(Données!I$46*1E-24*H42+Données!F$46)*M42+Données!H$45*1E-24*H42*K42</f>
        <v>1.0797191950169083E-6</v>
      </c>
      <c r="O42" s="42">
        <f t="shared" si="29"/>
        <v>192.4701898261946</v>
      </c>
      <c r="P42" s="23">
        <f>-(Données!I$47*1E-24*H42+Données!F$47)*O42+(Données!H$46*1E-24*H42)*M42</f>
        <v>-1.6280083976744015E-7</v>
      </c>
      <c r="Q42" s="40">
        <f t="shared" si="30"/>
        <v>91.93443653281841</v>
      </c>
      <c r="R42" s="43">
        <f>-(Données!I$48*1E-24*H42+Données!F$48)*Q42+Données!H$47*1E-24*H42*O42</f>
        <v>5.6270134563542796E-8</v>
      </c>
      <c r="S42" s="42">
        <f t="shared" si="31"/>
        <v>51.180936598918684</v>
      </c>
      <c r="T42" s="22">
        <f>-(Données!I$49*1E-24*H42+Données!F$49)*S42+Données!F$47*O42</f>
        <v>-3.0714453946077723E-8</v>
      </c>
      <c r="U42" s="28">
        <f t="shared" si="32"/>
        <v>4870.601335945652</v>
      </c>
      <c r="V42" s="19"/>
      <c r="W42" s="40">
        <f t="shared" si="33"/>
        <v>63.135532281071882</v>
      </c>
      <c r="X42" s="21">
        <f>-(Données!I$50*1E-24*H42+Données!F$50)*W42+Données!F$45*K42</f>
        <v>-4.6837991392178743E-7</v>
      </c>
      <c r="Y42" s="42">
        <f t="shared" si="34"/>
        <v>23943.777455650998</v>
      </c>
      <c r="Z42" s="23">
        <f>-(Données!I$51*1E-24*H42+Données!F$51)*Y42+Données!F$48*Q42</f>
        <v>-2.3816944834495297E-5</v>
      </c>
      <c r="AA42" s="15">
        <f t="shared" si="35"/>
        <v>24006.912987932068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3169964366479091.5</v>
      </c>
      <c r="I43" s="40">
        <f t="shared" si="26"/>
        <v>10.121365489924726</v>
      </c>
      <c r="J43" s="21">
        <f>-(Données!I$44*1E-24*H43+Données!F$44)*I43</f>
        <v>-5.8910475961416798E-8</v>
      </c>
      <c r="K43" s="42">
        <f t="shared" si="27"/>
        <v>3209.1024212413695</v>
      </c>
      <c r="L43" s="23">
        <f>-(Données!I$45*1E-24*H43+Données!F$45)*K43+(I43*Données!H$44*1E-24*H43)+(Données!H$51*1E-24*H43)*Y43</f>
        <v>-2.5489326173626058E-6</v>
      </c>
      <c r="M43" s="40">
        <f t="shared" si="28"/>
        <v>1311.7885780091783</v>
      </c>
      <c r="N43" s="21">
        <f>-(Données!I$46*1E-24*H43+Données!F$46)*M43+Données!H$45*1E-24*H43*K43</f>
        <v>1.0621486190209279E-6</v>
      </c>
      <c r="O43" s="42">
        <f t="shared" si="29"/>
        <v>192.04234921928577</v>
      </c>
      <c r="P43" s="23">
        <f>-(Données!I$47*1E-24*H43+Données!F$47)*O43+(Données!H$46*1E-24*H43)*M43</f>
        <v>-1.5412230043383687E-7</v>
      </c>
      <c r="Q43" s="40">
        <f t="shared" si="30"/>
        <v>92.082314446451406</v>
      </c>
      <c r="R43" s="43">
        <f>-(Données!I$48*1E-24*H43+Données!F$48)*Q43+Données!H$47*1E-24*H43*O43</f>
        <v>5.5309950250008035E-8</v>
      </c>
      <c r="S43" s="42">
        <f t="shared" si="31"/>
        <v>51.10021901394839</v>
      </c>
      <c r="T43" s="22">
        <f>-(Données!I$49*1E-24*H43+Données!F$49)*S43+Données!F$47*O43</f>
        <v>-3.085672662842299E-8</v>
      </c>
      <c r="U43" s="28">
        <f t="shared" si="32"/>
        <v>4866.2372474201584</v>
      </c>
      <c r="V43" s="19"/>
      <c r="W43" s="40">
        <f t="shared" si="33"/>
        <v>61.904629867285422</v>
      </c>
      <c r="X43" s="21">
        <f>-(Données!I$50*1E-24*H43+Données!F$50)*W43+Données!F$45*K43</f>
        <v>-4.5919722705087781E-7</v>
      </c>
      <c r="Y43" s="42">
        <f t="shared" si="34"/>
        <v>23881.186524625944</v>
      </c>
      <c r="Z43" s="23">
        <f>-(Données!I$51*1E-24*H43+Données!F$51)*Y43+Données!F$48*Q43</f>
        <v>-2.3754685431235912E-5</v>
      </c>
      <c r="AA43" s="15">
        <f t="shared" si="35"/>
        <v>23943.091154493228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3169964366479091.5</v>
      </c>
      <c r="I44" s="40">
        <f t="shared" si="26"/>
        <v>9.9665487590981225</v>
      </c>
      <c r="J44" s="21">
        <f>-(Données!I$44*1E-24*H44+Données!F$44)*I44</f>
        <v>-5.8009379433595079E-8</v>
      </c>
      <c r="K44" s="42">
        <f t="shared" si="27"/>
        <v>3202.4038263229404</v>
      </c>
      <c r="L44" s="23">
        <f>-(Données!I$45*1E-24*H44+Données!F$45)*K44+(I44*Données!H$44*1E-24*H44)+(Données!H$51*1E-24*H44)*Y44</f>
        <v>-2.5543590228944213E-6</v>
      </c>
      <c r="M44" s="40">
        <f t="shared" si="28"/>
        <v>1314.5799045799654</v>
      </c>
      <c r="N44" s="21">
        <f>-(Données!I$46*1E-24*H44+Données!F$46)*M44+Données!H$45*1E-24*H44*K44</f>
        <v>1.0446836378154998E-6</v>
      </c>
      <c r="O44" s="42">
        <f t="shared" si="29"/>
        <v>191.63731581374566</v>
      </c>
      <c r="P44" s="23">
        <f>-(Données!I$47*1E-24*H44+Données!F$47)*O44+(Données!H$46*1E-24*H44)*M44</f>
        <v>-1.4575432644157867E-7</v>
      </c>
      <c r="Q44" s="40">
        <f t="shared" si="30"/>
        <v>92.227668995708427</v>
      </c>
      <c r="R44" s="43">
        <f>-(Données!I$48*1E-24*H44+Données!F$48)*Q44+Données!H$47*1E-24*H44*O44</f>
        <v>5.4388244226990968E-8</v>
      </c>
      <c r="S44" s="42">
        <f t="shared" si="31"/>
        <v>51.019127536368892</v>
      </c>
      <c r="T44" s="22">
        <f>-(Données!I$49*1E-24*H44+Données!F$49)*S44+Données!F$47*O44</f>
        <v>-3.0961623341483363E-8</v>
      </c>
      <c r="U44" s="28">
        <f t="shared" si="32"/>
        <v>4861.834392007826</v>
      </c>
      <c r="V44" s="19"/>
      <c r="W44" s="40">
        <f t="shared" si="33"/>
        <v>60.697859554595716</v>
      </c>
      <c r="X44" s="21">
        <f>-(Données!I$50*1E-24*H44+Données!F$50)*W44+Données!F$45*K44</f>
        <v>-4.5019470173573418E-7</v>
      </c>
      <c r="Y44" s="42">
        <f t="shared" si="34"/>
        <v>23818.759211312656</v>
      </c>
      <c r="Z44" s="23">
        <f>-(Données!I$51*1E-24*H44+Données!F$51)*Y44+Données!F$48*Q44</f>
        <v>-2.3692588779173378E-5</v>
      </c>
      <c r="AA44" s="15">
        <f t="shared" si="35"/>
        <v>23879.457070867251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3169964366479091.5</v>
      </c>
      <c r="I45" s="40">
        <f t="shared" si="26"/>
        <v>9.8141001099466347</v>
      </c>
      <c r="J45" s="21">
        <f>-(Données!I$44*1E-24*H45+Données!F$44)*I45</f>
        <v>-5.7122066107134423E-8</v>
      </c>
      <c r="K45" s="42">
        <f t="shared" si="27"/>
        <v>3195.6909708107737</v>
      </c>
      <c r="L45" s="23">
        <f>-(Données!I$45*1E-24*H45+Données!F$45)*K45+(I45*Données!H$44*1E-24*H45)+(Données!H$51*1E-24*H45)*Y45</f>
        <v>-2.5595447114813653E-6</v>
      </c>
      <c r="M45" s="40">
        <f t="shared" si="28"/>
        <v>1317.3253331801445</v>
      </c>
      <c r="N45" s="21">
        <f>-(Données!I$46*1E-24*H45+Données!F$46)*M45+Données!H$45*1E-24*H45*K45</f>
        <v>1.0273244276217854E-6</v>
      </c>
      <c r="O45" s="42">
        <f t="shared" si="29"/>
        <v>191.25427344385719</v>
      </c>
      <c r="P45" s="23">
        <f>-(Données!I$47*1E-24*H45+Données!F$47)*O45+(Données!H$46*1E-24*H45)*M45</f>
        <v>-1.3768779368523552E-7</v>
      </c>
      <c r="Q45" s="40">
        <f t="shared" si="30"/>
        <v>92.370601301536965</v>
      </c>
      <c r="R45" s="43">
        <f>-(Données!I$48*1E-24*H45+Données!F$48)*Q45+Données!H$47*1E-24*H45*O45</f>
        <v>5.3503613876490926E-8</v>
      </c>
      <c r="S45" s="42">
        <f t="shared" si="31"/>
        <v>50.937760390227474</v>
      </c>
      <c r="T45" s="22">
        <f>-(Données!I$49*1E-24*H45+Données!F$49)*S45+Données!F$47*O45</f>
        <v>-3.1031022071768978E-8</v>
      </c>
      <c r="U45" s="28">
        <f t="shared" si="32"/>
        <v>4857.3930392364873</v>
      </c>
      <c r="V45" s="19"/>
      <c r="W45" s="40">
        <f t="shared" si="33"/>
        <v>59.514747878434207</v>
      </c>
      <c r="X45" s="21">
        <f>-(Données!I$50*1E-24*H45+Données!F$50)*W45+Données!F$45*K45</f>
        <v>-4.4136880293882843E-7</v>
      </c>
      <c r="Y45" s="42">
        <f t="shared" si="34"/>
        <v>23756.495088000989</v>
      </c>
      <c r="Z45" s="23">
        <f>-(Données!I$51*1E-24*H45+Données!F$51)*Y45+Données!F$48*Q45</f>
        <v>-2.3630654452857151E-5</v>
      </c>
      <c r="AA45" s="15">
        <f t="shared" si="35"/>
        <v>23816.009835879424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3169964366479091.5</v>
      </c>
      <c r="I46" s="40">
        <f t="shared" si="26"/>
        <v>9.6639833202170848</v>
      </c>
      <c r="J46" s="21">
        <f>-(Données!I$44*1E-24*H46+Données!F$44)*I46</f>
        <v>-5.6248325153745191E-8</v>
      </c>
      <c r="K46" s="42">
        <f t="shared" si="27"/>
        <v>3188.9644873090006</v>
      </c>
      <c r="L46" s="23">
        <f>-(Données!I$45*1E-24*H46+Données!F$45)*K46+(I46*Données!H$44*1E-24*H46)+(Données!H$51*1E-24*H46)*Y46</f>
        <v>-2.5644945463995743E-6</v>
      </c>
      <c r="M46" s="40">
        <f t="shared" si="28"/>
        <v>1320.0251417759346</v>
      </c>
      <c r="N46" s="21">
        <f>-(Données!I$46*1E-24*H46+Données!F$46)*M46+Données!H$45*1E-24*H46*K46</f>
        <v>1.0100711443892707E-6</v>
      </c>
      <c r="O46" s="42">
        <f t="shared" si="29"/>
        <v>190.8924299220524</v>
      </c>
      <c r="P46" s="23">
        <f>-(Données!I$47*1E-24*H46+Données!F$47)*O46+(Données!H$46*1E-24*H46)*M46</f>
        <v>-1.2991383364871533E-7</v>
      </c>
      <c r="Q46" s="40">
        <f t="shared" si="30"/>
        <v>92.51120879880439</v>
      </c>
      <c r="R46" s="43">
        <f>-(Données!I$48*1E-24*H46+Données!F$48)*Q46+Données!H$47*1E-24*H46*O46</f>
        <v>5.2654699483785658E-8</v>
      </c>
      <c r="S46" s="42">
        <f t="shared" si="31"/>
        <v>50.856210864222867</v>
      </c>
      <c r="T46" s="22">
        <f>-(Données!I$49*1E-24*H46+Données!F$49)*S46+Données!F$47*O46</f>
        <v>-3.1066732575956758E-8</v>
      </c>
      <c r="U46" s="28">
        <f t="shared" si="32"/>
        <v>4852.9134619902325</v>
      </c>
      <c r="V46" s="19"/>
      <c r="W46" s="40">
        <f t="shared" si="33"/>
        <v>58.354830664310967</v>
      </c>
      <c r="X46" s="21">
        <f>-(Données!I$50*1E-24*H46+Données!F$50)*W46+Données!F$45*K46</f>
        <v>-4.3271606498564977E-7</v>
      </c>
      <c r="Y46" s="42">
        <f t="shared" si="34"/>
        <v>23694.393728098879</v>
      </c>
      <c r="Z46" s="23">
        <f>-(Données!I$51*1E-24*H46+Données!F$51)*Y46+Données!F$48*Q46</f>
        <v>-2.356888202794906E-5</v>
      </c>
      <c r="AA46" s="15">
        <f t="shared" si="35"/>
        <v>23752.748558763189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3169964366479091.5</v>
      </c>
      <c r="I47" s="40">
        <f t="shared" si="26"/>
        <v>9.5161627217130427</v>
      </c>
      <c r="J47" s="21">
        <f>-(Données!I$44*1E-24*H47+Données!F$44)*I47</f>
        <v>-5.5387948969974025E-8</v>
      </c>
      <c r="K47" s="42">
        <f t="shared" si="27"/>
        <v>3182.2249956410624</v>
      </c>
      <c r="L47" s="23">
        <f>-(Données!I$45*1E-24*H47+Données!F$45)*K47+(I47*Données!H$44*1E-24*H47)+(Données!H$51*1E-24*H47)*Y47</f>
        <v>-2.5692132992371107E-6</v>
      </c>
      <c r="M47" s="40">
        <f t="shared" si="28"/>
        <v>1322.6796087433895</v>
      </c>
      <c r="N47" s="21">
        <f>-(Données!I$46*1E-24*H47+Données!F$46)*M47+Données!H$45*1E-24*H47*K47</f>
        <v>9.9292392430071472E-7</v>
      </c>
      <c r="O47" s="42">
        <f t="shared" si="29"/>
        <v>190.55101636722358</v>
      </c>
      <c r="P47" s="23">
        <f>-(Données!I$47*1E-24*H47+Données!F$47)*O47+(Données!H$46*1E-24*H47)*M47</f>
        <v>-1.2242382630387573E-7</v>
      </c>
      <c r="Q47" s="40">
        <f t="shared" si="30"/>
        <v>92.649585349047783</v>
      </c>
      <c r="R47" s="43">
        <f>-(Données!I$48*1E-24*H47+Données!F$48)*Q47+Données!H$47*1E-24*H47*O47</f>
        <v>5.184018301309388E-8</v>
      </c>
      <c r="S47" s="42">
        <f t="shared" si="31"/>
        <v>50.774567491013251</v>
      </c>
      <c r="T47" s="22">
        <f>-(Données!I$49*1E-24*H47+Données!F$49)*S47+Données!F$47*O47</f>
        <v>-3.1070498553717117E-8</v>
      </c>
      <c r="U47" s="28">
        <f t="shared" si="32"/>
        <v>4848.3959363134491</v>
      </c>
      <c r="V47" s="19"/>
      <c r="W47" s="40">
        <f t="shared" si="33"/>
        <v>57.217652845528676</v>
      </c>
      <c r="X47" s="21">
        <f>-(Données!I$50*1E-24*H47+Données!F$50)*W47+Données!F$45*K47</f>
        <v>-4.2423309020370213E-7</v>
      </c>
      <c r="Y47" s="42">
        <f t="shared" si="34"/>
        <v>23632.454706129429</v>
      </c>
      <c r="Z47" s="23">
        <f>-(Données!I$51*1E-24*H47+Données!F$51)*Y47+Données!F$48*Q47</f>
        <v>-2.3507271081220402E-5</v>
      </c>
      <c r="AA47" s="15">
        <f t="shared" si="35"/>
        <v>23689.672358974956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3169964366479091.5</v>
      </c>
      <c r="I48" s="40">
        <f t="shared" si="26"/>
        <v>9.370603191819951</v>
      </c>
      <c r="J48" s="21">
        <f>-(Données!I$44*1E-24*H48+Données!F$44)*I48</f>
        <v>-5.4540733127876626E-8</v>
      </c>
      <c r="K48" s="42">
        <f t="shared" si="27"/>
        <v>3175.4731030906673</v>
      </c>
      <c r="L48" s="23">
        <f>-(Données!I$45*1E-24*H48+Données!F$45)*K48+(I48*Données!H$44*1E-24*H48)+(Données!H$51*1E-24*H48)*Y48</f>
        <v>-2.5737056516042952E-6</v>
      </c>
      <c r="M48" s="40">
        <f t="shared" si="28"/>
        <v>1325.2890128164518</v>
      </c>
      <c r="N48" s="21">
        <f>-(Données!I$46*1E-24*H48+Données!F$46)*M48+Données!H$45*1E-24*H48*K48</f>
        <v>9.7588288426674932E-7</v>
      </c>
      <c r="O48" s="42">
        <f t="shared" si="29"/>
        <v>190.22928655169699</v>
      </c>
      <c r="P48" s="23">
        <f>-(Données!I$47*1E-24*H48+Données!F$47)*O48+(Données!H$46*1E-24*H48)*M48</f>
        <v>-1.1520939320666699E-7</v>
      </c>
      <c r="Q48" s="40">
        <f t="shared" si="30"/>
        <v>92.785821350006188</v>
      </c>
      <c r="R48" s="43">
        <f>-(Données!I$48*1E-24*H48+Données!F$48)*Q48+Données!H$47*1E-24*H48*O48</f>
        <v>5.105878691745733E-8</v>
      </c>
      <c r="S48" s="42">
        <f t="shared" si="31"/>
        <v>50.692914220814082</v>
      </c>
      <c r="T48" s="22">
        <f>-(Données!I$49*1E-24*H48+Données!F$49)*S48+Données!F$47*O48</f>
        <v>-3.1043999755531147E-8</v>
      </c>
      <c r="U48" s="28">
        <f t="shared" si="32"/>
        <v>4843.8407412214565</v>
      </c>
      <c r="V48" s="19"/>
      <c r="W48" s="40">
        <f t="shared" si="33"/>
        <v>56.102768284473349</v>
      </c>
      <c r="X48" s="21">
        <f>-(Données!I$50*1E-24*H48+Données!F$50)*W48+Données!F$45*K48</f>
        <v>-4.1591654758820604E-7</v>
      </c>
      <c r="Y48" s="42">
        <f t="shared" si="34"/>
        <v>23570.677597727983</v>
      </c>
      <c r="Z48" s="23">
        <f>-(Données!I$51*1E-24*H48+Données!F$51)*Y48+Données!F$48*Q48</f>
        <v>-2.3445821190549036E-5</v>
      </c>
      <c r="AA48" s="15">
        <f t="shared" si="35"/>
        <v>23626.780366012455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3169964366479091.5</v>
      </c>
      <c r="I49" s="40">
        <f t="shared" si="26"/>
        <v>9.227270145159892</v>
      </c>
      <c r="J49" s="21">
        <f>-(Données!I$44*1E-24*H49+Données!F$44)*I49</f>
        <v>-5.3706476326445099E-8</v>
      </c>
      <c r="K49" s="42">
        <f t="shared" si="27"/>
        <v>3168.7094046382513</v>
      </c>
      <c r="L49" s="23">
        <f>-(Données!I$45*1E-24*H49+Données!F$45)*K49+(I49*Données!H$44*1E-24*H49)+(Données!H$51*1E-24*H49)*Y49</f>
        <v>-2.5779761968122074E-6</v>
      </c>
      <c r="M49" s="40">
        <f t="shared" si="28"/>
        <v>1327.8536330363047</v>
      </c>
      <c r="N49" s="21">
        <f>-(Données!I$46*1E-24*H49+Données!F$46)*M49+Données!H$45*1E-24*H49*K49</f>
        <v>9.5894812241034608E-7</v>
      </c>
      <c r="O49" s="42">
        <f t="shared" si="29"/>
        <v>189.92651626634986</v>
      </c>
      <c r="P49" s="23">
        <f>-(Données!I$47*1E-24*H49+Données!F$47)*O49+(Données!H$46*1E-24*H49)*M49</f>
        <v>-1.0826239078529698E-7</v>
      </c>
      <c r="Q49" s="40">
        <f t="shared" si="30"/>
        <v>92.920003842025267</v>
      </c>
      <c r="R49" s="43">
        <f>-(Données!I$48*1E-24*H49+Données!F$48)*Q49+Données!H$47*1E-24*H49*O49</f>
        <v>5.0309272981888174E-8</v>
      </c>
      <c r="S49" s="42">
        <f t="shared" si="31"/>
        <v>50.611330589456543</v>
      </c>
      <c r="T49" s="22">
        <f>-(Données!I$49*1E-24*H49+Données!F$49)*S49+Données!F$47*O49</f>
        <v>-3.0988854027382206E-8</v>
      </c>
      <c r="U49" s="28">
        <f t="shared" si="32"/>
        <v>4839.2481585175474</v>
      </c>
      <c r="V49" s="19"/>
      <c r="W49" s="40">
        <f t="shared" si="33"/>
        <v>55.009739597411546</v>
      </c>
      <c r="X49" s="21">
        <f>-(Données!I$50*1E-24*H49+Données!F$50)*W49+Données!F$45*K49</f>
        <v>-4.0776317149398083E-7</v>
      </c>
      <c r="Y49" s="42">
        <f t="shared" si="34"/>
        <v>23509.06197963922</v>
      </c>
      <c r="Z49" s="23">
        <f>-(Données!I$51*1E-24*H49+Données!F$51)*Y49+Données!F$48*Q49</f>
        <v>-2.3384531934916465E-5</v>
      </c>
      <c r="AA49" s="15">
        <f t="shared" si="35"/>
        <v>23564.071719236632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3169964366479091.5</v>
      </c>
      <c r="I50" s="40">
        <f t="shared" si="26"/>
        <v>9.0861295253739947</v>
      </c>
      <c r="J50" s="21">
        <f>-(Données!I$44*1E-24*H50+Données!F$44)*I50</f>
        <v>-5.2884980343778202E-8</v>
      </c>
      <c r="K50" s="42">
        <f t="shared" si="27"/>
        <v>3161.9344831930289</v>
      </c>
      <c r="L50" s="23">
        <f>-(Données!I$45*1E-24*H50+Données!F$45)*K50+(I50*Données!H$44*1E-24*H50)+(Données!H$51*1E-24*H50)*Y50</f>
        <v>-2.5820294415199346E-6</v>
      </c>
      <c r="M50" s="40">
        <f t="shared" si="28"/>
        <v>1330.3737487019991</v>
      </c>
      <c r="N50" s="21">
        <f>-(Données!I$46*1E-24*H50+Données!F$46)*M50+Données!H$45*1E-24*H50*K50</f>
        <v>9.4211971854134003E-7</v>
      </c>
      <c r="O50" s="42">
        <f t="shared" si="29"/>
        <v>189.6420027033661</v>
      </c>
      <c r="P50" s="23">
        <f>-(Données!I$47*1E-24*H50+Données!F$47)*O50+(Données!H$46*1E-24*H50)*M50</f>
        <v>-1.0157490381505716E-7</v>
      </c>
      <c r="Q50" s="40">
        <f t="shared" si="30"/>
        <v>93.05221661142167</v>
      </c>
      <c r="R50" s="43">
        <f>-(Données!I$48*1E-24*H50+Données!F$48)*Q50+Données!H$47*1E-24*H50*O50</f>
        <v>4.9590441198856199E-8</v>
      </c>
      <c r="S50" s="42">
        <f t="shared" si="31"/>
        <v>50.529891881072579</v>
      </c>
      <c r="T50" s="22">
        <f>-(Données!I$49*1E-24*H50+Données!F$49)*S50+Données!F$47*O50</f>
        <v>-3.0906619294155135E-8</v>
      </c>
      <c r="U50" s="28">
        <f t="shared" si="32"/>
        <v>4834.6184726162619</v>
      </c>
      <c r="V50" s="19"/>
      <c r="W50" s="40">
        <f t="shared" si="33"/>
        <v>53.938137982725365</v>
      </c>
      <c r="X50" s="21">
        <f>-(Données!I$50*1E-24*H50+Données!F$50)*W50+Données!F$45*K50</f>
        <v>-3.9976976035299475E-7</v>
      </c>
      <c r="Y50" s="42">
        <f t="shared" si="34"/>
        <v>23447.607429714259</v>
      </c>
      <c r="Z50" s="23">
        <f>-(Données!I$51*1E-24*H50+Données!F$51)*Y50+Données!F$48*Q50</f>
        <v>-2.3323402894404972E-5</v>
      </c>
      <c r="AA50" s="15">
        <f t="shared" si="35"/>
        <v>23501.545567696983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3169964366479091.5</v>
      </c>
      <c r="I51" s="40">
        <f t="shared" si="26"/>
        <v>8.9471477970305457</v>
      </c>
      <c r="J51" s="21">
        <f>-(Données!I$44*1E-24*H51+Données!F$44)*I51</f>
        <v>-5.2076049989983238E-8</v>
      </c>
      <c r="K51" s="42">
        <f t="shared" si="27"/>
        <v>3155.1489098207144</v>
      </c>
      <c r="L51" s="23">
        <f>-(Données!I$45*1E-24*H51+Données!F$45)*K51+(I51*Données!H$44*1E-24*H51)+(Données!H$51*1E-24*H51)*Y51</f>
        <v>-2.5858698073512294E-6</v>
      </c>
      <c r="M51" s="40">
        <f t="shared" si="28"/>
        <v>1332.8496393223259</v>
      </c>
      <c r="N51" s="21">
        <f>-(Données!I$46*1E-24*H51+Données!F$46)*M51+Données!H$45*1E-24*H51*K51</f>
        <v>9.2539773462120052E-7</v>
      </c>
      <c r="O51" s="42">
        <f t="shared" si="29"/>
        <v>189.37506385614014</v>
      </c>
      <c r="P51" s="23">
        <f>-(Données!I$47*1E-24*H51+Données!F$47)*O51+(Données!H$46*1E-24*H51)*M51</f>
        <v>-9.5139239074618821E-8</v>
      </c>
      <c r="Q51" s="40">
        <f t="shared" si="30"/>
        <v>93.182540290892263</v>
      </c>
      <c r="R51" s="43">
        <f>-(Données!I$48*1E-24*H51+Données!F$48)*Q51+Données!H$47*1E-24*H51*O51</f>
        <v>4.8901128675214891E-8</v>
      </c>
      <c r="S51" s="42">
        <f t="shared" si="31"/>
        <v>50.44866928556754</v>
      </c>
      <c r="T51" s="22">
        <f>-(Données!I$49*1E-24*H51+Données!F$49)*S51+Données!F$47*O51</f>
        <v>-3.0798795483519342E-8</v>
      </c>
      <c r="U51" s="28">
        <f t="shared" si="32"/>
        <v>4829.951970372671</v>
      </c>
      <c r="V51" s="19"/>
      <c r="W51" s="40">
        <f t="shared" si="33"/>
        <v>52.887543052517692</v>
      </c>
      <c r="X51" s="21">
        <f>-(Données!I$50*1E-24*H51+Données!F$50)*W51+Données!F$45*K51</f>
        <v>-3.9193317541707708E-7</v>
      </c>
      <c r="Y51" s="42">
        <f t="shared" si="34"/>
        <v>23386.313526907761</v>
      </c>
      <c r="Z51" s="23">
        <f>-(Données!I$51*1E-24*H51+Données!F$51)*Y51+Données!F$48*Q51</f>
        <v>-2.3262433650194714E-5</v>
      </c>
      <c r="AA51" s="15">
        <f t="shared" si="35"/>
        <v>23439.20106996028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3169964366479091.5</v>
      </c>
      <c r="I52" s="40">
        <f t="shared" si="26"/>
        <v>8.8102919376568707</v>
      </c>
      <c r="J52" s="21">
        <f>-(Données!I$44*1E-24*H52+Données!F$44)*I52</f>
        <v>-5.1279493060798391E-8</v>
      </c>
      <c r="K52" s="42">
        <f t="shared" si="27"/>
        <v>3148.3532439669953</v>
      </c>
      <c r="L52" s="23">
        <f>-(Données!I$45*1E-24*H52+Données!F$45)*K52+(I52*Données!H$44*1E-24*H52)+(Données!H$51*1E-24*H52)*Y52</f>
        <v>-2.5895016324810321E-6</v>
      </c>
      <c r="M52" s="40">
        <f t="shared" si="28"/>
        <v>1335.2815845689104</v>
      </c>
      <c r="N52" s="21">
        <f>-(Données!I$46*1E-24*H52+Données!F$46)*M52+Données!H$45*1E-24*H52*K52</f>
        <v>9.0878221521824275E-7</v>
      </c>
      <c r="O52" s="42">
        <f t="shared" si="29"/>
        <v>189.12503793585205</v>
      </c>
      <c r="P52" s="23">
        <f>-(Données!I$47*1E-24*H52+Données!F$47)*O52+(Données!H$46*1E-24*H52)*M52</f>
        <v>-8.8947919178721392E-8</v>
      </c>
      <c r="Q52" s="40">
        <f t="shared" si="30"/>
        <v>93.311052457050721</v>
      </c>
      <c r="R52" s="43">
        <f>-(Données!I$48*1E-24*H52+Données!F$48)*Q52+Données!H$47*1E-24*H52*O52</f>
        <v>4.8240208569691544E-8</v>
      </c>
      <c r="S52" s="42">
        <f t="shared" si="31"/>
        <v>50.367730051036851</v>
      </c>
      <c r="T52" s="22">
        <f>-(Données!I$49*1E-24*H52+Données!F$49)*S52+Données!F$47*O52</f>
        <v>-3.0666826392025665E-8</v>
      </c>
      <c r="U52" s="28">
        <f t="shared" si="32"/>
        <v>4825.2489409175023</v>
      </c>
      <c r="V52" s="19"/>
      <c r="W52" s="40">
        <f t="shared" si="33"/>
        <v>51.857542667521614</v>
      </c>
      <c r="X52" s="21">
        <f>-(Données!I$50*1E-24*H52+Données!F$50)*W52+Données!F$45*K52</f>
        <v>-3.8425033952530117E-7</v>
      </c>
      <c r="Y52" s="42">
        <f t="shared" si="34"/>
        <v>23325.17985127505</v>
      </c>
      <c r="Z52" s="23">
        <f>-(Données!I$51*1E-24*H52+Données!F$51)*Y52+Données!F$48*Q52</f>
        <v>-2.3201623784560867E-5</v>
      </c>
      <c r="AA52" s="15">
        <f t="shared" si="35"/>
        <v>23377.037393942574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3169964366479091.5</v>
      </c>
      <c r="I53" s="40">
        <f t="shared" si="26"/>
        <v>8.6755294298930927</v>
      </c>
      <c r="J53" s="21">
        <f>-(Données!I$44*1E-24*H53+Données!F$44)*I53</f>
        <v>-5.0495120291924368E-8</v>
      </c>
      <c r="K53" s="42">
        <f t="shared" si="27"/>
        <v>3141.5480336768351</v>
      </c>
      <c r="L53" s="23">
        <f>-(Données!I$45*1E-24*H53+Données!F$45)*K53+(I53*Données!H$44*1E-24*H53)+(Données!H$51*1E-24*H53)*Y53</f>
        <v>-2.5929291731925179E-6</v>
      </c>
      <c r="M53" s="40">
        <f t="shared" si="28"/>
        <v>1337.6698642305039</v>
      </c>
      <c r="N53" s="21">
        <f>-(Données!I$46*1E-24*H53+Données!F$46)*M53+Données!H$45*1E-24*H53*K53</f>
        <v>8.9227318795345179E-7</v>
      </c>
      <c r="O53" s="42">
        <f t="shared" si="29"/>
        <v>188.89128280425038</v>
      </c>
      <c r="P53" s="23">
        <f>-(Données!I$47*1E-24*H53+Données!F$47)*O53+(Données!H$46*1E-24*H53)*M53</f>
        <v>-8.2993676582351904E-8</v>
      </c>
      <c r="Q53" s="40">
        <f t="shared" si="30"/>
        <v>93.437827725171871</v>
      </c>
      <c r="R53" s="43">
        <f>-(Données!I$48*1E-24*H53+Données!F$48)*Q53+Données!H$47*1E-24*H53*O53</f>
        <v>4.7606589060089975E-8</v>
      </c>
      <c r="S53" s="42">
        <f t="shared" si="31"/>
        <v>50.287137631278611</v>
      </c>
      <c r="T53" s="22">
        <f>-(Données!I$49*1E-24*H53+Données!F$49)*S53+Données!F$47*O53</f>
        <v>-3.0512101495095176E-8</v>
      </c>
      <c r="U53" s="28">
        <f t="shared" si="32"/>
        <v>4820.5096754979331</v>
      </c>
      <c r="V53" s="19"/>
      <c r="W53" s="40">
        <f t="shared" si="33"/>
        <v>50.847732775249121</v>
      </c>
      <c r="X53" s="21">
        <f>-(Données!I$50*1E-24*H53+Données!F$50)*W53+Données!F$45*K53</f>
        <v>-3.7671823589555211E-7</v>
      </c>
      <c r="Y53" s="42">
        <f t="shared" si="34"/>
        <v>23264.205983969223</v>
      </c>
      <c r="Z53" s="23">
        <f>-(Données!I$51*1E-24*H53+Données!F$51)*Y53+Données!F$48*Q53</f>
        <v>-2.3140972880870732E-5</v>
      </c>
      <c r="AA53" s="15">
        <f t="shared" si="35"/>
        <v>23315.053716744471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3169964366479091.5</v>
      </c>
      <c r="I54" s="40">
        <f t="shared" si="26"/>
        <v>8.542828253765915</v>
      </c>
      <c r="J54" s="21">
        <f>-(Données!I$44*1E-24*H54+Données!F$44)*I54</f>
        <v>-4.972274531405466E-8</v>
      </c>
      <c r="K54" s="42">
        <f t="shared" si="27"/>
        <v>3134.733815809685</v>
      </c>
      <c r="L54" s="23">
        <f>-(Données!I$45*1E-24*H54+Données!F$45)*K54+(I54*Données!H$44*1E-24*H54)+(Données!H$51*1E-24*H54)*Y54</f>
        <v>-2.5961566054051103E-6</v>
      </c>
      <c r="M54" s="40">
        <f t="shared" si="28"/>
        <v>1340.0147581684455</v>
      </c>
      <c r="N54" s="21">
        <f>-(Données!I$46*1E-24*H54+Données!F$46)*M54+Données!H$45*1E-24*H54*K54</f>
        <v>8.7587066393711907E-7</v>
      </c>
      <c r="O54" s="42">
        <f t="shared" si="29"/>
        <v>188.67317542219195</v>
      </c>
      <c r="P54" s="23">
        <f>-(Données!I$47*1E-24*H54+Données!F$47)*O54+(Données!H$46*1E-24*H54)*M54</f>
        <v>-7.7269447751619671E-8</v>
      </c>
      <c r="Q54" s="40">
        <f t="shared" si="30"/>
        <v>93.562937841221782</v>
      </c>
      <c r="R54" s="43">
        <f>-(Données!I$48*1E-24*H54+Données!F$48)*Q54+Données!H$47*1E-24*H54*O54</f>
        <v>4.6999212339379008E-8</v>
      </c>
      <c r="S54" s="42">
        <f t="shared" si="31"/>
        <v>50.206951828549499</v>
      </c>
      <c r="T54" s="22">
        <f>-(Données!I$49*1E-24*H54+Données!F$49)*S54+Données!F$47*O54</f>
        <v>-3.0335957702529911E-8</v>
      </c>
      <c r="U54" s="28">
        <f t="shared" si="32"/>
        <v>4815.7344673238595</v>
      </c>
      <c r="V54" s="19"/>
      <c r="W54" s="40">
        <f t="shared" si="33"/>
        <v>49.857717251315613</v>
      </c>
      <c r="X54" s="21">
        <f>-(Données!I$50*1E-24*H54+Données!F$50)*W54+Données!F$45*K54</f>
        <v>-3.6933390693980589E-7</v>
      </c>
      <c r="Y54" s="42">
        <f t="shared" si="34"/>
        <v>23203.391507238295</v>
      </c>
      <c r="Z54" s="23">
        <f>-(Données!I$51*1E-24*H54+Données!F$51)*Y54+Données!F$48*Q54</f>
        <v>-2.30804805235809E-5</v>
      </c>
      <c r="AA54" s="15">
        <f t="shared" si="35"/>
        <v>23253.249224489609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3169964366479091.5</v>
      </c>
      <c r="I55" s="40">
        <f t="shared" si="26"/>
        <v>8.4121568790805785</v>
      </c>
      <c r="J55" s="21">
        <f>-(Données!I$44*1E-24*H55+Données!F$44)*I55</f>
        <v>-4.8962184608593653E-8</v>
      </c>
      <c r="K55" s="42">
        <f t="shared" si="27"/>
        <v>3127.9111162506802</v>
      </c>
      <c r="L55" s="23">
        <f>-(Données!I$45*1E-24*H55+Données!F$45)*K55+(I55*Données!H$44*1E-24*H55)+(Données!H$51*1E-24*H55)*Y55</f>
        <v>-2.5991880261741593E-6</v>
      </c>
      <c r="M55" s="40">
        <f t="shared" si="28"/>
        <v>1342.3165462732723</v>
      </c>
      <c r="N55" s="21">
        <f>-(Données!I$46*1E-24*H55+Données!F$46)*M55+Données!H$45*1E-24*H55*K55</f>
        <v>8.5957463819645437E-7</v>
      </c>
      <c r="O55" s="42">
        <f t="shared" si="29"/>
        <v>188.47011131350069</v>
      </c>
      <c r="P55" s="23">
        <f>-(Données!I$47*1E-24*H55+Données!F$47)*O55+(Données!H$46*1E-24*H55)*M55</f>
        <v>-7.1768367496699292E-8</v>
      </c>
      <c r="Q55" s="40">
        <f t="shared" si="30"/>
        <v>93.686451771249665</v>
      </c>
      <c r="R55" s="43">
        <f>-(Données!I$48*1E-24*H55+Données!F$48)*Q55+Données!H$47*1E-24*H55*O55</f>
        <v>4.6417053639862206E-8</v>
      </c>
      <c r="S55" s="42">
        <f t="shared" si="31"/>
        <v>50.127228931707251</v>
      </c>
      <c r="T55" s="22">
        <f>-(Données!I$49*1E-24*H55+Données!F$49)*S55+Données!F$47*O55</f>
        <v>-3.0139681061130935E-8</v>
      </c>
      <c r="U55" s="28">
        <f t="shared" si="32"/>
        <v>4810.923611419491</v>
      </c>
      <c r="V55" s="19"/>
      <c r="W55" s="40">
        <f t="shared" si="33"/>
        <v>48.887107743877806</v>
      </c>
      <c r="X55" s="21">
        <f>-(Données!I$50*1E-24*H55+Données!F$50)*W55+Données!F$45*K55</f>
        <v>-3.6209445310265408E-7</v>
      </c>
      <c r="Y55" s="42">
        <f t="shared" si="34"/>
        <v>23142.736004422324</v>
      </c>
      <c r="Z55" s="23">
        <f>-(Données!I$51*1E-24*H55+Données!F$51)*Y55+Données!F$48*Q55</f>
        <v>-2.3020146298234381E-5</v>
      </c>
      <c r="AA55" s="15">
        <f t="shared" si="35"/>
        <v>23191.623112166202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3169964366479091.5</v>
      </c>
      <c r="I56" s="40">
        <f t="shared" si="26"/>
        <v>8.2834842579291941</v>
      </c>
      <c r="J56" s="21">
        <f>-(Données!I$44*1E-24*H56+Données!F$44)*I56</f>
        <v>-4.8213257464052065E-8</v>
      </c>
      <c r="K56" s="42">
        <f t="shared" si="27"/>
        <v>3121.0804501178945</v>
      </c>
      <c r="L56" s="23">
        <f>-(Données!I$45*1E-24*H56+Données!F$45)*K56+(I56*Données!H$44*1E-24*H56)+(Données!H$51*1E-24*H56)*Y56</f>
        <v>-2.6020274551625973E-6</v>
      </c>
      <c r="M56" s="40">
        <f t="shared" si="28"/>
        <v>1344.5755084224525</v>
      </c>
      <c r="N56" s="21">
        <f>-(Données!I$46*1E-24*H56+Données!F$46)*M56+Données!H$45*1E-24*H56*K56</f>
        <v>8.4338509009435033E-7</v>
      </c>
      <c r="O56" s="42">
        <f t="shared" si="29"/>
        <v>188.28150404371937</v>
      </c>
      <c r="P56" s="23">
        <f>-(Données!I$47*1E-24*H56+Données!F$47)*O56+(Données!H$46*1E-24*H56)*M56</f>
        <v>-6.6483763462299772E-8</v>
      </c>
      <c r="Q56" s="40">
        <f t="shared" si="30"/>
        <v>93.80843578821522</v>
      </c>
      <c r="R56" s="43">
        <f>-(Données!I$48*1E-24*H56+Données!F$48)*Q56+Données!H$47*1E-24*H56*O56</f>
        <v>4.58591202846473E-8</v>
      </c>
      <c r="S56" s="42">
        <f t="shared" si="31"/>
        <v>50.048021849878602</v>
      </c>
      <c r="T56" s="22">
        <f>-(Données!I$49*1E-24*H56+Données!F$49)*S56+Données!F$47*O56</f>
        <v>-2.9924508405962126E-8</v>
      </c>
      <c r="U56" s="28">
        <f t="shared" si="32"/>
        <v>4806.0774044800892</v>
      </c>
      <c r="V56" s="19"/>
      <c r="W56" s="40">
        <f t="shared" si="33"/>
        <v>47.935523521124033</v>
      </c>
      <c r="X56" s="21">
        <f>-(Données!I$50*1E-24*H56+Données!F$50)*W56+Données!F$45*K56</f>
        <v>-3.5499703172261844E-7</v>
      </c>
      <c r="Y56" s="42">
        <f t="shared" si="34"/>
        <v>23082.239059950563</v>
      </c>
      <c r="Z56" s="23">
        <f>-(Données!I$51*1E-24*H56+Données!F$51)*Y56+Données!F$48*Q56</f>
        <v>-2.2959969791457773E-5</v>
      </c>
      <c r="AA56" s="15">
        <f t="shared" si="35"/>
        <v>23130.174583471686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3169964366479091.5</v>
      </c>
      <c r="I57" s="40">
        <f t="shared" si="26"/>
        <v>8.1567798173136659</v>
      </c>
      <c r="J57" s="21">
        <f>-(Données!I$44*1E-24*H57+Données!F$44)*I57</f>
        <v>-4.7475785933109317E-8</v>
      </c>
      <c r="K57" s="42">
        <f t="shared" si="27"/>
        <v>3114.2423219657271</v>
      </c>
      <c r="L57" s="23">
        <f>-(Données!I$45*1E-24*H57+Données!F$45)*K57+(I57*Données!H$44*1E-24*H57)+(Données!H$51*1E-24*H57)*Y57</f>
        <v>-2.6046788360853298E-6</v>
      </c>
      <c r="M57" s="40">
        <f t="shared" si="28"/>
        <v>1346.7919244392203</v>
      </c>
      <c r="N57" s="21">
        <f>-(Données!I$46*1E-24*H57+Données!F$46)*M57+Données!H$45*1E-24*H57*K57</f>
        <v>8.2730198373947776E-7</v>
      </c>
      <c r="O57" s="42">
        <f t="shared" si="29"/>
        <v>188.10678471334043</v>
      </c>
      <c r="P57" s="23">
        <f>-(Données!I$47*1E-24*H57+Données!F$47)*O57+(Données!H$46*1E-24*H57)*M57</f>
        <v>-6.1409150771289043E-8</v>
      </c>
      <c r="Q57" s="40">
        <f t="shared" si="30"/>
        <v>93.928953556323279</v>
      </c>
      <c r="R57" s="43">
        <f>-(Données!I$48*1E-24*H57+Données!F$48)*Q57+Données!H$47*1E-24*H57*O57</f>
        <v>4.5324450765655402E-8</v>
      </c>
      <c r="S57" s="42">
        <f t="shared" si="31"/>
        <v>49.969380241787732</v>
      </c>
      <c r="T57" s="22">
        <f>-(Données!I$49*1E-24*H57+Données!F$49)*S57+Données!F$47*O57</f>
        <v>-2.9691628961754163E-8</v>
      </c>
      <c r="U57" s="28">
        <f t="shared" si="32"/>
        <v>4801.1961447337126</v>
      </c>
      <c r="V57" s="19"/>
      <c r="W57" s="40">
        <f t="shared" si="33"/>
        <v>47.002591321756988</v>
      </c>
      <c r="X57" s="21">
        <f>-(Données!I$50*1E-24*H57+Données!F$50)*W57+Données!F$45*K57</f>
        <v>-3.4803885591580785E-7</v>
      </c>
      <c r="Y57" s="42">
        <f t="shared" si="34"/>
        <v>23021.900259338614</v>
      </c>
      <c r="Z57" s="23">
        <f>-(Données!I$51*1E-24*H57+Données!F$51)*Y57+Données!F$48*Q57</f>
        <v>-2.2899950590958418E-5</v>
      </c>
      <c r="AA57" s="15">
        <f t="shared" si="35"/>
        <v>23068.902850660372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3169964366479091.5</v>
      </c>
      <c r="I58" s="40">
        <f t="shared" si="26"/>
        <v>8.0320134518814541</v>
      </c>
      <c r="J58" s="21">
        <f>-(Données!I$44*1E-24*H58+Données!F$44)*I58</f>
        <v>-4.6749594790332762E-8</v>
      </c>
      <c r="K58" s="42">
        <f t="shared" si="27"/>
        <v>3107.397225984495</v>
      </c>
      <c r="L58" s="23">
        <f>-(Données!I$45*1E-24*H58+Données!F$45)*K58+(I58*Données!H$44*1E-24*H58)+(Données!H$51*1E-24*H58)*Y58</f>
        <v>-2.6071460381266402E-6</v>
      </c>
      <c r="M58" s="40">
        <f t="shared" si="28"/>
        <v>1348.9660740524878</v>
      </c>
      <c r="N58" s="21">
        <f>-(Données!I$46*1E-24*H58+Données!F$46)*M58+Données!H$45*1E-24*H58*K58</f>
        <v>8.1132526838786776E-7</v>
      </c>
      <c r="O58" s="42">
        <f t="shared" si="29"/>
        <v>187.94540146511349</v>
      </c>
      <c r="P58" s="23">
        <f>-(Données!I$47*1E-24*H58+Données!F$47)*O58+(Données!H$46*1E-24*H58)*M58</f>
        <v>-5.6538226817195549E-8</v>
      </c>
      <c r="Q58" s="40">
        <f t="shared" si="30"/>
        <v>94.048066212935424</v>
      </c>
      <c r="R58" s="43">
        <f>-(Données!I$48*1E-24*H58+Données!F$48)*Q58+Données!H$47*1E-24*H58*O58</f>
        <v>4.4812113847431057E-8</v>
      </c>
      <c r="S58" s="42">
        <f t="shared" si="31"/>
        <v>49.89135064087624</v>
      </c>
      <c r="T58" s="22">
        <f>-(Données!I$49*1E-24*H58+Données!F$49)*S58+Données!F$47*O58</f>
        <v>-2.9442185895901682E-8</v>
      </c>
      <c r="U58" s="28">
        <f t="shared" si="32"/>
        <v>4796.28013180779</v>
      </c>
      <c r="V58" s="19"/>
      <c r="W58" s="40">
        <f t="shared" si="33"/>
        <v>46.087945208410247</v>
      </c>
      <c r="X58" s="21">
        <f>-(Données!I$50*1E-24*H58+Données!F$50)*W58+Données!F$45*K58</f>
        <v>-3.4121719348147938E-7</v>
      </c>
      <c r="Y58" s="42">
        <f t="shared" si="34"/>
        <v>22961.719189185576</v>
      </c>
      <c r="Z58" s="23">
        <f>-(Données!I$51*1E-24*H58+Données!F$51)*Y58+Données!F$48*Q58</f>
        <v>-2.2840088285521568E-5</v>
      </c>
      <c r="AA58" s="15">
        <f t="shared" si="35"/>
        <v>23007.807134393988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3169964366479091.5</v>
      </c>
      <c r="I59" s="40">
        <f t="shared" si="26"/>
        <v>7.9091555167724596</v>
      </c>
      <c r="J59" s="21">
        <f>-(Données!I$44*1E-24*H59+Données!F$44)*I59</f>
        <v>-4.6034511490543582E-8</v>
      </c>
      <c r="K59" s="42">
        <f t="shared" si="27"/>
        <v>3100.5456461962981</v>
      </c>
      <c r="L59" s="23">
        <f>-(Données!I$45*1E-24*H59+Données!F$45)*K59+(I59*Données!H$44*1E-24*H59)+(Données!H$51*1E-24*H59)*Y59</f>
        <v>-2.6094328573312958E-6</v>
      </c>
      <c r="M59" s="40">
        <f t="shared" si="28"/>
        <v>1351.0982368578111</v>
      </c>
      <c r="N59" s="21">
        <f>-(Données!I$46*1E-24*H59+Données!F$46)*M59+Données!H$45*1E-24*H59*K59</f>
        <v>7.954548788361607E-7</v>
      </c>
      <c r="O59" s="42">
        <f t="shared" si="29"/>
        <v>187.79681900503789</v>
      </c>
      <c r="P59" s="23">
        <f>-(Données!I$47*1E-24*H59+Données!F$47)*O59+(Données!H$46*1E-24*H59)*M59</f>
        <v>-5.1864866201441917E-8</v>
      </c>
      <c r="Q59" s="40">
        <f t="shared" si="30"/>
        <v>94.16583244812648</v>
      </c>
      <c r="R59" s="43">
        <f>-(Données!I$48*1E-24*H59+Données!F$48)*Q59+Données!H$47*1E-24*H59*O59</f>
        <v>4.4321207696034687E-8</v>
      </c>
      <c r="S59" s="42">
        <f t="shared" si="31"/>
        <v>49.813976576341808</v>
      </c>
      <c r="T59" s="22">
        <f>-(Données!I$49*1E-24*H59+Données!F$49)*S59+Données!F$47*O59</f>
        <v>-2.9177277824464148E-8</v>
      </c>
      <c r="U59" s="28">
        <f t="shared" si="32"/>
        <v>4791.329666600388</v>
      </c>
      <c r="V59" s="19"/>
      <c r="W59" s="40">
        <f t="shared" si="33"/>
        <v>45.191226423940918</v>
      </c>
      <c r="X59" s="21">
        <f>-(Données!I$50*1E-24*H59+Données!F$50)*W59+Données!F$45*K59</f>
        <v>-3.3452936582907351E-7</v>
      </c>
      <c r="Y59" s="42">
        <f t="shared" si="34"/>
        <v>22901.695437171227</v>
      </c>
      <c r="Z59" s="23">
        <f>-(Données!I$51*1E-24*H59+Données!F$51)*Y59+Données!F$48*Q59</f>
        <v>-2.2780382465007566E-5</v>
      </c>
      <c r="AA59" s="15">
        <f t="shared" si="35"/>
        <v>22946.886663595167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3169964366479091.5</v>
      </c>
      <c r="I60" s="40">
        <f t="shared" si="26"/>
        <v>7.7881768205753108</v>
      </c>
      <c r="J60" s="21">
        <f>-(Données!I$44*1E-24*H60+Données!F$44)*I60</f>
        <v>-4.5330366127819535E-8</v>
      </c>
      <c r="K60" s="42">
        <f t="shared" si="27"/>
        <v>3093.6880566472314</v>
      </c>
      <c r="L60" s="23">
        <f>-(Données!I$45*1E-24*H60+Données!F$45)*K60+(I60*Données!H$44*1E-24*H60)+(Données!H$51*1E-24*H60)*Y60</f>
        <v>-2.6115430179697138E-6</v>
      </c>
      <c r="M60" s="40">
        <f t="shared" si="28"/>
        <v>1353.1886922793926</v>
      </c>
      <c r="N60" s="21">
        <f>-(Données!I$46*1E-24*H60+Données!F$46)*M60+Données!H$45*1E-24*H60*K60</f>
        <v>7.7969073580666408E-7</v>
      </c>
      <c r="O60" s="42">
        <f t="shared" si="29"/>
        <v>187.6605181366605</v>
      </c>
      <c r="P60" s="23">
        <f>-(Données!I$47*1E-24*H60+Données!F$47)*O60+(Données!H$46*1E-24*H60)*M60</f>
        <v>-4.7383115811272925E-8</v>
      </c>
      <c r="Q60" s="40">
        <f t="shared" si="30"/>
        <v>94.282308581951654</v>
      </c>
      <c r="R60" s="43">
        <f>-(Données!I$48*1E-24*H60+Données!F$48)*Q60+Données!H$47*1E-24*H60*O60</f>
        <v>4.3850859032320109E-8</v>
      </c>
      <c r="S60" s="42">
        <f t="shared" si="31"/>
        <v>49.73729869021912</v>
      </c>
      <c r="T60" s="22">
        <f>-(Données!I$49*1E-24*H60+Données!F$49)*S60+Données!F$47*O60</f>
        <v>-2.8897960272540169E-8</v>
      </c>
      <c r="U60" s="28">
        <f t="shared" si="32"/>
        <v>4786.3450511560304</v>
      </c>
      <c r="V60" s="19"/>
      <c r="W60" s="40">
        <f t="shared" si="33"/>
        <v>44.312083250542116</v>
      </c>
      <c r="X60" s="21">
        <f>-(Données!I$50*1E-24*H60+Données!F$50)*W60+Données!F$45*K60</f>
        <v>-3.2797274692630321E-7</v>
      </c>
      <c r="Y60" s="42">
        <f t="shared" si="34"/>
        <v>22841.828592053189</v>
      </c>
      <c r="Z60" s="23">
        <f>-(Données!I$51*1E-24*H60+Données!F$51)*Y60+Données!F$48*Q60</f>
        <v>-2.2720832720349038E-5</v>
      </c>
      <c r="AA60" s="15">
        <f t="shared" si="35"/>
        <v>22886.14067530373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3169964366479091.5</v>
      </c>
      <c r="I61" s="40">
        <f t="shared" si="26"/>
        <v>7.6690486183914013</v>
      </c>
      <c r="J61" s="21">
        <f>-(Données!I$44*1E-24*H61+Données!F$44)*I61</f>
        <v>-4.4636991395124828E-8</v>
      </c>
      <c r="K61" s="42">
        <f t="shared" si="27"/>
        <v>3086.8249215960068</v>
      </c>
      <c r="L61" s="23">
        <f>-(Données!I$45*1E-24*H61+Données!F$45)*K61+(I61*Données!H$44*1E-24*H61)+(Données!H$51*1E-24*H61)*Y61</f>
        <v>-2.6134801738777748E-6</v>
      </c>
      <c r="M61" s="40">
        <f t="shared" si="28"/>
        <v>1355.2377195330926</v>
      </c>
      <c r="N61" s="21">
        <f>-(Données!I$46*1E-24*H61+Données!F$46)*M61+Données!H$45*1E-24*H61*K61</f>
        <v>7.6403274632439562E-7</v>
      </c>
      <c r="O61" s="42">
        <f t="shared" si="29"/>
        <v>187.53599530830849</v>
      </c>
      <c r="P61" s="23">
        <f>-(Données!I$47*1E-24*H61+Données!F$47)*O61+(Données!H$46*1E-24*H61)*M61</f>
        <v>-4.3087190034464469E-8</v>
      </c>
      <c r="Q61" s="40">
        <f t="shared" si="30"/>
        <v>94.397548639488591</v>
      </c>
      <c r="R61" s="43">
        <f>-(Données!I$48*1E-24*H61+Données!F$48)*Q61+Données!H$47*1E-24*H61*O61</f>
        <v>4.3400222308916717E-8</v>
      </c>
      <c r="S61" s="42">
        <f t="shared" si="31"/>
        <v>49.661354850622885</v>
      </c>
      <c r="T61" s="22">
        <f>-(Données!I$49*1E-24*H61+Données!F$49)*S61+Données!F$47*O61</f>
        <v>-2.8605247090347452E-8</v>
      </c>
      <c r="U61" s="28">
        <f t="shared" si="32"/>
        <v>4781.3265885459114</v>
      </c>
      <c r="V61" s="19"/>
      <c r="W61" s="40">
        <f t="shared" si="33"/>
        <v>43.45017087161979</v>
      </c>
      <c r="X61" s="21">
        <f>-(Données!I$50*1E-24*H61+Données!F$50)*W61+Données!F$45*K61</f>
        <v>-3.2154476226788144E-7</v>
      </c>
      <c r="Y61" s="42">
        <f t="shared" si="34"/>
        <v>22782.11824366411</v>
      </c>
      <c r="Z61" s="23">
        <f>-(Données!I$51*1E-24*H61+Données!F$51)*Y61+Données!F$48*Q61</f>
        <v>-2.2661438643548064E-5</v>
      </c>
      <c r="AA61" s="15">
        <f t="shared" si="35"/>
        <v>22825.56841453573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3169964366479091.5</v>
      </c>
      <c r="I62" s="40">
        <f t="shared" si="26"/>
        <v>7.5517426050050132</v>
      </c>
      <c r="J62" s="21">
        <f>-(Données!I$44*1E-24*H62+Données!F$44)*I62</f>
        <v>-4.3954222544557425E-8</v>
      </c>
      <c r="K62" s="42">
        <f t="shared" si="27"/>
        <v>3079.9566956990561</v>
      </c>
      <c r="L62" s="23">
        <f>-(Données!I$45*1E-24*H62+Données!F$45)*K62+(I62*Données!H$44*1E-24*H62)+(Données!H$51*1E-24*H62)*Y62</f>
        <v>-2.6152479097716343E-6</v>
      </c>
      <c r="M62" s="40">
        <f t="shared" si="28"/>
        <v>1357.2455975904331</v>
      </c>
      <c r="N62" s="21">
        <f>-(Données!I$46*1E-24*H62+Données!F$46)*M62+Données!H$45*1E-24*H62*K62</f>
        <v>7.4848080408625881E-7</v>
      </c>
      <c r="O62" s="42">
        <f t="shared" si="29"/>
        <v>187.4227621728979</v>
      </c>
      <c r="P62" s="23">
        <f>-(Données!I$47*1E-24*H62+Données!F$47)*O62+(Données!H$46*1E-24*H62)*M62</f>
        <v>-3.8971466106993822E-8</v>
      </c>
      <c r="Q62" s="40">
        <f t="shared" si="30"/>
        <v>94.51160442371642</v>
      </c>
      <c r="R62" s="43">
        <f>-(Données!I$48*1E-24*H62+Données!F$48)*Q62+Données!H$47*1E-24*H62*O62</f>
        <v>4.2968478910258641E-8</v>
      </c>
      <c r="S62" s="42">
        <f t="shared" si="31"/>
        <v>49.586180261269455</v>
      </c>
      <c r="T62" s="22">
        <f>-(Données!I$49*1E-24*H62+Données!F$49)*S62+Données!F$47*O62</f>
        <v>-2.8300111826300321E-8</v>
      </c>
      <c r="U62" s="28">
        <f t="shared" si="32"/>
        <v>4776.2745827523786</v>
      </c>
      <c r="V62" s="19"/>
      <c r="W62" s="40">
        <f t="shared" si="33"/>
        <v>42.605151236379797</v>
      </c>
      <c r="X62" s="21">
        <f>-(Données!I$50*1E-24*H62+Données!F$50)*W62+Données!F$45*K62</f>
        <v>-3.1524288786448505E-7</v>
      </c>
      <c r="Y62" s="42">
        <f t="shared" si="34"/>
        <v>22722.563982908865</v>
      </c>
      <c r="Z62" s="23">
        <f>-(Données!I$51*1E-24*H62+Données!F$51)*Y62+Données!F$48*Q62</f>
        <v>-2.2602199827673419E-5</v>
      </c>
      <c r="AA62" s="15">
        <f t="shared" si="35"/>
        <v>22765.169134145246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3169964366479091.5</v>
      </c>
      <c r="I63" s="40">
        <f t="shared" si="26"/>
        <v>7.4362309081579161</v>
      </c>
      <c r="J63" s="21">
        <f>-(Données!I$44*1E-24*H63+Données!F$44)*I63</f>
        <v>-4.3281897348204498E-8</v>
      </c>
      <c r="K63" s="42">
        <f t="shared" si="27"/>
        <v>3073.0838241921761</v>
      </c>
      <c r="L63" s="23">
        <f>-(Données!I$45*1E-24*H63+Données!F$45)*K63+(I63*Données!H$44*1E-24*H63)+(Données!H$51*1E-24*H63)*Y63</f>
        <v>-2.6168497425381305E-6</v>
      </c>
      <c r="M63" s="40">
        <f t="shared" si="28"/>
        <v>1359.2126051435719</v>
      </c>
      <c r="N63" s="21">
        <f>-(Données!I$46*1E-24*H63+Données!F$46)*M63+Données!H$45*1E-24*H63*K63</f>
        <v>7.3303478982250023E-7</v>
      </c>
      <c r="O63" s="42">
        <f t="shared" si="29"/>
        <v>187.32034515996872</v>
      </c>
      <c r="P63" s="23">
        <f>-(Données!I$47*1E-24*H63+Données!F$47)*O63+(Données!H$46*1E-24*H63)*M63</f>
        <v>-3.5030479589976454E-8</v>
      </c>
      <c r="Q63" s="40">
        <f t="shared" si="30"/>
        <v>94.624525586292577</v>
      </c>
      <c r="R63" s="43">
        <f>-(Données!I$48*1E-24*H63+Données!F$48)*Q63+Données!H$47*1E-24*H63*O63</f>
        <v>4.2554836375017842E-8</v>
      </c>
      <c r="S63" s="42">
        <f t="shared" si="31"/>
        <v>49.511807567389937</v>
      </c>
      <c r="T63" s="22">
        <f>-(Données!I$49*1E-24*H63+Données!F$49)*S63+Données!F$47*O63</f>
        <v>-2.7983489058341744E-8</v>
      </c>
      <c r="U63" s="28">
        <f t="shared" si="32"/>
        <v>4771.1893385575568</v>
      </c>
      <c r="V63" s="19"/>
      <c r="W63" s="40">
        <f t="shared" si="33"/>
        <v>41.776692927071927</v>
      </c>
      <c r="X63" s="21">
        <f>-(Données!I$50*1E-24*H63+Données!F$50)*W63+Données!F$45*K63</f>
        <v>-3.0906464925155536E-7</v>
      </c>
      <c r="Y63" s="42">
        <f t="shared" si="34"/>
        <v>22663.16540176174</v>
      </c>
      <c r="Z63" s="23">
        <f>-(Données!I$51*1E-24*H63+Données!F$51)*Y63+Données!F$48*Q63</f>
        <v>-2.2543115866857732E-5</v>
      </c>
      <c r="AA63" s="15">
        <f t="shared" si="35"/>
        <v>22704.942094688813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3169964366479091.5</v>
      </c>
      <c r="I64" s="40">
        <f t="shared" si="26"/>
        <v>7.3224860819268347</v>
      </c>
      <c r="J64" s="21">
        <f>-(Données!I$44*1E-24*H64+Données!F$44)*I64</f>
        <v>-4.2619856059596564E-8</v>
      </c>
      <c r="K64" s="42">
        <f t="shared" si="27"/>
        <v>3066.2067430687857</v>
      </c>
      <c r="L64" s="23">
        <f>-(Données!I$45*1E-24*H64+Données!F$45)*K64+(I64*Données!H$44*1E-24*H64)+(Données!H$51*1E-24*H64)*Y64</f>
        <v>-2.618289122501115E-6</v>
      </c>
      <c r="M64" s="40">
        <f t="shared" si="28"/>
        <v>1361.1390205712255</v>
      </c>
      <c r="N64" s="21">
        <f>-(Données!I$46*1E-24*H64+Données!F$46)*M64+Données!H$45*1E-24*H64*K64</f>
        <v>7.1769457165061048E-7</v>
      </c>
      <c r="O64" s="42">
        <f t="shared" si="29"/>
        <v>187.22828505960626</v>
      </c>
      <c r="P64" s="23">
        <f>-(Données!I$47*1E-24*H64+Données!F$47)*O64+(Données!H$46*1E-24*H64)*M64</f>
        <v>-3.1258919972256789E-8</v>
      </c>
      <c r="Q64" s="40">
        <f t="shared" si="30"/>
        <v>94.736359696286129</v>
      </c>
      <c r="R64" s="43">
        <f>-(Données!I$48*1E-24*H64+Données!F$48)*Q64+Données!H$47*1E-24*H64*O64</f>
        <v>4.2158527640317341E-8</v>
      </c>
      <c r="S64" s="42">
        <f t="shared" si="31"/>
        <v>49.438266958144617</v>
      </c>
      <c r="T64" s="22">
        <f>-(Données!I$49*1E-24*H64+Données!F$49)*S64+Données!F$47*O64</f>
        <v>-2.7656275684749545E-8</v>
      </c>
      <c r="U64" s="28">
        <f t="shared" si="32"/>
        <v>4766.0711614359752</v>
      </c>
      <c r="V64" s="19"/>
      <c r="W64" s="40">
        <f t="shared" si="33"/>
        <v>40.964471028838837</v>
      </c>
      <c r="X64" s="21">
        <f>-(Données!I$50*1E-24*H64+Données!F$50)*W64+Données!F$45*K64</f>
        <v>-3.0300762051754863E-7</v>
      </c>
      <c r="Y64" s="42">
        <f t="shared" si="34"/>
        <v>22603.922093263638</v>
      </c>
      <c r="Z64" s="23">
        <f>-(Données!I$51*1E-24*H64+Données!F$51)*Y64+Données!F$48*Q64</f>
        <v>-2.2484186356294732E-5</v>
      </c>
      <c r="AA64" s="15">
        <f t="shared" si="35"/>
        <v>22644.886564292476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3169964366479091.5</v>
      </c>
      <c r="I65" s="40">
        <f t="shared" si="26"/>
        <v>7.2104811002022151</v>
      </c>
      <c r="J65" s="21">
        <f>-(Données!I$44*1E-24*H65+Données!F$44)*I65</f>
        <v>-4.1967941375751253E-8</v>
      </c>
      <c r="K65" s="42">
        <f t="shared" si="27"/>
        <v>3059.3258792548527</v>
      </c>
      <c r="L65" s="23">
        <f>-(Données!I$45*1E-24*H65+Données!F$45)*K65+(I65*Données!H$44*1E-24*H65)+(Données!H$51*1E-24*H65)*Y65</f>
        <v>-2.6195694346642773E-6</v>
      </c>
      <c r="M65" s="40">
        <f t="shared" si="28"/>
        <v>1363.0251219055233</v>
      </c>
      <c r="N65" s="21">
        <f>-(Données!I$46*1E-24*H65+Données!F$46)*M65+Données!H$45*1E-24*H65*K65</f>
        <v>7.024600054217984E-7</v>
      </c>
      <c r="O65" s="42">
        <f t="shared" si="29"/>
        <v>187.14613661791918</v>
      </c>
      <c r="P65" s="23">
        <f>-(Données!I$47*1E-24*H65+Données!F$47)*O65+(Données!H$46*1E-24*H65)*M65</f>
        <v>-2.765162639516441E-8</v>
      </c>
      <c r="Q65" s="40">
        <f t="shared" si="30"/>
        <v>94.847152306924883</v>
      </c>
      <c r="R65" s="43">
        <f>-(Données!I$48*1E-24*H65+Données!F$48)*Q65+Données!H$47*1E-24*H65*O65</f>
        <v>4.1778810307120322E-8</v>
      </c>
      <c r="S65" s="42">
        <f t="shared" si="31"/>
        <v>49.365586265645092</v>
      </c>
      <c r="T65" s="22">
        <f>-(Données!I$49*1E-24*H65+Données!F$49)*S65+Données!F$47*O65</f>
        <v>-2.7319332175601651E-8</v>
      </c>
      <c r="U65" s="28">
        <f t="shared" si="32"/>
        <v>4760.9203574510675</v>
      </c>
      <c r="V65" s="19"/>
      <c r="W65" s="40">
        <f t="shared" si="33"/>
        <v>40.168167002118722</v>
      </c>
      <c r="X65" s="21">
        <f>-(Données!I$50*1E-24*H65+Données!F$50)*W65+Données!F$45*K65</f>
        <v>-2.9706942335125236E-7</v>
      </c>
      <c r="Y65" s="42">
        <f t="shared" si="34"/>
        <v>22544.833651519297</v>
      </c>
      <c r="Z65" s="23">
        <f>-(Données!I$51*1E-24*H65+Données!F$51)*Y65+Données!F$48*Q65</f>
        <v>-2.2425410892236468E-5</v>
      </c>
      <c r="AA65" s="15">
        <f t="shared" si="35"/>
        <v>22585.001818521414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3169964366479091.5</v>
      </c>
      <c r="I66" s="40">
        <f t="shared" si="26"/>
        <v>7.1001893502667413</v>
      </c>
      <c r="J66" s="21">
        <f>-(Données!I$44*1E-24*H66+Données!F$44)*I66</f>
        <v>-4.1325998399797654E-8</v>
      </c>
      <c r="K66" s="42">
        <f t="shared" si="27"/>
        <v>3052.4416507805549</v>
      </c>
      <c r="L66" s="23">
        <f>-(Données!I$45*1E-24*H66+Données!F$45)*K66+(I66*Données!H$44*1E-24*H66)+(Données!H$51*1E-24*H66)*Y66</f>
        <v>-2.6206939999307809E-6</v>
      </c>
      <c r="M66" s="40">
        <f t="shared" si="28"/>
        <v>1364.8711867997717</v>
      </c>
      <c r="N66" s="21">
        <f>-(Données!I$46*1E-24*H66+Données!F$46)*M66+Données!H$45*1E-24*H66*K66</f>
        <v>6.8733093506020017E-7</v>
      </c>
      <c r="O66" s="42">
        <f t="shared" si="29"/>
        <v>187.07346814375268</v>
      </c>
      <c r="P66" s="23">
        <f>-(Données!I$47*1E-24*H66+Données!F$47)*O66+(Données!H$46*1E-24*H66)*M66</f>
        <v>-2.4203583496022169E-8</v>
      </c>
      <c r="Q66" s="40">
        <f t="shared" si="30"/>
        <v>94.956947020412002</v>
      </c>
      <c r="R66" s="43">
        <f>-(Données!I$48*1E-24*H66+Données!F$48)*Q66+Données!H$47*1E-24*H66*O66</f>
        <v>4.14149659262033E-8</v>
      </c>
      <c r="S66" s="42">
        <f t="shared" si="31"/>
        <v>49.29379106068761</v>
      </c>
      <c r="T66" s="22">
        <f>-(Données!I$49*1E-24*H66+Données!F$49)*S66+Données!F$47*O66</f>
        <v>-2.6973483786052787E-8</v>
      </c>
      <c r="U66" s="28">
        <f t="shared" si="32"/>
        <v>4755.7372331554461</v>
      </c>
      <c r="V66" s="19"/>
      <c r="W66" s="40">
        <f t="shared" si="33"/>
        <v>39.387468557551628</v>
      </c>
      <c r="X66" s="21">
        <f>-(Données!I$50*1E-24*H66+Données!F$50)*W66+Données!F$45*K66</f>
        <v>-2.9124772610779498E-7</v>
      </c>
      <c r="Y66" s="42">
        <f t="shared" si="34"/>
        <v>22485.8996716945</v>
      </c>
      <c r="Z66" s="23">
        <f>-(Données!I$51*1E-24*H66+Données!F$51)*Y66+Données!F$48*Q66</f>
        <v>-2.236678907199052E-5</v>
      </c>
      <c r="AA66" s="15">
        <f t="shared" si="35"/>
        <v>22525.28714025205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3169964366479091.5</v>
      </c>
      <c r="I67" s="40">
        <f t="shared" si="26"/>
        <v>6.9915846264720729</v>
      </c>
      <c r="J67" s="21">
        <f>-(Données!I$44*1E-24*H67+Données!F$44)*I67</f>
        <v>-4.0693874604172355E-8</v>
      </c>
      <c r="K67" s="42">
        <f t="shared" si="27"/>
        <v>3045.5544669487367</v>
      </c>
      <c r="L67" s="23">
        <f>-(Données!I$45*1E-24*H67+Données!F$45)*K67+(I67*Données!H$44*1E-24*H67)+(Données!H$51*1E-24*H67)*Y67</f>
        <v>-2.621666076300219E-6</v>
      </c>
      <c r="M67" s="40">
        <f t="shared" si="28"/>
        <v>1366.6774924971101</v>
      </c>
      <c r="N67" s="21">
        <f>-(Données!I$46*1E-24*H67+Données!F$46)*M67+Données!H$45*1E-24*H67*K67</f>
        <v>6.7230719289494933E-7</v>
      </c>
      <c r="O67" s="42">
        <f t="shared" si="29"/>
        <v>187.00986112632512</v>
      </c>
      <c r="P67" s="23">
        <f>-(Données!I$47*1E-24*H67+Données!F$47)*O67+(Données!H$46*1E-24*H67)*M67</f>
        <v>-2.0909917367107848E-8</v>
      </c>
      <c r="Q67" s="40">
        <f t="shared" si="30"/>
        <v>95.065785550866067</v>
      </c>
      <c r="R67" s="43">
        <f>-(Données!I$48*1E-24*H67+Données!F$48)*Q67+Données!H$47*1E-24*H67*O67</f>
        <v>4.1066299304142087E-8</v>
      </c>
      <c r="S67" s="42">
        <f t="shared" si="31"/>
        <v>49.222904745297861</v>
      </c>
      <c r="T67" s="22">
        <f>-(Données!I$49*1E-24*H67+Données!F$49)*S67+Données!F$47*O67</f>
        <v>-2.6619521732538199E-8</v>
      </c>
      <c r="U67" s="28">
        <f t="shared" si="32"/>
        <v>4750.5220954948072</v>
      </c>
      <c r="V67" s="19"/>
      <c r="W67" s="40">
        <f t="shared" si="33"/>
        <v>38.622069533340344</v>
      </c>
      <c r="X67" s="21">
        <f>-(Données!I$50*1E-24*H67+Données!F$50)*W67+Données!F$45*K67</f>
        <v>-2.8554024289298229E-7</v>
      </c>
      <c r="Y67" s="42">
        <f t="shared" si="34"/>
        <v>22427.119750013309</v>
      </c>
      <c r="Z67" s="23">
        <f>-(Données!I$51*1E-24*H67+Données!F$51)*Y67+Données!F$48*Q67</f>
        <v>-2.2308320493917257E-5</v>
      </c>
      <c r="AA67" s="15">
        <f t="shared" si="35"/>
        <v>22465.741819546649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3169964366479091.5</v>
      </c>
      <c r="I68" s="40">
        <f t="shared" si="26"/>
        <v>6.8846411240123082</v>
      </c>
      <c r="J68" s="21">
        <f>-(Données!I$44*1E-24*H68+Données!F$44)*I68</f>
        <v>-4.0071419794378454E-8</v>
      </c>
      <c r="K68" s="42">
        <f t="shared" si="27"/>
        <v>3038.6647285002196</v>
      </c>
      <c r="L68" s="23">
        <f>-(Données!I$45*1E-24*H68+Données!F$45)*K68+(I68*Données!H$44*1E-24*H68)+(Données!H$51*1E-24*H68)*Y68</f>
        <v>-2.6224888600433204E-6</v>
      </c>
      <c r="M68" s="40">
        <f t="shared" si="28"/>
        <v>1368.4443158000379</v>
      </c>
      <c r="N68" s="21">
        <f>-(Données!I$46*1E-24*H68+Données!F$46)*M68+Données!H$45*1E-24*H68*K68</f>
        <v>6.5738859998525992E-7</v>
      </c>
      <c r="O68" s="42">
        <f t="shared" si="29"/>
        <v>186.95490986348437</v>
      </c>
      <c r="P68" s="23">
        <f>-(Données!I$47*1E-24*H68+Données!F$47)*O68+(Données!H$46*1E-24*H68)*M68</f>
        <v>-1.7765891626846842E-8</v>
      </c>
      <c r="Q68" s="40">
        <f t="shared" si="30"/>
        <v>95.173707785437358</v>
      </c>
      <c r="R68" s="43">
        <f>-(Données!I$48*1E-24*H68+Données!F$48)*Q68+Données!H$47*1E-24*H68*O68</f>
        <v>4.0732137828753279E-8</v>
      </c>
      <c r="S68" s="42">
        <f t="shared" si="31"/>
        <v>49.152948642184754</v>
      </c>
      <c r="T68" s="22">
        <f>-(Données!I$49*1E-24*H68+Données!F$49)*S68+Données!F$47*O68</f>
        <v>-2.6258204332994243E-8</v>
      </c>
      <c r="U68" s="28">
        <f t="shared" si="32"/>
        <v>4745.2752517153767</v>
      </c>
      <c r="V68" s="19"/>
      <c r="W68" s="40">
        <f t="shared" si="33"/>
        <v>37.871669775017587</v>
      </c>
      <c r="X68" s="21">
        <f>-(Données!I$50*1E-24*H68+Données!F$50)*W68+Données!F$45*K68</f>
        <v>-2.7994473266559951E-7</v>
      </c>
      <c r="Y68" s="42">
        <f t="shared" si="34"/>
        <v>22368.493483755294</v>
      </c>
      <c r="Z68" s="23">
        <f>-(Données!I$51*1E-24*H68+Données!F$51)*Y68+Données!F$48*Q68</f>
        <v>-2.2250004757427076E-5</v>
      </c>
      <c r="AA68" s="15">
        <f t="shared" si="35"/>
        <v>22406.365153530311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3169964366479091.5</v>
      </c>
      <c r="I69" s="40">
        <f t="shared" si="26"/>
        <v>6.779333432792682</v>
      </c>
      <c r="J69" s="21">
        <f>-(Données!I$44*1E-24*H69+Données!F$44)*I69</f>
        <v>-3.9458486073298861E-8</v>
      </c>
      <c r="K69" s="42">
        <f t="shared" si="27"/>
        <v>3031.7728277760257</v>
      </c>
      <c r="L69" s="23">
        <f>-(Données!I$45*1E-24*H69+Données!F$45)*K69+(I69*Données!H$44*1E-24*H69)+(Données!H$51*1E-24*H69)*Y69</f>
        <v>-2.6231654868547207E-6</v>
      </c>
      <c r="M69" s="40">
        <f t="shared" si="28"/>
        <v>1370.1719330407991</v>
      </c>
      <c r="N69" s="21">
        <f>-(Données!I$46*1E-24*H69+Données!F$46)*M69+Données!H$45*1E-24*H69*K69</f>
        <v>6.4257496643864705E-7</v>
      </c>
      <c r="O69" s="42">
        <f t="shared" si="29"/>
        <v>186.90822110028901</v>
      </c>
      <c r="P69" s="23">
        <f>-(Données!I$47*1E-24*H69+Données!F$47)*O69+(Données!H$46*1E-24*H69)*M69</f>
        <v>-1.4766903600113269E-8</v>
      </c>
      <c r="Q69" s="40">
        <f t="shared" si="30"/>
        <v>95.280751843651316</v>
      </c>
      <c r="R69" s="43">
        <f>-(Données!I$48*1E-24*H69+Données!F$48)*Q69+Données!H$47*1E-24*H69*O69</f>
        <v>4.0411830813448961E-8</v>
      </c>
      <c r="S69" s="42">
        <f t="shared" si="31"/>
        <v>49.083942081197648</v>
      </c>
      <c r="T69" s="22">
        <f>-(Données!I$49*1E-24*H69+Données!F$49)*S69+Données!F$47*O69</f>
        <v>-2.5890258112147227E-8</v>
      </c>
      <c r="U69" s="28">
        <f t="shared" si="32"/>
        <v>4739.9970092747553</v>
      </c>
      <c r="V69" s="19"/>
      <c r="W69" s="40">
        <f t="shared" si="33"/>
        <v>37.135975017572392</v>
      </c>
      <c r="X69" s="21">
        <f>-(Données!I$50*1E-24*H69+Données!F$50)*W69+Données!F$45*K69</f>
        <v>-2.7445899835732784E-7</v>
      </c>
      <c r="Y69" s="42">
        <f t="shared" si="34"/>
        <v>22310.020471252774</v>
      </c>
      <c r="Z69" s="23">
        <f>-(Données!I$51*1E-24*H69+Données!F$51)*Y69+Données!F$48*Q69</f>
        <v>-2.219184146297764E-5</v>
      </c>
      <c r="AA69" s="15">
        <f t="shared" si="35"/>
        <v>22347.156446270346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3169964366479091.5</v>
      </c>
      <c r="I70" s="40">
        <f t="shared" si="26"/>
        <v>6.6756365313920529</v>
      </c>
      <c r="J70" s="21">
        <f>-(Données!I$44*1E-24*H70+Données!F$44)*I70</f>
        <v>-3.8854927806055557E-8</v>
      </c>
      <c r="K70" s="42">
        <f t="shared" si="27"/>
        <v>3024.8791488765714</v>
      </c>
      <c r="L70" s="23">
        <f>-(Données!I$45*1E-24*H70+Données!F$45)*K70+(I70*Données!H$44*1E-24*H70)+(Données!H$51*1E-24*H70)*Y70</f>
        <v>-2.6236990329843546E-6</v>
      </c>
      <c r="M70" s="40">
        <f t="shared" si="28"/>
        <v>1371.8606200525999</v>
      </c>
      <c r="N70" s="21">
        <f>-(Données!I$46*1E-24*H70+Données!F$46)*M70+Données!H$45*1E-24*H70*K70</f>
        <v>6.2786609172242538E-7</v>
      </c>
      <c r="O70" s="42">
        <f t="shared" si="29"/>
        <v>186.8694136776279</v>
      </c>
      <c r="P70" s="23">
        <f>-(Données!I$47*1E-24*H70+Données!F$47)*O70+(Données!H$46*1E-24*H70)*M70</f>
        <v>-1.190848060460121E-8</v>
      </c>
      <c r="Q70" s="40">
        <f t="shared" si="30"/>
        <v>95.386954135029058</v>
      </c>
      <c r="R70" s="43">
        <f>-(Données!I$48*1E-24*H70+Données!F$48)*Q70+Données!H$47*1E-24*H70*O70</f>
        <v>4.0104748859979303E-8</v>
      </c>
      <c r="S70" s="42">
        <f t="shared" si="31"/>
        <v>49.015902482878928</v>
      </c>
      <c r="T70" s="22">
        <f>-(Données!I$49*1E-24*H70+Données!F$49)*S70+Données!F$47*O70</f>
        <v>-2.5516378872897545E-8</v>
      </c>
      <c r="U70" s="28">
        <f t="shared" si="32"/>
        <v>4734.6876757560985</v>
      </c>
      <c r="V70" s="19"/>
      <c r="W70" s="40">
        <f t="shared" si="33"/>
        <v>36.414696769889332</v>
      </c>
      <c r="X70" s="21">
        <f>-(Données!I$50*1E-24*H70+Données!F$50)*W70+Données!F$45*K70</f>
        <v>-2.6908088600992956E-7</v>
      </c>
      <c r="Y70" s="42">
        <f t="shared" si="34"/>
        <v>22251.700311888068</v>
      </c>
      <c r="Z70" s="23">
        <f>-(Données!I$51*1E-24*H70+Données!F$51)*Y70+Données!F$48*Q70</f>
        <v>-2.2133830212071158E-5</v>
      </c>
      <c r="AA70" s="15">
        <f t="shared" si="35"/>
        <v>22288.115008657958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3169964366479091.5</v>
      </c>
      <c r="I71" s="40">
        <f t="shared" si="26"/>
        <v>6.5735257811177386</v>
      </c>
      <c r="J71" s="21">
        <f>-(Données!I$44*1E-24*H71+Données!F$44)*I71</f>
        <v>-3.8260601585406257E-8</v>
      </c>
      <c r="K71" s="42">
        <f t="shared" si="27"/>
        <v>3017.9840678178884</v>
      </c>
      <c r="L71" s="23">
        <f>-(Données!I$45*1E-24*H71+Données!F$45)*K71+(I71*Données!H$44*1E-24*H71)+(Données!H$51*1E-24*H71)*Y71</f>
        <v>-2.6240925163477159E-6</v>
      </c>
      <c r="M71" s="40">
        <f t="shared" si="28"/>
        <v>1373.5106521416465</v>
      </c>
      <c r="N71" s="21">
        <f>-(Données!I$46*1E-24*H71+Données!F$46)*M71+Données!H$45*1E-24*H71*K71</f>
        <v>6.1326176496861894E-7</v>
      </c>
      <c r="O71" s="42">
        <f t="shared" si="29"/>
        <v>186.838118190599</v>
      </c>
      <c r="P71" s="23">
        <f>-(Données!I$47*1E-24*H71+Données!F$47)*O71+(Données!H$46*1E-24*H71)*M71</f>
        <v>-9.1862763403124626E-9</v>
      </c>
      <c r="Q71" s="40">
        <f t="shared" si="30"/>
        <v>95.49234941503309</v>
      </c>
      <c r="R71" s="43">
        <f>-(Données!I$48*1E-24*H71+Données!F$48)*Q71+Données!H$47*1E-24*H71*O71</f>
        <v>3.9810283239051178E-8</v>
      </c>
      <c r="S71" s="42">
        <f t="shared" si="31"/>
        <v>48.948845439200952</v>
      </c>
      <c r="T71" s="22">
        <f>-(Données!I$49*1E-24*H71+Données!F$49)*S71+Données!F$47*O71</f>
        <v>-2.5137232734793237E-8</v>
      </c>
      <c r="U71" s="28">
        <f t="shared" si="32"/>
        <v>4729.3475587854864</v>
      </c>
      <c r="V71" s="19"/>
      <c r="W71" s="40">
        <f t="shared" si="33"/>
        <v>35.707552201455236</v>
      </c>
      <c r="X71" s="21">
        <f>-(Données!I$50*1E-24*H71+Données!F$50)*W71+Données!F$45*K71</f>
        <v>-2.6380828392936243E-7</v>
      </c>
      <c r="Y71" s="42">
        <f t="shared" si="34"/>
        <v>22193.532606090743</v>
      </c>
      <c r="Z71" s="23">
        <f>-(Données!I$51*1E-24*H71+Données!F$51)*Y71+Données!F$48*Q71</f>
        <v>-2.2075970607251633E-5</v>
      </c>
      <c r="AA71" s="15">
        <f t="shared" si="35"/>
        <v>22229.240158292199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3169964366479091.5</v>
      </c>
      <c r="I72" s="40">
        <f t="shared" si="26"/>
        <v>6.4729769201512912</v>
      </c>
      <c r="J72" s="21">
        <f>-(Données!I$44*1E-24*H72+Données!F$44)*I72</f>
        <v>-3.7675366197670467E-8</v>
      </c>
      <c r="K72" s="42">
        <f t="shared" si="27"/>
        <v>3011.0879526849267</v>
      </c>
      <c r="L72" s="23">
        <f>-(Données!I$45*1E-24*H72+Données!F$45)*K72+(I72*Données!H$44*1E-24*H72)+(Données!H$51*1E-24*H72)*Y72</f>
        <v>-2.6243488976155044E-6</v>
      </c>
      <c r="M72" s="40">
        <f t="shared" si="28"/>
        <v>1375.1223040599839</v>
      </c>
      <c r="N72" s="21">
        <f>-(Données!I$46*1E-24*H72+Données!F$46)*M72+Données!H$45*1E-24*H72*K72</f>
        <v>5.9876176527239965E-7</v>
      </c>
      <c r="O72" s="42">
        <f t="shared" si="29"/>
        <v>186.81397665637667</v>
      </c>
      <c r="P72" s="23">
        <f>-(Données!I$47*1E-24*H72+Données!F$47)*O72+(Données!H$46*1E-24*H72)*M72</f>
        <v>-6.5960673792915002E-9</v>
      </c>
      <c r="Q72" s="40">
        <f t="shared" si="30"/>
        <v>95.596970839385321</v>
      </c>
      <c r="R72" s="43">
        <f>-(Données!I$48*1E-24*H72+Données!F$48)*Q72+Données!H$47*1E-24*H72*O72</f>
        <v>3.9527845288324406E-8</v>
      </c>
      <c r="S72" s="42">
        <f t="shared" si="31"/>
        <v>48.882784791573918</v>
      </c>
      <c r="T72" s="22">
        <f>-(Données!I$49*1E-24*H72+Données!F$49)*S72+Données!F$47*O72</f>
        <v>-2.4753457140560618E-8</v>
      </c>
      <c r="U72" s="28">
        <f t="shared" si="32"/>
        <v>4723.9769659523972</v>
      </c>
      <c r="V72" s="19"/>
      <c r="W72" s="40">
        <f t="shared" si="33"/>
        <v>35.014264031288874</v>
      </c>
      <c r="X72" s="21">
        <f>-(Données!I$50*1E-24*H72+Données!F$50)*W72+Données!F$45*K72</f>
        <v>-2.586391218564918E-7</v>
      </c>
      <c r="Y72" s="42">
        <f t="shared" si="34"/>
        <v>22135.516955334886</v>
      </c>
      <c r="Z72" s="23">
        <f>-(Données!I$51*1E-24*H72+Données!F$51)*Y72+Données!F$48*Q72</f>
        <v>-2.201826225210216E-5</v>
      </c>
      <c r="AA72" s="15">
        <f t="shared" si="35"/>
        <v>22170.531219366174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3169964366479091.5</v>
      </c>
      <c r="I73" s="40">
        <f t="shared" si="26"/>
        <v>6.3739660577838135</v>
      </c>
      <c r="J73" s="21">
        <f>-(Données!I$44*1E-24*H73+Données!F$44)*I73</f>
        <v>-3.7099082589176663E-8</v>
      </c>
      <c r="K73" s="42">
        <f t="shared" si="27"/>
        <v>3004.1911637819931</v>
      </c>
      <c r="L73" s="23">
        <f>-(Données!I$45*1E-24*H73+Données!F$45)*K73+(I73*Données!H$44*1E-24*H73)+(Données!H$51*1E-24*H73)*Y73</f>
        <v>-2.624471081282951E-6</v>
      </c>
      <c r="M73" s="40">
        <f t="shared" si="28"/>
        <v>1376.6958499791197</v>
      </c>
      <c r="N73" s="21">
        <f>-(Données!I$46*1E-24*H73+Données!F$46)*M73+Données!H$45*1E-24*H73*K73</f>
        <v>5.8436586198418961E-7</v>
      </c>
      <c r="O73" s="42">
        <f t="shared" si="29"/>
        <v>186.7966421913039</v>
      </c>
      <c r="P73" s="23">
        <f>-(Données!I$47*1E-24*H73+Données!F$47)*O73+(Données!H$46*1E-24*H73)*M73</f>
        <v>-4.1337497528081736E-9</v>
      </c>
      <c r="Q73" s="40">
        <f t="shared" si="30"/>
        <v>95.700850016803031</v>
      </c>
      <c r="R73" s="43">
        <f>-(Données!I$48*1E-24*H73+Données!F$48)*Q73+Données!H$47*1E-24*H73*O73</f>
        <v>3.9256865827302776E-8</v>
      </c>
      <c r="S73" s="42">
        <f t="shared" si="31"/>
        <v>48.817732706208524</v>
      </c>
      <c r="T73" s="22">
        <f>-(Données!I$49*1E-24*H73+Données!F$49)*S73+Données!F$47*O73</f>
        <v>-2.4365661831629953E-8</v>
      </c>
      <c r="U73" s="28">
        <f t="shared" si="32"/>
        <v>4718.5762047332128</v>
      </c>
      <c r="V73" s="19"/>
      <c r="W73" s="40">
        <f t="shared" si="33"/>
        <v>34.334560419050014</v>
      </c>
      <c r="X73" s="21">
        <f>-(Données!I$50*1E-24*H73+Données!F$50)*W73+Données!F$45*K73</f>
        <v>-2.5357137015407408E-7</v>
      </c>
      <c r="Y73" s="42">
        <f t="shared" si="34"/>
        <v>22077.652962136362</v>
      </c>
      <c r="Z73" s="23">
        <f>-(Données!I$51*1E-24*H73+Données!F$51)*Y73+Données!F$48*Q73</f>
        <v>-2.1960704751242166E-5</v>
      </c>
      <c r="AA73" s="15">
        <f t="shared" si="35"/>
        <v>22111.987522555413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3169964366479091.5</v>
      </c>
      <c r="I74" s="40">
        <f t="shared" si="26"/>
        <v>6.2764696687394572</v>
      </c>
      <c r="J74" s="21">
        <f>-(Données!I$44*1E-24*H74+Données!F$44)*I74</f>
        <v>-3.6531613833222748E-8</v>
      </c>
      <c r="K74" s="42">
        <f t="shared" si="27"/>
        <v>2997.2940537803815</v>
      </c>
      <c r="L74" s="23">
        <f>-(Données!I$45*1E-24*H74+Données!F$45)*K74+(I74*Données!H$44*1E-24*H74)+(Données!H$51*1E-24*H74)*Y74</f>
        <v>-2.6244619167192542E-6</v>
      </c>
      <c r="M74" s="40">
        <f t="shared" si="28"/>
        <v>1378.2315634644142</v>
      </c>
      <c r="N74" s="21">
        <f>-(Données!I$46*1E-24*H74+Données!F$46)*M74+Données!H$45*1E-24*H74*K74</f>
        <v>5.7007381499555418E-7</v>
      </c>
      <c r="O74" s="42">
        <f t="shared" si="29"/>
        <v>186.78577869695351</v>
      </c>
      <c r="P74" s="23">
        <f>-(Données!I$47*1E-24*H74+Données!F$47)*O74+(Données!H$46*1E-24*H74)*M74</f>
        <v>-1.7953356332899482E-9</v>
      </c>
      <c r="Q74" s="40">
        <f t="shared" si="30"/>
        <v>95.804017060197182</v>
      </c>
      <c r="R74" s="43">
        <f>-(Données!I$48*1E-24*H74+Données!F$48)*Q74+Données!H$47*1E-24*H74*O74</f>
        <v>3.8996794588649897E-8</v>
      </c>
      <c r="S74" s="42">
        <f t="shared" si="31"/>
        <v>48.753699746915004</v>
      </c>
      <c r="T74" s="22">
        <f>-(Données!I$49*1E-24*H74+Données!F$49)*S74+Données!F$47*O74</f>
        <v>-2.3974429793569069E-8</v>
      </c>
      <c r="U74" s="28">
        <f t="shared" si="32"/>
        <v>4713.145582417601</v>
      </c>
      <c r="V74" s="19"/>
      <c r="W74" s="40">
        <f t="shared" si="33"/>
        <v>33.668174858285106</v>
      </c>
      <c r="X74" s="21">
        <f>-(Données!I$50*1E-24*H74+Données!F$50)*W74+Données!F$45*K74</f>
        <v>-2.4860303900969339E-7</v>
      </c>
      <c r="Y74" s="42">
        <f t="shared" si="34"/>
        <v>22019.940230050099</v>
      </c>
      <c r="Z74" s="23">
        <f>-(Données!I$51*1E-24*H74+Données!F$51)*Y74+Données!F$48*Q74</f>
        <v>-2.1903297710324736E-5</v>
      </c>
      <c r="AA74" s="15">
        <f t="shared" si="35"/>
        <v>22053.608404908384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3169964366479091.5</v>
      </c>
      <c r="I75" s="40">
        <f t="shared" si="26"/>
        <v>6.1804645875857478</v>
      </c>
      <c r="J75" s="21">
        <f>-(Données!I$44*1E-24*H75+Données!F$44)*I75</f>
        <v>-3.5972825097541834E-8</v>
      </c>
      <c r="K75" s="42">
        <f t="shared" si="27"/>
        <v>2990.3969678632434</v>
      </c>
      <c r="L75" s="23">
        <f>-(Données!I$45*1E-24*H75+Données!F$45)*K75+(I75*Données!H$44*1E-24*H75)+(Données!H$51*1E-24*H75)*Y75</f>
        <v>-2.6243241991974771E-6</v>
      </c>
      <c r="M75" s="40">
        <f t="shared" si="28"/>
        <v>1379.7297174502226</v>
      </c>
      <c r="N75" s="21">
        <f>-(Données!I$46*1E-24*H75+Données!F$46)*M75+Données!H$45*1E-24*H75*K75</f>
        <v>5.5588537501899348E-7</v>
      </c>
      <c r="O75" s="42">
        <f t="shared" si="29"/>
        <v>186.78106055490923</v>
      </c>
      <c r="P75" s="23">
        <f>-(Données!I$47*1E-24*H75+Données!F$47)*O75+(Données!H$46*1E-24*H75)*M75</f>
        <v>4.2304989164542708E-10</v>
      </c>
      <c r="Q75" s="40">
        <f t="shared" si="30"/>
        <v>95.906500636376151</v>
      </c>
      <c r="R75" s="43">
        <f>-(Données!I$48*1E-24*H75+Données!F$48)*Q75+Données!H$47*1E-24*H75*O75</f>
        <v>3.8747099665472108E-8</v>
      </c>
      <c r="S75" s="42">
        <f t="shared" si="31"/>
        <v>48.690694945417505</v>
      </c>
      <c r="T75" s="22">
        <f>-(Données!I$49*1E-24*H75+Données!F$49)*S75+Données!F$47*O75</f>
        <v>-2.3580318172309893E-8</v>
      </c>
      <c r="U75" s="28">
        <f t="shared" si="32"/>
        <v>4707.6854060377555</v>
      </c>
      <c r="V75" s="19"/>
      <c r="W75" s="40">
        <f t="shared" si="33"/>
        <v>33.014846071767629</v>
      </c>
      <c r="X75" s="21">
        <f>-(Données!I$50*1E-24*H75+Données!F$50)*W75+Données!F$45*K75</f>
        <v>-2.4373217765433706E-7</v>
      </c>
      <c r="Y75" s="42">
        <f t="shared" si="34"/>
        <v>21962.378363667365</v>
      </c>
      <c r="Z75" s="23">
        <f>-(Données!I$51*1E-24*H75+Données!F$51)*Y75+Données!F$48*Q75</f>
        <v>-2.1846040736033898E-5</v>
      </c>
      <c r="AA75" s="15">
        <f t="shared" si="35"/>
        <v>21995.393209739133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3169964366479091.5</v>
      </c>
      <c r="I76" s="40">
        <f t="shared" si="26"/>
        <v>6.0859280032294079</v>
      </c>
      <c r="J76" s="21">
        <f>-(Données!I$44*1E-24*H76+Données!F$44)*I76</f>
        <v>-3.5422583612265717E-8</v>
      </c>
      <c r="K76" s="42">
        <f t="shared" si="27"/>
        <v>2983.5002438677525</v>
      </c>
      <c r="L76" s="23">
        <f>-(Données!I$45*1E-24*H76+Données!F$45)*K76+(I76*Données!H$44*1E-24*H76)+(Données!H$51*1E-24*H76)*Y76</f>
        <v>-2.6240606709052578E-6</v>
      </c>
      <c r="M76" s="40">
        <f t="shared" si="28"/>
        <v>1381.1905842157726</v>
      </c>
      <c r="N76" s="21">
        <f>-(Données!I$46*1E-24*H76+Données!F$46)*M76+Données!H$45*1E-24*H76*K76</f>
        <v>5.4180028386176572E-7</v>
      </c>
      <c r="O76" s="42">
        <f t="shared" si="29"/>
        <v>186.78217233002448</v>
      </c>
      <c r="P76" s="23">
        <f>-(Données!I$47*1E-24*H76+Données!F$47)*O76+(Données!H$46*1E-24*H76)*M76</f>
        <v>2.5251719556195165E-9</v>
      </c>
      <c r="Q76" s="40">
        <f t="shared" si="30"/>
        <v>96.008328014297007</v>
      </c>
      <c r="R76" s="43">
        <f>-(Données!I$48*1E-24*H76+Données!F$48)*Q76+Données!H$47*1E-24*H76*O76</f>
        <v>3.8507266974124418E-8</v>
      </c>
      <c r="S76" s="42">
        <f t="shared" si="31"/>
        <v>48.628725869260677</v>
      </c>
      <c r="T76" s="22">
        <f>-(Données!I$49*1E-24*H76+Données!F$49)*S76+Données!F$47*O76</f>
        <v>-2.3183859162028981E-8</v>
      </c>
      <c r="U76" s="28">
        <f t="shared" si="32"/>
        <v>4702.1959823003372</v>
      </c>
      <c r="V76" s="19"/>
      <c r="W76" s="40">
        <f t="shared" si="33"/>
        <v>32.374317908892031</v>
      </c>
      <c r="X76" s="21">
        <f>-(Données!I$50*1E-24*H76+Données!F$50)*W76+Données!F$45*K76</f>
        <v>-2.3895687359630394E-7</v>
      </c>
      <c r="Y76" s="42">
        <f t="shared" si="34"/>
        <v>21904.966968613069</v>
      </c>
      <c r="Z76" s="23">
        <f>-(Données!I$51*1E-24*H76+Données!F$51)*Y76+Données!F$48*Q76</f>
        <v>-2.1788933436081907E-5</v>
      </c>
      <c r="AA76" s="15">
        <f t="shared" si="35"/>
        <v>21937.341286521962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3169964366479091.5</v>
      </c>
      <c r="I77" s="40">
        <f t="shared" si="26"/>
        <v>5.9928374534963735</v>
      </c>
      <c r="J77" s="21">
        <f>-(Données!I$44*1E-24*H77+Données!F$44)*I77</f>
        <v>-3.4880758638378347E-8</v>
      </c>
      <c r="K77" s="42">
        <f t="shared" si="27"/>
        <v>2976.6042124246133</v>
      </c>
      <c r="L77" s="23">
        <f>-(Données!I$45*1E-24*H77+Données!F$45)*K77+(I77*Données!H$44*1E-24*H77)+(Données!H$51*1E-24*H77)*Y77</f>
        <v>-2.6236740219367054E-6</v>
      </c>
      <c r="M77" s="40">
        <f t="shared" si="28"/>
        <v>1382.6144353617613</v>
      </c>
      <c r="N77" s="21">
        <f>-(Données!I$46*1E-24*H77+Données!F$46)*M77+Données!H$45*1E-24*H77*K77</f>
        <v>5.2781827469384985E-7</v>
      </c>
      <c r="O77" s="42">
        <f t="shared" si="29"/>
        <v>186.78880848192384</v>
      </c>
      <c r="P77" s="23">
        <f>-(Données!I$47*1E-24*H77+Données!F$47)*O77+(Données!H$46*1E-24*H77)*M77</f>
        <v>4.5146889628689818E-9</v>
      </c>
      <c r="Q77" s="40">
        <f t="shared" si="30"/>
        <v>96.109525111905</v>
      </c>
      <c r="R77" s="43">
        <f>-(Données!I$48*1E-24*H77+Données!F$48)*Q77+Données!H$47*1E-24*H77*O77</f>
        <v>3.8276799732107283E-8</v>
      </c>
      <c r="S77" s="42">
        <f t="shared" si="31"/>
        <v>48.567798687382862</v>
      </c>
      <c r="T77" s="22">
        <f>-(Données!I$49*1E-24*H77+Données!F$49)*S77+Données!F$47*O77</f>
        <v>-2.278556086551716E-8</v>
      </c>
      <c r="U77" s="28">
        <f t="shared" si="32"/>
        <v>4696.6776175210825</v>
      </c>
      <c r="V77" s="19"/>
      <c r="W77" s="40">
        <f t="shared" si="33"/>
        <v>31.746339245080943</v>
      </c>
      <c r="X77" s="21">
        <f>-(Données!I$50*1E-24*H77+Données!F$50)*W77+Données!F$45*K77</f>
        <v>-2.3427525187014441E-7</v>
      </c>
      <c r="Y77" s="42">
        <f t="shared" si="34"/>
        <v>21847.705651543045</v>
      </c>
      <c r="Z77" s="23">
        <f>-(Données!I$51*1E-24*H77+Données!F$51)*Y77+Données!F$48*Q77</f>
        <v>-2.173197541920658E-5</v>
      </c>
      <c r="AA77" s="15">
        <f t="shared" si="35"/>
        <v>21879.451990788126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3169964366479091.5</v>
      </c>
      <c r="I78" s="40">
        <f t="shared" si="26"/>
        <v>5.9011708197947152</v>
      </c>
      <c r="J78" s="21">
        <f>-(Données!I$44*1E-24*H78+Données!F$44)*I78</f>
        <v>-3.4347221436651854E-8</v>
      </c>
      <c r="K78" s="42">
        <f t="shared" si="27"/>
        <v>2969.7091970949637</v>
      </c>
      <c r="L78" s="23">
        <f>-(Données!I$45*1E-24*H78+Données!F$45)*K78+(I78*Données!H$44*1E-24*H78)+(Données!H$51*1E-24*H78)*Y78</f>
        <v>-2.6231668912658574E-6</v>
      </c>
      <c r="M78" s="40">
        <f t="shared" si="28"/>
        <v>1384.0015417876566</v>
      </c>
      <c r="N78" s="21">
        <f>-(Données!I$46*1E-24*H78+Données!F$46)*M78+Données!H$45*1E-24*H78*K78</f>
        <v>5.1393907231016878E-7</v>
      </c>
      <c r="O78" s="42">
        <f t="shared" si="29"/>
        <v>186.80067308451825</v>
      </c>
      <c r="P78" s="23">
        <f>-(Données!I$47*1E-24*H78+Données!F$47)*O78+(Données!H$46*1E-24*H78)*M78</f>
        <v>6.3951555530002348E-9</v>
      </c>
      <c r="Q78" s="40">
        <f t="shared" si="30"/>
        <v>96.210116541600982</v>
      </c>
      <c r="R78" s="43">
        <f>-(Données!I$48*1E-24*H78+Données!F$48)*Q78+Données!H$47*1E-24*H78*O78</f>
        <v>3.8055217950635054E-8</v>
      </c>
      <c r="S78" s="42">
        <f t="shared" si="31"/>
        <v>48.507918233428285</v>
      </c>
      <c r="T78" s="22">
        <f>-(Données!I$49*1E-24*H78+Données!F$49)*S78+Données!F$47*O78</f>
        <v>-2.238590812785021E-8</v>
      </c>
      <c r="U78" s="28">
        <f t="shared" si="32"/>
        <v>4691.130617561962</v>
      </c>
      <c r="V78" s="19"/>
      <c r="W78" s="40">
        <f t="shared" si="33"/>
        <v>31.130663883166203</v>
      </c>
      <c r="X78" s="21">
        <f>-(Données!I$50*1E-24*H78+Données!F$50)*W78+Données!F$45*K78</f>
        <v>-2.2968547430033772E-7</v>
      </c>
      <c r="Y78" s="42">
        <f t="shared" si="34"/>
        <v>21790.594020141369</v>
      </c>
      <c r="Z78" s="23">
        <f>-(Données!I$51*1E-24*H78+Données!F$51)*Y78+Données!F$48*Q78</f>
        <v>-2.1675166295168599E-5</v>
      </c>
      <c r="AA78" s="15">
        <f t="shared" si="35"/>
        <v>21821.724684024535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3169964366479091.5</v>
      </c>
      <c r="I79" s="40">
        <f t="shared" si="26"/>
        <v>5.8109063218591945</v>
      </c>
      <c r="J79" s="21">
        <f>-(Données!I$44*1E-24*H79+Données!F$44)*I79</f>
        <v>-3.3821845237057725E-8</v>
      </c>
      <c r="K79" s="42">
        <f t="shared" si="27"/>
        <v>2962.8155145047172</v>
      </c>
      <c r="L79" s="23">
        <f>-(Données!I$45*1E-24*H79+Données!F$45)*K79+(I79*Données!H$44*1E-24*H79)+(Données!H$51*1E-24*H79)*Y79</f>
        <v>-2.6225418677019534E-6</v>
      </c>
      <c r="M79" s="40">
        <f t="shared" si="28"/>
        <v>1385.3521736696878</v>
      </c>
      <c r="N79" s="21">
        <f>-(Données!I$46*1E-24*H79+Données!F$46)*M79+Données!H$45*1E-24*H79*K79</f>
        <v>5.0016239338717384E-7</v>
      </c>
      <c r="O79" s="42">
        <f t="shared" si="29"/>
        <v>186.81747955331153</v>
      </c>
      <c r="P79" s="23">
        <f>-(Données!I$47*1E-24*H79+Données!F$47)*O79+(Données!H$46*1E-24*H79)*M79</f>
        <v>8.1700254834705089E-9</v>
      </c>
      <c r="Q79" s="40">
        <f t="shared" si="30"/>
        <v>96.310125654375256</v>
      </c>
      <c r="R79" s="43">
        <f>-(Données!I$48*1E-24*H79+Données!F$48)*Q79+Données!H$47*1E-24*H79*O79</f>
        <v>3.7842057941466504E-8</v>
      </c>
      <c r="S79" s="42">
        <f t="shared" si="31"/>
        <v>48.449088066868292</v>
      </c>
      <c r="T79" s="22">
        <f>-(Données!I$49*1E-24*H79+Données!F$49)*S79+Données!F$47*O79</f>
        <v>-2.1985363344148125E-8</v>
      </c>
      <c r="U79" s="28">
        <f t="shared" si="32"/>
        <v>4685.5552877708187</v>
      </c>
      <c r="V79" s="19"/>
      <c r="W79" s="40">
        <f t="shared" si="33"/>
        <v>30.527050456704917</v>
      </c>
      <c r="X79" s="21">
        <f>-(Données!I$50*1E-24*H79+Données!F$50)*W79+Données!F$45*K79</f>
        <v>-2.2518573877941628E-7</v>
      </c>
      <c r="Y79" s="42">
        <f t="shared" si="34"/>
        <v>21733.631683117666</v>
      </c>
      <c r="Z79" s="23">
        <f>-(Données!I$51*1E-24*H79+Données!F$51)*Y79+Données!F$48*Q79</f>
        <v>-2.1618505674748835E-5</v>
      </c>
      <c r="AA79" s="15">
        <f t="shared" si="35"/>
        <v>21764.158733574372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3169964366479091.5</v>
      </c>
      <c r="I80" s="40">
        <f t="shared" si="26"/>
        <v>5.7220225125762072</v>
      </c>
      <c r="J80" s="21">
        <f>-(Données!I$44*1E-24*H80+Données!F$44)*I80</f>
        <v>-3.3304505208645851E-8</v>
      </c>
      <c r="K80" s="42">
        <f t="shared" si="27"/>
        <v>2955.9234744763962</v>
      </c>
      <c r="L80" s="23">
        <f>-(Données!I$45*1E-24*H80+Données!F$45)*K80+(I80*Données!H$44*1E-24*H80)+(Données!H$51*1E-24*H80)*Y80</f>
        <v>-2.6218014908269889E-6</v>
      </c>
      <c r="M80" s="40">
        <f t="shared" si="28"/>
        <v>1386.6666004395092</v>
      </c>
      <c r="N80" s="21">
        <f>-(Données!I$46*1E-24*H80+Données!F$46)*M80+Données!H$45*1E-24*H80*K80</f>
        <v>4.8648794673392062E-7</v>
      </c>
      <c r="O80" s="42">
        <f t="shared" si="29"/>
        <v>186.83895038028209</v>
      </c>
      <c r="P80" s="23">
        <f>-(Données!I$47*1E-24*H80+Données!F$47)*O80+(Données!H$46*1E-24*H80)*M80</f>
        <v>9.8426544320878446E-9</v>
      </c>
      <c r="Q80" s="40">
        <f t="shared" si="30"/>
        <v>96.409574582645433</v>
      </c>
      <c r="R80" s="43">
        <f>-(Données!I$48*1E-24*H80+Données!F$48)*Q80+Données!H$47*1E-24*H80*O80</f>
        <v>3.7636871837601517E-8</v>
      </c>
      <c r="S80" s="42">
        <f t="shared" si="31"/>
        <v>48.391310531999871</v>
      </c>
      <c r="T80" s="22">
        <f>-(Données!I$49*1E-24*H80+Données!F$49)*S80+Données!F$47*O80</f>
        <v>-2.1584367242189296E-8</v>
      </c>
      <c r="U80" s="28">
        <f t="shared" si="32"/>
        <v>4679.9519329234081</v>
      </c>
      <c r="V80" s="19"/>
      <c r="W80" s="40">
        <f t="shared" si="33"/>
        <v>29.935262335192611</v>
      </c>
      <c r="X80" s="21">
        <f>-(Données!I$50*1E-24*H80+Données!F$50)*W80+Données!F$45*K80</f>
        <v>-2.2077427856025458E-7</v>
      </c>
      <c r="Y80" s="42">
        <f t="shared" si="34"/>
        <v>21676.818250204426</v>
      </c>
      <c r="Z80" s="23">
        <f>-(Données!I$51*1E-24*H80+Données!F$51)*Y80+Données!F$48*Q80</f>
        <v>-2.1561993169745679E-5</v>
      </c>
      <c r="AA80" s="15">
        <f t="shared" si="35"/>
        <v>21706.753512539617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3169964366479091.5</v>
      </c>
      <c r="I81" s="40">
        <f t="shared" si="26"/>
        <v>5.6344982728878863</v>
      </c>
      <c r="J81" s="21">
        <f>-(Données!I$44*1E-24*H81+Données!F$44)*I81</f>
        <v>-3.2795078429884357E-8</v>
      </c>
      <c r="K81" s="42">
        <f t="shared" si="27"/>
        <v>2949.033380158503</v>
      </c>
      <c r="L81" s="23">
        <f>-(Données!I$45*1E-24*H81+Données!F$45)*K81+(I81*Données!H$44*1E-24*H81)+(Données!H$51*1E-24*H81)*Y81</f>
        <v>-2.6209482519157523E-6</v>
      </c>
      <c r="M81" s="40">
        <f t="shared" si="28"/>
        <v>1387.945090763526</v>
      </c>
      <c r="N81" s="21">
        <f>-(Données!I$46*1E-24*H81+Données!F$46)*M81+Données!H$45*1E-24*H81*K81</f>
        <v>4.7291543353772588E-7</v>
      </c>
      <c r="O81" s="42">
        <f t="shared" si="29"/>
        <v>186.86481687612962</v>
      </c>
      <c r="P81" s="23">
        <f>-(Données!I$47*1E-24*H81+Données!F$47)*O81+(Données!H$46*1E-24*H81)*M81</f>
        <v>1.1416302721758109E-8</v>
      </c>
      <c r="Q81" s="40">
        <f t="shared" si="30"/>
        <v>96.508484281834654</v>
      </c>
      <c r="R81" s="43">
        <f>-(Données!I$48*1E-24*H81+Données!F$48)*Q81+Données!H$47*1E-24*H81*O81</f>
        <v>3.7439227127457704E-8</v>
      </c>
      <c r="S81" s="42">
        <f t="shared" si="31"/>
        <v>48.334586814887395</v>
      </c>
      <c r="T81" s="22">
        <f>-(Données!I$49*1E-24*H81+Données!F$49)*S81+Données!F$47*O81</f>
        <v>-2.1183339640622636E-8</v>
      </c>
      <c r="U81" s="28">
        <f t="shared" si="32"/>
        <v>4674.3208571677687</v>
      </c>
      <c r="V81" s="19"/>
      <c r="W81" s="40">
        <f t="shared" si="33"/>
        <v>29.355067531136264</v>
      </c>
      <c r="X81" s="21">
        <f>-(Données!I$50*1E-24*H81+Données!F$50)*W81+Données!F$45*K81</f>
        <v>-2.1644936156224434E-7</v>
      </c>
      <c r="Y81" s="42">
        <f t="shared" si="34"/>
        <v>21620.153332154336</v>
      </c>
      <c r="Z81" s="23">
        <f>-(Données!I$51*1E-24*H81+Données!F$51)*Y81+Données!F$48*Q81</f>
        <v>-2.150562839297239E-5</v>
      </c>
      <c r="AA81" s="15">
        <f t="shared" si="35"/>
        <v>21649.508399685474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3169964366479091.5</v>
      </c>
      <c r="I82" s="40">
        <f t="shared" si="26"/>
        <v>5.5483128067741498</v>
      </c>
      <c r="J82" s="21">
        <f>-(Données!I$44*1E-24*H82+Données!F$44)*I82</f>
        <v>-3.229344385945304E-8</v>
      </c>
      <c r="K82" s="42">
        <f t="shared" si="27"/>
        <v>2942.1455281524682</v>
      </c>
      <c r="L82" s="23">
        <f>-(Données!I$45*1E-24*H82+Données!F$45)*K82+(I82*Données!H$44*1E-24*H82)+(Données!H$51*1E-24*H82)*Y82</f>
        <v>-2.6199845948387584E-6</v>
      </c>
      <c r="M82" s="40">
        <f t="shared" si="28"/>
        <v>1389.1879125228631</v>
      </c>
      <c r="N82" s="21">
        <f>-(Données!I$46*1E-24*H82+Données!F$46)*M82+Données!H$45*1E-24*H82*K82</f>
        <v>4.5944454760451399E-7</v>
      </c>
      <c r="O82" s="42">
        <f t="shared" si="29"/>
        <v>186.89481891968239</v>
      </c>
      <c r="P82" s="23">
        <f>-(Données!I$47*1E-24*H82+Données!F$47)*O82+(Données!H$46*1E-24*H82)*M82</f>
        <v>1.2894137969632632E-8</v>
      </c>
      <c r="Q82" s="40">
        <f t="shared" si="30"/>
        <v>96.606874570725608</v>
      </c>
      <c r="R82" s="43">
        <f>-(Données!I$48*1E-24*H82+Données!F$48)*Q82+Données!H$47*1E-24*H82*O82</f>
        <v>3.7248706202151914E-8</v>
      </c>
      <c r="S82" s="42">
        <f t="shared" si="31"/>
        <v>48.278916998311836</v>
      </c>
      <c r="T82" s="22">
        <f>-(Données!I$49*1E-24*H82+Données!F$49)*S82+Données!F$47*O82</f>
        <v>-2.0782680183499456E-8</v>
      </c>
      <c r="U82" s="28">
        <f t="shared" si="32"/>
        <v>4668.662363970825</v>
      </c>
      <c r="V82" s="19"/>
      <c r="W82" s="40">
        <f t="shared" si="33"/>
        <v>28.786238608950686</v>
      </c>
      <c r="X82" s="21">
        <f>-(Données!I$50*1E-24*H82+Données!F$50)*W82+Données!F$45*K82</f>
        <v>-2.1220928969108339E-7</v>
      </c>
      <c r="Y82" s="42">
        <f t="shared" si="34"/>
        <v>21563.636540737603</v>
      </c>
      <c r="Z82" s="23">
        <f>-(Données!I$51*1E-24*H82+Données!F$51)*Y82+Données!F$48*Q82</f>
        <v>-2.1449410958254413E-5</v>
      </c>
      <c r="AA82" s="15">
        <f t="shared" si="35"/>
        <v>21592.422779346554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3169964366479091.5</v>
      </c>
      <c r="I83" s="40">
        <f t="shared" si="26"/>
        <v>5.4634456363115076</v>
      </c>
      <c r="J83" s="21">
        <f>-(Données!I$44*1E-24*H83+Données!F$44)*I83</f>
        <v>-3.1799482307483614E-8</v>
      </c>
      <c r="K83" s="42">
        <f t="shared" si="27"/>
        <v>2935.2602086372317</v>
      </c>
      <c r="L83" s="23">
        <f>-(Données!I$45*1E-24*H83+Données!F$45)*K83+(I83*Données!H$44*1E-24*H83)+(Données!H$51*1E-24*H83)*Y83</f>
        <v>-2.6189129169483841E-6</v>
      </c>
      <c r="M83" s="40">
        <f t="shared" si="28"/>
        <v>1390.3953327939678</v>
      </c>
      <c r="N83" s="21">
        <f>-(Données!I$46*1E-24*H83+Données!F$46)*M83+Données!H$45*1E-24*H83*K83</f>
        <v>4.4607497559397361E-7</v>
      </c>
      <c r="O83" s="42">
        <f t="shared" si="29"/>
        <v>186.92870471426659</v>
      </c>
      <c r="P83" s="23">
        <f>-(Données!I$47*1E-24*H83+Données!F$47)*O83+(Données!H$46*1E-24*H83)*M83</f>
        <v>1.427923766277319E-8</v>
      </c>
      <c r="Q83" s="40">
        <f t="shared" si="30"/>
        <v>96.70476417062487</v>
      </c>
      <c r="R83" s="43">
        <f>-(Données!I$48*1E-24*H83+Données!F$48)*Q83+Données!H$47*1E-24*H83*O83</f>
        <v>3.7064905915521829E-8</v>
      </c>
      <c r="S83" s="42">
        <f t="shared" si="31"/>
        <v>48.2243001147896</v>
      </c>
      <c r="T83" s="22">
        <f>-(Données!I$49*1E-24*H83+Données!F$49)*S83+Données!F$47*O83</f>
        <v>-2.0382769051826783E-8</v>
      </c>
      <c r="U83" s="28">
        <f t="shared" si="32"/>
        <v>4662.9767560671926</v>
      </c>
      <c r="V83" s="19"/>
      <c r="W83" s="40">
        <f t="shared" si="33"/>
        <v>28.228552595642519</v>
      </c>
      <c r="X83" s="21">
        <f>-(Données!I$50*1E-24*H83+Données!F$50)*W83+Données!F$45*K83</f>
        <v>-2.0805239817191127E-7</v>
      </c>
      <c r="Y83" s="42">
        <f t="shared" si="34"/>
        <v>21507.267488739311</v>
      </c>
      <c r="Z83" s="23">
        <f>-(Données!I$51*1E-24*H83+Données!F$51)*Y83+Données!F$48*Q83</f>
        <v>-2.1393340480426767E-5</v>
      </c>
      <c r="AA83" s="15">
        <f t="shared" si="35"/>
        <v>21535.496041334954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3169964366479091.5</v>
      </c>
      <c r="I84" s="40">
        <f t="shared" si="26"/>
        <v>5.3798765968074402</v>
      </c>
      <c r="J84" s="21">
        <f>-(Données!I$44*1E-24*H84+Données!F$44)*I84</f>
        <v>-3.131307640723985E-8</v>
      </c>
      <c r="K84" s="42">
        <f t="shared" si="27"/>
        <v>2928.3777054914913</v>
      </c>
      <c r="L84" s="23">
        <f>-(Données!I$45*1E-24*H84+Données!F$45)*K84+(I84*Données!H$44*1E-24*H84)+(Données!H$51*1E-24*H84)*Y84</f>
        <v>-2.6177355699484661E-6</v>
      </c>
      <c r="M84" s="40">
        <f t="shared" si="28"/>
        <v>1391.5676178298288</v>
      </c>
      <c r="N84" s="21">
        <f>-(Données!I$46*1E-24*H84+Données!F$46)*M84+Données!H$45*1E-24*H84*K84</f>
        <v>4.3280639724960338E-7</v>
      </c>
      <c r="O84" s="42">
        <f t="shared" si="29"/>
        <v>186.96623055084436</v>
      </c>
      <c r="P84" s="23">
        <f>-(Données!I$47*1E-24*H84+Données!F$47)*O84+(Données!H$46*1E-24*H84)*M84</f>
        <v>1.5574591662364258E-8</v>
      </c>
      <c r="Q84" s="40">
        <f t="shared" si="30"/>
        <v>96.802170743370866</v>
      </c>
      <c r="R84" s="43">
        <f>-(Données!I$48*1E-24*H84+Données!F$48)*Q84+Données!H$47*1E-24*H84*O84</f>
        <v>3.688743715653312E-8</v>
      </c>
      <c r="S84" s="42">
        <f t="shared" si="31"/>
        <v>48.170734197721401</v>
      </c>
      <c r="T84" s="22">
        <f>-(Données!I$49*1E-24*H84+Données!F$49)*S84+Données!F$47*O84</f>
        <v>-1.9983967652823157E-8</v>
      </c>
      <c r="U84" s="28">
        <f t="shared" si="32"/>
        <v>4657.2643354100646</v>
      </c>
      <c r="V84" s="19"/>
      <c r="W84" s="40">
        <f t="shared" si="33"/>
        <v>27.681790893246735</v>
      </c>
      <c r="X84" s="21">
        <f>-(Données!I$50*1E-24*H84+Données!F$50)*W84+Données!F$45*K84</f>
        <v>-2.0397705489552978E-7</v>
      </c>
      <c r="Y84" s="42">
        <f t="shared" si="34"/>
        <v>21451.045789956748</v>
      </c>
      <c r="Z84" s="23">
        <f>-(Données!I$51*1E-24*H84+Données!F$51)*Y84+Données!F$48*Q84</f>
        <v>-2.1337416575331375E-5</v>
      </c>
      <c r="AA84" s="15">
        <f t="shared" si="35"/>
        <v>21478.727580849994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3169964366479091.5</v>
      </c>
      <c r="I85" s="40">
        <f t="shared" si="26"/>
        <v>5.2975858320092142</v>
      </c>
      <c r="J85" s="21">
        <f>-(Données!I$44*1E-24*H85+Données!F$44)*I85</f>
        <v>-3.0834110587230855E-8</v>
      </c>
      <c r="K85" s="42">
        <f t="shared" si="27"/>
        <v>2921.4982964136666</v>
      </c>
      <c r="L85" s="23">
        <f>-(Données!I$45*1E-24*H85+Données!F$45)*K85+(I85*Données!H$44*1E-24*H85)+(Données!H$51*1E-24*H85)*Y85</f>
        <v>-2.6164548607477001E-6</v>
      </c>
      <c r="M85" s="40">
        <f t="shared" si="28"/>
        <v>1392.7050330418008</v>
      </c>
      <c r="N85" s="21">
        <f>-(Données!I$46*1E-24*H85+Données!F$46)*M85+Données!H$45*1E-24*H85*K85</f>
        <v>4.1963848562376345E-7</v>
      </c>
      <c r="O85" s="42">
        <f t="shared" si="29"/>
        <v>187.00716057773306</v>
      </c>
      <c r="P85" s="23">
        <f>-(Données!I$47*1E-24*H85+Données!F$47)*O85+(Données!H$46*1E-24*H85)*M85</f>
        <v>1.6783104638473218E-8</v>
      </c>
      <c r="Q85" s="40">
        <f t="shared" si="30"/>
        <v>96.899110928218235</v>
      </c>
      <c r="R85" s="43">
        <f>-(Données!I$48*1E-24*H85+Données!F$48)*Q85+Données!H$47*1E-24*H85*O85</f>
        <v>3.6715924433727653E-8</v>
      </c>
      <c r="S85" s="42">
        <f t="shared" si="31"/>
        <v>48.11821633072978</v>
      </c>
      <c r="T85" s="22">
        <f>-(Données!I$49*1E-24*H85+Données!F$49)*S85+Données!F$47*O85</f>
        <v>-1.95866192875374E-8</v>
      </c>
      <c r="U85" s="28">
        <f t="shared" si="32"/>
        <v>4651.5254031241566</v>
      </c>
      <c r="V85" s="19"/>
      <c r="W85" s="40">
        <f t="shared" si="33"/>
        <v>27.145739192981281</v>
      </c>
      <c r="X85" s="21">
        <f>-(Données!I$50*1E-24*H85+Données!F$50)*W85+Données!F$45*K85</f>
        <v>-1.9998165977745139E-7</v>
      </c>
      <c r="Y85" s="42">
        <f t="shared" si="34"/>
        <v>21394.971059196778</v>
      </c>
      <c r="Z85" s="23">
        <f>-(Données!I$51*1E-24*H85+Données!F$51)*Y85+Données!F$48*Q85</f>
        <v>-2.1281638859814438E-5</v>
      </c>
      <c r="AA85" s="15">
        <f t="shared" si="35"/>
        <v>21422.116798389758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3169964366479091.5</v>
      </c>
      <c r="I86" s="40">
        <f t="shared" si="26"/>
        <v>5.2165537893859719</v>
      </c>
      <c r="J86" s="21">
        <f>-(Données!I$44*1E-24*H86+Données!F$44)*I86</f>
        <v>-3.0362471043750984E-8</v>
      </c>
      <c r="K86" s="42">
        <f t="shared" si="27"/>
        <v>2914.6222530396217</v>
      </c>
      <c r="L86" s="23">
        <f>-(Données!I$45*1E-24*H86+Données!F$45)*K86+(I86*Données!H$44*1E-24*H86)+(Données!H$51*1E-24*H86)*Y86</f>
        <v>-2.6150730522972211E-6</v>
      </c>
      <c r="M86" s="40">
        <f t="shared" si="28"/>
        <v>1393.80784298202</v>
      </c>
      <c r="N86" s="21">
        <f>-(Données!I$46*1E-24*H86+Données!F$46)*M86+Données!H$45*1E-24*H86*K86</f>
        <v>4.0657090729782534E-7</v>
      </c>
      <c r="O86" s="42">
        <f t="shared" si="29"/>
        <v>187.05126657672298</v>
      </c>
      <c r="P86" s="23">
        <f>-(Données!I$47*1E-24*H86+Données!F$47)*O86+(Données!H$46*1E-24*H86)*M86</f>
        <v>1.7907598437278749E-8</v>
      </c>
      <c r="Q86" s="40">
        <f t="shared" si="30"/>
        <v>96.995600377630069</v>
      </c>
      <c r="R86" s="43">
        <f>-(Données!I$48*1E-24*H86+Données!F$48)*Q86+Données!H$47*1E-24*H86*O86</f>
        <v>3.6550005471377287E-8</v>
      </c>
      <c r="S86" s="42">
        <f t="shared" si="31"/>
        <v>48.066742695242134</v>
      </c>
      <c r="T86" s="22">
        <f>-(Données!I$49*1E-24*H86+Données!F$49)*S86+Données!F$47*O86</f>
        <v>-1.9191049797474421E-8</v>
      </c>
      <c r="U86" s="28">
        <f t="shared" si="32"/>
        <v>4645.7602594606224</v>
      </c>
      <c r="V86" s="19"/>
      <c r="W86" s="40">
        <f t="shared" si="33"/>
        <v>26.620187391086141</v>
      </c>
      <c r="X86" s="21">
        <f>-(Données!I$50*1E-24*H86+Données!F$50)*W86+Données!F$45*K86</f>
        <v>-1.9606464412952402E-7</v>
      </c>
      <c r="Y86" s="42">
        <f t="shared" si="34"/>
        <v>21339.042912273184</v>
      </c>
      <c r="Z86" s="23">
        <f>-(Données!I$51*1E-24*H86+Données!F$51)*Y86+Données!F$48*Q86</f>
        <v>-2.1226006951723817E-5</v>
      </c>
      <c r="AA86" s="15">
        <f t="shared" si="35"/>
        <v>21365.663099664271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3169964366479091.5</v>
      </c>
      <c r="I87" s="40">
        <f t="shared" si="26"/>
        <v>5.136761215482994</v>
      </c>
      <c r="J87" s="21">
        <f>-(Données!I$44*1E-24*H87+Données!F$44)*I87</f>
        <v>-2.9898045713839708E-8</v>
      </c>
      <c r="K87" s="42">
        <f t="shared" si="27"/>
        <v>2907.7498410581848</v>
      </c>
      <c r="L87" s="23">
        <f>-(Données!I$45*1E-24*H87+Données!F$45)*K87+(I87*Données!H$44*1E-24*H87)+(Données!H$51*1E-24*H87)*Y87</f>
        <v>-2.6135923644124725E-6</v>
      </c>
      <c r="M87" s="40">
        <f t="shared" si="28"/>
        <v>1394.8763113263988</v>
      </c>
      <c r="N87" s="21">
        <f>-(Données!I$46*1E-24*H87+Données!F$46)*M87+Données!H$45*1E-24*H87*K87</f>
        <v>3.9360332259751558E-7</v>
      </c>
      <c r="O87" s="42">
        <f t="shared" si="29"/>
        <v>187.09832774541616</v>
      </c>
      <c r="P87" s="23">
        <f>-(Données!I$47*1E-24*H87+Données!F$47)*O87+(Données!H$46*1E-24*H87)*M87</f>
        <v>1.8950814382653734E-8</v>
      </c>
      <c r="Q87" s="40">
        <f t="shared" si="30"/>
        <v>97.091653792008842</v>
      </c>
      <c r="R87" s="43">
        <f>-(Données!I$48*1E-24*H87+Données!F$48)*Q87+Données!H$47*1E-24*H87*O87</f>
        <v>3.6389330817017542E-8</v>
      </c>
      <c r="S87" s="42">
        <f t="shared" si="31"/>
        <v>48.016308616374374</v>
      </c>
      <c r="T87" s="22">
        <f>-(Données!I$49*1E-24*H87+Données!F$49)*S87+Données!F$47*O87</f>
        <v>-1.8797568190849601E-8</v>
      </c>
      <c r="U87" s="28">
        <f t="shared" si="32"/>
        <v>4639.9692037538662</v>
      </c>
      <c r="V87" s="19"/>
      <c r="W87" s="40">
        <f t="shared" si="33"/>
        <v>26.104929506313752</v>
      </c>
      <c r="X87" s="21">
        <f>-(Données!I$50*1E-24*H87+Données!F$50)*W87+Données!F$45*K87</f>
        <v>-1.9222447004388576E-7</v>
      </c>
      <c r="Y87" s="42">
        <f t="shared" si="34"/>
        <v>21283.260966004054</v>
      </c>
      <c r="Z87" s="23">
        <f>-(Données!I$51*1E-24*H87+Données!F$51)*Y87+Données!F$48*Q87</f>
        <v>-2.1170520469906403E-5</v>
      </c>
      <c r="AA87" s="15">
        <f t="shared" si="35"/>
        <v>21309.365895510367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3169964366479091.5</v>
      </c>
      <c r="I88" s="40">
        <f t="shared" si="26"/>
        <v>5.0581891513470234</v>
      </c>
      <c r="J88" s="21">
        <f>-(Données!I$44*1E-24*H88+Données!F$44)*I88</f>
        <v>-2.9440724248655128E-8</v>
      </c>
      <c r="K88" s="42">
        <f t="shared" si="27"/>
        <v>2900.8813203245086</v>
      </c>
      <c r="L88" s="23">
        <f>-(Données!I$45*1E-24*H88+Données!F$45)*K88+(I88*Données!H$44*1E-24*H88)+(Données!H$51*1E-24*H88)*Y88</f>
        <v>-2.6120149745798763E-6</v>
      </c>
      <c r="M88" s="40">
        <f t="shared" si="28"/>
        <v>1395.910700858185</v>
      </c>
      <c r="N88" s="21">
        <f>-(Données!I$46*1E-24*H88+Données!F$46)*M88+Données!H$45*1E-24*H88*K88</f>
        <v>3.8073538580354749E-7</v>
      </c>
      <c r="O88" s="42">
        <f t="shared" si="29"/>
        <v>187.14813048561376</v>
      </c>
      <c r="P88" s="23">
        <f>-(Données!I$47*1E-24*H88+Données!F$47)*O88+(Données!H$46*1E-24*H88)*M88</f>
        <v>1.991541551392382E-8</v>
      </c>
      <c r="Q88" s="40">
        <f t="shared" si="30"/>
        <v>97.18728495339596</v>
      </c>
      <c r="R88" s="43">
        <f>-(Données!I$48*1E-24*H88+Données!F$48)*Q88+Données!H$47*1E-24*H88*O88</f>
        <v>3.6233563460045228E-8</v>
      </c>
      <c r="S88" s="42">
        <f t="shared" si="31"/>
        <v>47.966908607168818</v>
      </c>
      <c r="T88" s="22">
        <f>-(Données!I$49*1E-24*H88+Données!F$49)*S88+Données!F$47*O88</f>
        <v>-1.8406467249078945E-8</v>
      </c>
      <c r="U88" s="28">
        <f t="shared" si="32"/>
        <v>4634.1525343802186</v>
      </c>
      <c r="V88" s="19"/>
      <c r="W88" s="40">
        <f t="shared" si="33"/>
        <v>25.599763599038422</v>
      </c>
      <c r="X88" s="21">
        <f>-(Données!I$50*1E-24*H88+Données!F$50)*W88+Données!F$45*K88</f>
        <v>-1.8845962978900678E-7</v>
      </c>
      <c r="Y88" s="42">
        <f t="shared" si="34"/>
        <v>21227.62483820914</v>
      </c>
      <c r="Z88" s="23">
        <f>-(Données!I$51*1E-24*H88+Données!F$51)*Y88+Données!F$48*Q88</f>
        <v>-2.1115179034205498E-5</v>
      </c>
      <c r="AA88" s="15">
        <f t="shared" si="35"/>
        <v>21253.224601808179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3169964366479091.5</v>
      </c>
      <c r="I89" s="40">
        <f t="shared" si="26"/>
        <v>4.9808189280215576</v>
      </c>
      <c r="J89" s="21">
        <f>-(Données!I$44*1E-24*H89+Données!F$44)*I89</f>
        <v>-2.8990397987254779E-8</v>
      </c>
      <c r="K89" s="42">
        <f t="shared" si="27"/>
        <v>2894.0169449713126</v>
      </c>
      <c r="L89" s="23">
        <f>-(Données!I$45*1E-24*H89+Données!F$45)*K89+(I89*Données!H$44*1E-24*H89)+(Données!H$51*1E-24*H89)*Y89</f>
        <v>-2.6103430187483818E-6</v>
      </c>
      <c r="M89" s="40">
        <f t="shared" si="28"/>
        <v>1396.9112734520768</v>
      </c>
      <c r="N89" s="21">
        <f>-(Données!I$46*1E-24*H89+Données!F$46)*M89+Données!H$45*1E-24*H89*K89</f>
        <v>3.6796674535764407E-7</v>
      </c>
      <c r="O89" s="42">
        <f t="shared" si="29"/>
        <v>187.20046819758434</v>
      </c>
      <c r="P89" s="23">
        <f>-(Données!I$47*1E-24*H89+Données!F$47)*O89+(Données!H$46*1E-24*H89)*M89</f>
        <v>2.0803988761575729E-8</v>
      </c>
      <c r="Q89" s="40">
        <f t="shared" si="30"/>
        <v>97.282506758168964</v>
      </c>
      <c r="R89" s="43">
        <f>-(Données!I$48*1E-24*H89+Données!F$48)*Q89+Données!H$47*1E-24*H89*O89</f>
        <v>3.6082378461070857E-8</v>
      </c>
      <c r="S89" s="42">
        <f t="shared" si="31"/>
        <v>47.918536411238236</v>
      </c>
      <c r="T89" s="22">
        <f>-(Données!I$49*1E-24*H89+Données!F$49)*S89+Données!F$47*O89</f>
        <v>-1.801802411409341E-8</v>
      </c>
      <c r="U89" s="28">
        <f t="shared" si="32"/>
        <v>4628.3105487184021</v>
      </c>
      <c r="V89" s="19"/>
      <c r="W89" s="40">
        <f t="shared" si="33"/>
        <v>25.104491691952912</v>
      </c>
      <c r="X89" s="21">
        <f>-(Données!I$50*1E-24*H89+Données!F$50)*W89+Données!F$45*K89</f>
        <v>-1.8476864521758229E-7</v>
      </c>
      <c r="Y89" s="42">
        <f t="shared" si="34"/>
        <v>21172.134147707249</v>
      </c>
      <c r="Z89" s="23">
        <f>-(Données!I$51*1E-24*H89+Données!F$51)*Y89+Données!F$48*Q89</f>
        <v>-2.1059982265458231E-5</v>
      </c>
      <c r="AA89" s="15">
        <f t="shared" si="35"/>
        <v>21197.238639399202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3169964366479091.5</v>
      </c>
      <c r="I90" s="40">
        <f t="shared" si="26"/>
        <v>4.904632162111052</v>
      </c>
      <c r="J90" s="21">
        <f>-(Données!I$44*1E-24*H90+Données!F$44)*I90</f>
        <v>-2.8546959930777451E-8</v>
      </c>
      <c r="K90" s="42">
        <f t="shared" si="27"/>
        <v>2887.1569635180417</v>
      </c>
      <c r="L90" s="23">
        <f>-(Données!I$45*1E-24*H90+Données!F$45)*K90+(I90*Données!H$44*1E-24*H90)+(Données!H$51*1E-24*H90)*Y90</f>
        <v>-2.6085785921063579E-6</v>
      </c>
      <c r="M90" s="40">
        <f t="shared" si="28"/>
        <v>1397.8782900588767</v>
      </c>
      <c r="N90" s="21">
        <f>-(Données!I$46*1E-24*H90+Données!F$46)*M90+Données!H$45*1E-24*H90*K90</f>
        <v>3.5529704406402096E-7</v>
      </c>
      <c r="O90" s="42">
        <f t="shared" si="29"/>
        <v>187.25514108004975</v>
      </c>
      <c r="P90" s="23">
        <f>-(Données!I$47*1E-24*H90+Données!F$47)*O90+(Données!H$46*1E-24*H90)*M90</f>
        <v>2.1619047062645381E-8</v>
      </c>
      <c r="Q90" s="40">
        <f t="shared" si="30"/>
        <v>97.377331248764662</v>
      </c>
      <c r="R90" s="43">
        <f>-(Données!I$48*1E-24*H90+Données!F$48)*Q90+Données!H$47*1E-24*H90*O90</f>
        <v>3.5935462591727045E-8</v>
      </c>
      <c r="S90" s="42">
        <f t="shared" si="31"/>
        <v>47.871185043866397</v>
      </c>
      <c r="T90" s="22">
        <f>-(Données!I$49*1E-24*H90+Données!F$49)*S90+Données!F$47*O90</f>
        <v>-1.7632500857047043E-8</v>
      </c>
      <c r="U90" s="28">
        <f t="shared" si="32"/>
        <v>4622.4435431117108</v>
      </c>
      <c r="V90" s="19"/>
      <c r="W90" s="40">
        <f t="shared" si="33"/>
        <v>24.618919692321107</v>
      </c>
      <c r="X90" s="21">
        <f>-(Données!I$50*1E-24*H90+Données!F$50)*W90+Données!F$45*K90</f>
        <v>-1.8115006718604293E-7</v>
      </c>
      <c r="Y90" s="42">
        <f t="shared" si="34"/>
        <v>21116.788514313626</v>
      </c>
      <c r="Z90" s="23">
        <f>-(Données!I$51*1E-24*H90+Données!F$51)*Y90+Données!F$48*Q90</f>
        <v>-2.1004929785492926E-5</v>
      </c>
      <c r="AA90" s="15">
        <f t="shared" si="35"/>
        <v>21141.407434005949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3169964366479091.5</v>
      </c>
      <c r="I91" s="40">
        <f t="shared" si="26"/>
        <v>4.8296107514129689</v>
      </c>
      <c r="J91" s="21">
        <f>-(Données!I$44*1E-24*H91+Données!F$44)*I91</f>
        <v>-2.8110304717019937E-8</v>
      </c>
      <c r="K91" s="42">
        <f t="shared" si="27"/>
        <v>2880.3016189779864</v>
      </c>
      <c r="L91" s="23">
        <f>-(Données!I$45*1E-24*H91+Données!F$45)*K91+(I91*Données!H$44*1E-24*H91)+(Données!H$51*1E-24*H91)*Y91</f>
        <v>-2.6067237498439527E-6</v>
      </c>
      <c r="M91" s="40">
        <f t="shared" si="28"/>
        <v>1398.812010690677</v>
      </c>
      <c r="N91" s="21">
        <f>-(Données!I$46*1E-24*H91+Données!F$46)*M91+Données!H$45*1E-24*H91*K91</f>
        <v>3.4272591928644348E-7</v>
      </c>
      <c r="O91" s="42">
        <f t="shared" si="29"/>
        <v>187.3119559357304</v>
      </c>
      <c r="P91" s="23">
        <f>-(Données!I$47*1E-24*H91+Données!F$47)*O91+(Données!H$46*1E-24*H91)*M91</f>
        <v>2.2363031417457045E-8</v>
      </c>
      <c r="Q91" s="40">
        <f t="shared" si="30"/>
        <v>97.471769644455719</v>
      </c>
      <c r="R91" s="43">
        <f>-(Données!I$48*1E-24*H91+Données!F$48)*Q91+Données!H$47*1E-24*H91*O91</f>
        <v>3.5792513984642544E-8</v>
      </c>
      <c r="S91" s="42">
        <f t="shared" si="31"/>
        <v>47.824846831614074</v>
      </c>
      <c r="T91" s="22">
        <f>-(Données!I$49*1E-24*H91+Données!F$49)*S91+Données!F$47*O91</f>
        <v>-1.7250145028975802E-8</v>
      </c>
      <c r="U91" s="28">
        <f t="shared" si="32"/>
        <v>4616.5518128318763</v>
      </c>
      <c r="V91" s="19"/>
      <c r="W91" s="40">
        <f t="shared" si="33"/>
        <v>24.142857315756185</v>
      </c>
      <c r="X91" s="21">
        <f>-(Données!I$50*1E-24*H91+Données!F$50)*W91+Données!F$45*K91</f>
        <v>-1.776024749854556E-7</v>
      </c>
      <c r="Y91" s="42">
        <f t="shared" si="34"/>
        <v>21061.587558837349</v>
      </c>
      <c r="Z91" s="23">
        <f>-(Données!I$51*1E-24*H91+Données!F$51)*Y91+Données!F$48*Q91</f>
        <v>-2.095002121712653E-5</v>
      </c>
      <c r="AA91" s="15">
        <f t="shared" si="35"/>
        <v>21085.730416153106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3169964366479091.5</v>
      </c>
      <c r="I92" s="40">
        <f t="shared" si="26"/>
        <v>4.7557368706166407</v>
      </c>
      <c r="J92" s="21">
        <f>-(Données!I$44*1E-24*H92+Données!F$44)*I92</f>
        <v>-2.7680328595402672E-8</v>
      </c>
      <c r="K92" s="42">
        <f t="shared" si="27"/>
        <v>2873.4511489633965</v>
      </c>
      <c r="L92" s="23">
        <f>-(Données!I$45*1E-24*H92+Données!F$45)*K92+(I92*Données!H$44*1E-24*H92)+(Données!H$51*1E-24*H92)*Y92</f>
        <v>-2.6047805079012851E-6</v>
      </c>
      <c r="M92" s="40">
        <f t="shared" si="28"/>
        <v>1399.7126944065617</v>
      </c>
      <c r="N92" s="21">
        <f>-(Données!I$46*1E-24*H92+Données!F$46)*M92+Données!H$45*1E-24*H92*K92</f>
        <v>3.3025300314092841E-7</v>
      </c>
      <c r="O92" s="42">
        <f t="shared" si="29"/>
        <v>187.37072598229548</v>
      </c>
      <c r="P92" s="23">
        <f>-(Données!I$47*1E-24*H92+Données!F$47)*O92+(Données!H$46*1E-24*H92)*M92</f>
        <v>2.3038312889346999E-8</v>
      </c>
      <c r="Q92" s="40">
        <f t="shared" si="30"/>
        <v>97.565832371207364</v>
      </c>
      <c r="R92" s="43">
        <f>-(Données!I$48*1E-24*H92+Données!F$48)*Q92+Données!H$47*1E-24*H92*O92</f>
        <v>3.565324179329753E-8</v>
      </c>
      <c r="S92" s="42">
        <f t="shared" si="31"/>
        <v>47.779513450477928</v>
      </c>
      <c r="T92" s="22">
        <f>-(Données!I$49*1E-24*H92+Données!F$49)*S92+Données!F$47*O92</f>
        <v>-1.6871190193943645E-8</v>
      </c>
      <c r="U92" s="28">
        <f t="shared" si="32"/>
        <v>4610.6356520445561</v>
      </c>
      <c r="V92" s="19"/>
      <c r="W92" s="40">
        <f t="shared" si="33"/>
        <v>23.676118011494406</v>
      </c>
      <c r="X92" s="21">
        <f>-(Données!I$50*1E-24*H92+Données!F$50)*W92+Données!F$45*K92</f>
        <v>-1.741244757835908E-7</v>
      </c>
      <c r="Y92" s="42">
        <f t="shared" si="34"/>
        <v>21006.530903078739</v>
      </c>
      <c r="Z92" s="23">
        <f>-(Données!I$51*1E-24*H92+Données!F$51)*Y92+Données!F$48*Q92</f>
        <v>-2.0895256184162038E-5</v>
      </c>
      <c r="AA92" s="15">
        <f t="shared" si="35"/>
        <v>21030.207021090235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3169964366479091.5</v>
      </c>
      <c r="I93" s="40">
        <f t="shared" si="26"/>
        <v>4.6829929670679222</v>
      </c>
      <c r="J93" s="21">
        <f>-(Données!I$44*1E-24*H93+Données!F$44)*I93</f>
        <v>-2.7256929402318274E-8</v>
      </c>
      <c r="K93" s="42">
        <f t="shared" si="27"/>
        <v>2866.6057857886317</v>
      </c>
      <c r="L93" s="23">
        <f>-(Données!I$45*1E-24*H93+Données!F$45)*K93+(I93*Données!H$44*1E-24*H93)+(Données!H$51*1E-24*H93)*Y93</f>
        <v>-2.6027508437026794E-6</v>
      </c>
      <c r="M93" s="40">
        <f t="shared" si="28"/>
        <v>1400.580599298816</v>
      </c>
      <c r="N93" s="21">
        <f>-(Données!I$46*1E-24*H93+Données!F$46)*M93+Données!H$45*1E-24*H93*K93</f>
        <v>3.1787792268418421E-7</v>
      </c>
      <c r="O93" s="42">
        <f t="shared" si="29"/>
        <v>187.43127066856869</v>
      </c>
      <c r="P93" s="23">
        <f>-(Données!I$47*1E-24*H93+Données!F$47)*O93+(Données!H$46*1E-24*H93)*M93</f>
        <v>2.3647194548955663E-8</v>
      </c>
      <c r="Q93" s="40">
        <f t="shared" si="30"/>
        <v>97.659529090640149</v>
      </c>
      <c r="R93" s="43">
        <f>-(Données!I$48*1E-24*H93+Données!F$48)*Q93+Données!H$47*1E-24*H93*O93</f>
        <v>3.5517365861486863E-8</v>
      </c>
      <c r="S93" s="42">
        <f t="shared" si="31"/>
        <v>47.735175962648242</v>
      </c>
      <c r="T93" s="22">
        <f>-(Données!I$49*1E-24*H93+Données!F$49)*S93+Données!F$47*O93</f>
        <v>-1.6495856445200436E-8</v>
      </c>
      <c r="U93" s="28">
        <f t="shared" si="32"/>
        <v>4604.695353776372</v>
      </c>
      <c r="V93" s="19"/>
      <c r="W93" s="40">
        <f t="shared" si="33"/>
        <v>23.21851888913513</v>
      </c>
      <c r="X93" s="21">
        <f>-(Données!I$50*1E-24*H93+Données!F$50)*W93+Données!F$45*K93</f>
        <v>-1.7071470407793713E-7</v>
      </c>
      <c r="Y93" s="42">
        <f t="shared" si="34"/>
        <v>20951.618169826761</v>
      </c>
      <c r="Z93" s="23">
        <f>-(Données!I$51*1E-24*H93+Données!F$51)*Y93+Données!F$48*Q93</f>
        <v>-2.0840634311385881E-5</v>
      </c>
      <c r="AA93" s="15">
        <f t="shared" si="35"/>
        <v>20974.836688715895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3169964366479091.5</v>
      </c>
      <c r="I94" s="40">
        <f t="shared" si="26"/>
        <v>4.6113617565986296</v>
      </c>
      <c r="J94" s="21">
        <f>-(Données!I$44*1E-24*H94+Données!F$44)*I94</f>
        <v>-2.6840006536857181E-8</v>
      </c>
      <c r="K94" s="42">
        <f t="shared" si="27"/>
        <v>2859.7657565713812</v>
      </c>
      <c r="L94" s="23">
        <f>-(Données!I$45*1E-24*H94+Données!F$45)*K94+(I94*Données!H$44*1E-24*H94)+(Données!H$51*1E-24*H94)*Y94</f>
        <v>-2.6006366968772401E-6</v>
      </c>
      <c r="M94" s="40">
        <f t="shared" si="28"/>
        <v>1401.41598247963</v>
      </c>
      <c r="N94" s="21">
        <f>-(Données!I$46*1E-24*H94+Données!F$46)*M94+Données!H$45*1E-24*H94*K94</f>
        <v>3.0560030009787287E-7</v>
      </c>
      <c r="O94" s="42">
        <f t="shared" si="29"/>
        <v>187.49341549584335</v>
      </c>
      <c r="P94" s="23">
        <f>-(Données!I$47*1E-24*H94+Données!F$47)*O94+(Données!H$46*1E-24*H94)*M94</f>
        <v>2.4191913364629378E-8</v>
      </c>
      <c r="Q94" s="40">
        <f t="shared" si="30"/>
        <v>97.752868728124142</v>
      </c>
      <c r="R94" s="43">
        <f>-(Données!I$48*1E-24*H94+Données!F$48)*Q94+Données!H$47*1E-24*H94*O94</f>
        <v>3.5384616402122121E-8</v>
      </c>
      <c r="S94" s="42">
        <f t="shared" si="31"/>
        <v>47.691824851910255</v>
      </c>
      <c r="T94" s="22">
        <f>-(Données!I$49*1E-24*H94+Données!F$49)*S94+Données!F$47*O94</f>
        <v>-1.6124350904858846E-8</v>
      </c>
      <c r="U94" s="28">
        <f t="shared" si="32"/>
        <v>4598.7312098834882</v>
      </c>
      <c r="V94" s="19"/>
      <c r="W94" s="40">
        <f t="shared" si="33"/>
        <v>22.769880646818311</v>
      </c>
      <c r="X94" s="21">
        <f>-(Données!I$50*1E-24*H94+Données!F$50)*W94+Données!F$45*K94</f>
        <v>-1.6737182115944859E-7</v>
      </c>
      <c r="Y94" s="42">
        <f t="shared" si="34"/>
        <v>20896.848982856438</v>
      </c>
      <c r="Z94" s="23">
        <f>-(Données!I$51*1E-24*H94+Données!F$51)*Y94+Données!F$48*Q94</f>
        <v>-2.078615522456538E-5</v>
      </c>
      <c r="AA94" s="15">
        <f t="shared" si="35"/>
        <v>20919.618863503256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3169964366479091.5</v>
      </c>
      <c r="I95" s="40">
        <f t="shared" ref="I95:I136" si="38">I94+J94*D$5</f>
        <v>4.5408262194197686</v>
      </c>
      <c r="J95" s="21">
        <f>-(Données!I$44*1E-24*H95+Données!F$44)*I95</f>
        <v>-2.6429460936904558E-8</v>
      </c>
      <c r="K95" s="42">
        <f t="shared" ref="K95:K136" si="39">K94+L94*D$5</f>
        <v>2852.9312833319877</v>
      </c>
      <c r="L95" s="23">
        <f>-(Données!I$45*1E-24*H95+Données!F$45)*K95+(I95*Données!H$44*1E-24*H95)+(Données!H$51*1E-24*H95)*Y95</f>
        <v>-2.5984399699659987E-6</v>
      </c>
      <c r="M95" s="40">
        <f t="shared" ref="M95:M136" si="40">M94+N94*D$5</f>
        <v>1402.2191000682872</v>
      </c>
      <c r="N95" s="21">
        <f>-(Données!I$46*1E-24*H95+Données!F$46)*M95+Données!H$45*1E-24*H95*K95</f>
        <v>2.9341975286877045E-7</v>
      </c>
      <c r="O95" s="42">
        <f t="shared" ref="O95:O136" si="41">O94+P94*D$5</f>
        <v>187.55699184416559</v>
      </c>
      <c r="P95" s="23">
        <f>-(Données!I$47*1E-24*H95+Données!F$47)*O95+(Données!H$46*1E-24*H95)*M95</f>
        <v>2.4674642040429808E-8</v>
      </c>
      <c r="Q95" s="40">
        <f t="shared" ref="Q95:Q136" si="42">Q94+R94*D$5</f>
        <v>97.845859500028922</v>
      </c>
      <c r="R95" s="43">
        <f>-(Données!I$48*1E-24*H95+Données!F$48)*Q95+Données!H$47*1E-24*H95*O95</f>
        <v>3.5254733685113485E-8</v>
      </c>
      <c r="S95" s="42">
        <f t="shared" ref="S95:S136" si="43">S94+T94*D$5</f>
        <v>47.649450057732288</v>
      </c>
      <c r="T95" s="22">
        <f>-(Données!I$49*1E-24*H95+Données!F$49)*S95+Données!F$47*O95</f>
        <v>-1.575686820758395E-8</v>
      </c>
      <c r="U95" s="28">
        <f t="shared" ref="U95:U136" si="44">I95+K95+M95+O95+Q95+S95</f>
        <v>4592.7435110216211</v>
      </c>
      <c r="V95" s="19"/>
      <c r="W95" s="40">
        <f t="shared" ref="W95:W136" si="45">W94+X94*D$5</f>
        <v>22.33002750081128</v>
      </c>
      <c r="X95" s="21">
        <f>-(Données!I$50*1E-24*H95+Données!F$50)*W95+Données!F$45*K95</f>
        <v>-1.6409451458681421E-7</v>
      </c>
      <c r="Y95" s="42">
        <f t="shared" ref="Y95:Y136" si="46">Y94+Z94*D$5</f>
        <v>20842.222966926282</v>
      </c>
      <c r="Z95" s="23">
        <f>-(Données!I$51*1E-24*H95+Données!F$51)*Y95+Données!F$48*Q95</f>
        <v>-2.073181855044617E-5</v>
      </c>
      <c r="AA95" s="15">
        <f t="shared" ref="AA95:AA136" si="47">W95+Y95</f>
        <v>20864.552994427093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3169964366479091.5</v>
      </c>
      <c r="I96" s="40">
        <f t="shared" si="38"/>
        <v>4.471369596077583</v>
      </c>
      <c r="J96" s="21">
        <f>-(Données!I$44*1E-24*H96+Données!F$44)*I96</f>
        <v>-2.6025195055602861E-8</v>
      </c>
      <c r="K96" s="42">
        <f t="shared" si="39"/>
        <v>2846.1025830909171</v>
      </c>
      <c r="L96" s="23">
        <f>-(Données!I$45*1E-24*H96+Données!F$45)*K96+(I96*Données!H$44*1E-24*H96)+(Données!H$51*1E-24*H96)*Y96</f>
        <v>-2.5961625291158713E-6</v>
      </c>
      <c r="M96" s="40">
        <f t="shared" si="40"/>
        <v>1402.9902071788263</v>
      </c>
      <c r="N96" s="21">
        <f>-(Données!I$46*1E-24*H96+Données!F$46)*M96+Données!H$45*1E-24*H96*K96</f>
        <v>2.8133589396491943E-7</v>
      </c>
      <c r="O96" s="42">
        <f t="shared" si="41"/>
        <v>187.62183680344785</v>
      </c>
      <c r="P96" s="23">
        <f>-(Données!I$47*1E-24*H96+Données!F$47)*O96+(Données!H$46*1E-24*H96)*M96</f>
        <v>2.5097490803203631E-8</v>
      </c>
      <c r="Q96" s="40">
        <f t="shared" si="42"/>
        <v>97.938508940153397</v>
      </c>
      <c r="R96" s="43">
        <f>-(Données!I$48*1E-24*H96+Données!F$48)*Q96+Données!H$47*1E-24*H96*O96</f>
        <v>3.5127467734079271E-8</v>
      </c>
      <c r="S96" s="42">
        <f t="shared" si="43"/>
        <v>47.608041008082758</v>
      </c>
      <c r="T96" s="22">
        <f>-(Données!I$49*1E-24*H96+Données!F$49)*S96+Données!F$47*O96</f>
        <v>-1.5393590968773532E-8</v>
      </c>
      <c r="U96" s="28">
        <f t="shared" si="44"/>
        <v>4586.7325466175052</v>
      </c>
      <c r="V96" s="19"/>
      <c r="W96" s="40">
        <f t="shared" si="45"/>
        <v>21.898787116477131</v>
      </c>
      <c r="X96" s="21">
        <f>-(Données!I$50*1E-24*H96+Données!F$50)*W96+Données!F$45*K96</f>
        <v>-1.6088149767104263E-7</v>
      </c>
      <c r="Y96" s="42">
        <f t="shared" si="46"/>
        <v>20787.739747775708</v>
      </c>
      <c r="Z96" s="23">
        <f>-(Données!I$51*1E-24*H96+Données!F$51)*Y96+Données!F$48*Q96</f>
        <v>-2.067762391674964E-5</v>
      </c>
      <c r="AA96" s="15">
        <f t="shared" si="47"/>
        <v>20809.638534892183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3169964366479091.5</v>
      </c>
      <c r="I97" s="40">
        <f t="shared" si="38"/>
        <v>4.4029753834714587</v>
      </c>
      <c r="J97" s="21">
        <f>-(Données!I$44*1E-24*H97+Données!F$44)*I97</f>
        <v>-2.56271128381744E-8</v>
      </c>
      <c r="K97" s="42">
        <f t="shared" si="39"/>
        <v>2839.2798679644006</v>
      </c>
      <c r="L97" s="23">
        <f>-(Données!I$45*1E-24*H97+Données!F$45)*K97+(I97*Données!H$44*1E-24*H97)+(Données!H$51*1E-24*H97)*Y97</f>
        <v>-2.5938062047607132E-6</v>
      </c>
      <c r="M97" s="40">
        <f t="shared" si="40"/>
        <v>1403.729557908166</v>
      </c>
      <c r="N97" s="21">
        <f>-(Données!I$46*1E-24*H97+Données!F$46)*M97+Données!H$45*1E-24*H97*K97</f>
        <v>2.6934833200783812E-7</v>
      </c>
      <c r="O97" s="42">
        <f t="shared" si="41"/>
        <v>187.68779300927866</v>
      </c>
      <c r="P97" s="23">
        <f>-(Données!I$47*1E-24*H97+Données!F$47)*O97+(Données!H$46*1E-24*H97)*M97</f>
        <v>2.5462509140134679E-8</v>
      </c>
      <c r="Q97" s="40">
        <f t="shared" si="42"/>
        <v>98.030823925358561</v>
      </c>
      <c r="R97" s="43">
        <f>-(Données!I$48*1E-24*H97+Données!F$48)*Q97+Données!H$47*1E-24*H97*O97</f>
        <v>3.5002578031635242E-8</v>
      </c>
      <c r="S97" s="42">
        <f t="shared" si="43"/>
        <v>47.567586651016818</v>
      </c>
      <c r="T97" s="22">
        <f>-(Données!I$49*1E-24*H97+Données!F$49)*S97+Données!F$47*O97</f>
        <v>-1.5034690237695566E-8</v>
      </c>
      <c r="U97" s="28">
        <f t="shared" si="44"/>
        <v>4580.698604841692</v>
      </c>
      <c r="V97" s="19"/>
      <c r="W97" s="40">
        <f t="shared" si="45"/>
        <v>21.475990540597632</v>
      </c>
      <c r="X97" s="21">
        <f>-(Données!I$50*1E-24*H97+Données!F$50)*W97+Données!F$45*K97</f>
        <v>-1.5773150897016061E-7</v>
      </c>
      <c r="Y97" s="42">
        <f t="shared" si="46"/>
        <v>20733.39895212249</v>
      </c>
      <c r="Z97" s="23">
        <f>-(Données!I$51*1E-24*H97+Données!F$51)*Y97+Données!F$48*Q97</f>
        <v>-2.0623570952170392E-5</v>
      </c>
      <c r="AA97" s="15">
        <f t="shared" si="47"/>
        <v>20754.874942663089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3169964366479091.5</v>
      </c>
      <c r="I98" s="40">
        <f t="shared" si="38"/>
        <v>4.335627330932736</v>
      </c>
      <c r="J98" s="21">
        <f>-(Données!I$44*1E-24*H98+Données!F$44)*I98</f>
        <v>-2.5235119699098443E-8</v>
      </c>
      <c r="K98" s="42">
        <f t="shared" si="39"/>
        <v>2832.4633452582893</v>
      </c>
      <c r="L98" s="23">
        <f>-(Données!I$45*1E-24*H98+Données!F$45)*K98+(I98*Données!H$44*1E-24*H98)+(Données!H$51*1E-24*H98)*Y98</f>
        <v>-2.5913727922896724E-6</v>
      </c>
      <c r="M98" s="40">
        <f t="shared" si="40"/>
        <v>1404.4374053246827</v>
      </c>
      <c r="N98" s="21">
        <f>-(Données!I$46*1E-24*H98+Données!F$46)*M98+Données!H$45*1E-24*H98*K98</f>
        <v>2.5745667144087697E-7</v>
      </c>
      <c r="O98" s="42">
        <f t="shared" si="41"/>
        <v>187.75470848329894</v>
      </c>
      <c r="P98" s="23">
        <f>-(Données!I$47*1E-24*H98+Données!F$47)*O98+(Données!H$46*1E-24*H98)*M98</f>
        <v>2.5771687488143953E-8</v>
      </c>
      <c r="Q98" s="40">
        <f t="shared" si="42"/>
        <v>98.122810700425703</v>
      </c>
      <c r="R98" s="43">
        <f>-(Données!I$48*1E-24*H98+Données!F$48)*Q98+Données!H$47*1E-24*H98*O98</f>
        <v>3.4879833233027507E-8</v>
      </c>
      <c r="S98" s="42">
        <f t="shared" si="43"/>
        <v>47.528075485072151</v>
      </c>
      <c r="T98" s="22">
        <f>-(Données!I$49*1E-24*H98+Données!F$49)*S98+Données!F$47*O98</f>
        <v>-1.4680325936032536E-8</v>
      </c>
      <c r="U98" s="28">
        <f t="shared" si="44"/>
        <v>4574.6419725827009</v>
      </c>
      <c r="V98" s="19"/>
      <c r="W98" s="40">
        <f t="shared" si="45"/>
        <v>21.061472135024051</v>
      </c>
      <c r="X98" s="21">
        <f>-(Données!I$50*1E-24*H98+Données!F$50)*W98+Données!F$45*K98</f>
        <v>-1.5464331179382563E-7</v>
      </c>
      <c r="Y98" s="42">
        <f t="shared" si="46"/>
        <v>20679.200207660186</v>
      </c>
      <c r="Z98" s="23">
        <f>-(Données!I$51*1E-24*H98+Données!F$51)*Y98+Données!F$48*Q98</f>
        <v>-2.0569659286373676E-5</v>
      </c>
      <c r="AA98" s="15">
        <f t="shared" si="47"/>
        <v>20700.261679795211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3169964366479091.5</v>
      </c>
      <c r="I99" s="40">
        <f t="shared" si="38"/>
        <v>4.2693094363635051</v>
      </c>
      <c r="J99" s="21">
        <f>-(Données!I$44*1E-24*H99+Données!F$44)*I99</f>
        <v>-2.4849122499637414E-8</v>
      </c>
      <c r="K99" s="42">
        <f t="shared" si="39"/>
        <v>2825.6532175601519</v>
      </c>
      <c r="L99" s="23">
        <f>-(Données!I$45*1E-24*H99+Données!F$45)*K99+(I99*Données!H$44*1E-24*H99)+(Données!H$51*1E-24*H99)*Y99</f>
        <v>-2.5888640527030741E-6</v>
      </c>
      <c r="M99" s="40">
        <f t="shared" si="40"/>
        <v>1405.1140014572293</v>
      </c>
      <c r="N99" s="21">
        <f>-(Données!I$46*1E-24*H99+Données!F$46)*M99+Données!H$45*1E-24*H99*K99</f>
        <v>2.4566051269379362E-7</v>
      </c>
      <c r="O99" s="42">
        <f t="shared" si="41"/>
        <v>187.82243647801778</v>
      </c>
      <c r="P99" s="23">
        <f>-(Données!I$47*1E-24*H99+Données!F$47)*O99+(Données!H$46*1E-24*H99)*M99</f>
        <v>2.6026958876488523E-8</v>
      </c>
      <c r="Q99" s="40">
        <f t="shared" si="42"/>
        <v>98.214474902162095</v>
      </c>
      <c r="R99" s="43">
        <f>-(Données!I$48*1E-24*H99+Données!F$48)*Q99+Données!H$47*1E-24*H99*O99</f>
        <v>3.4759010887874477E-8</v>
      </c>
      <c r="S99" s="42">
        <f t="shared" si="43"/>
        <v>47.489495588512256</v>
      </c>
      <c r="T99" s="22">
        <f>-(Données!I$49*1E-24*H99+Données!F$49)*S99+Données!F$47*O99</f>
        <v>-1.4330647282273056E-8</v>
      </c>
      <c r="U99" s="28">
        <f t="shared" si="44"/>
        <v>4568.5629354224366</v>
      </c>
      <c r="V99" s="19"/>
      <c r="W99" s="40">
        <f t="shared" si="45"/>
        <v>20.655069511629875</v>
      </c>
      <c r="X99" s="21">
        <f>-(Données!I$50*1E-24*H99+Données!F$50)*W99+Données!F$45*K99</f>
        <v>-1.5161569371765914E-7</v>
      </c>
      <c r="Y99" s="42">
        <f t="shared" si="46"/>
        <v>20625.143143055597</v>
      </c>
      <c r="Z99" s="23">
        <f>-(Données!I$51*1E-24*H99+Données!F$51)*Y99+Données!F$48*Q99</f>
        <v>-2.051588854999287E-5</v>
      </c>
      <c r="AA99" s="15">
        <f t="shared" si="47"/>
        <v>20645.798212567228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3169964366479091.5</v>
      </c>
      <c r="I100" s="40">
        <f t="shared" si="38"/>
        <v>4.204005942434458</v>
      </c>
      <c r="J100" s="21">
        <f>-(Données!I$44*1E-24*H100+Données!F$44)*I100</f>
        <v>-2.4469029525706851E-8</v>
      </c>
      <c r="K100" s="42">
        <f t="shared" si="39"/>
        <v>2818.8496828296484</v>
      </c>
      <c r="L100" s="23">
        <f>-(Données!I$45*1E-24*H100+Données!F$45)*K100+(I100*Données!H$44*1E-24*H100)+(Données!H$51*1E-24*H100)*Y100</f>
        <v>-2.5862817132561184E-6</v>
      </c>
      <c r="M100" s="40">
        <f t="shared" si="40"/>
        <v>1405.7595972845886</v>
      </c>
      <c r="N100" s="21">
        <f>-(Données!I$46*1E-24*H100+Données!F$46)*M100+Données!H$45*1E-24*H100*K100</f>
        <v>2.3395945234361552E-7</v>
      </c>
      <c r="O100" s="42">
        <f t="shared" si="41"/>
        <v>187.89083532594518</v>
      </c>
      <c r="P100" s="23">
        <f>-(Données!I$47*1E-24*H100+Données!F$47)*O100+(Données!H$46*1E-24*H100)*M100</f>
        <v>2.6230200523848084E-8</v>
      </c>
      <c r="Q100" s="40">
        <f t="shared" si="42"/>
        <v>98.305821582775422</v>
      </c>
      <c r="R100" s="43">
        <f>-(Données!I$48*1E-24*H100+Données!F$48)*Q100+Données!H$47*1E-24*H100*O100</f>
        <v>3.4639897169793678E-8</v>
      </c>
      <c r="S100" s="42">
        <f t="shared" si="43"/>
        <v>47.45183464745444</v>
      </c>
      <c r="T100" s="22">
        <f>-(Données!I$49*1E-24*H100+Données!F$49)*S100+Données!F$47*O100</f>
        <v>-1.3985793202374773E-8</v>
      </c>
      <c r="U100" s="28">
        <f t="shared" si="44"/>
        <v>4562.4617776128453</v>
      </c>
      <c r="V100" s="19"/>
      <c r="W100" s="40">
        <f t="shared" si="45"/>
        <v>20.256623468539868</v>
      </c>
      <c r="X100" s="21">
        <f>-(Données!I$50*1E-24*H100+Données!F$50)*W100+Données!F$45*K100</f>
        <v>-1.4864746610710924E-7</v>
      </c>
      <c r="Y100" s="42">
        <f t="shared" si="46"/>
        <v>20571.227387946215</v>
      </c>
      <c r="Z100" s="23">
        <f>-(Données!I$51*1E-24*H100+Données!F$51)*Y100+Données!F$48*Q100</f>
        <v>-2.0462258374626932E-5</v>
      </c>
      <c r="AA100" s="15">
        <f t="shared" si="47"/>
        <v>20591.484011414756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3169964366479091.5</v>
      </c>
      <c r="I101" s="40">
        <f t="shared" si="38"/>
        <v>4.1397013328409002</v>
      </c>
      <c r="J101" s="21">
        <f>-(Données!I$44*1E-24*H101+Données!F$44)*I101</f>
        <v>-2.4094750466083864E-8</v>
      </c>
      <c r="K101" s="42">
        <f t="shared" si="39"/>
        <v>2812.0529344872111</v>
      </c>
      <c r="L101" s="23">
        <f>-(Données!I$45*1E-24*H101+Données!F$45)*K101+(I101*Données!H$44*1E-24*H101)+(Données!H$51*1E-24*H101)*Y101</f>
        <v>-2.5836274680905565E-6</v>
      </c>
      <c r="M101" s="40">
        <f t="shared" si="40"/>
        <v>1406.3744427253475</v>
      </c>
      <c r="N101" s="21">
        <f>-(Données!I$46*1E-24*H101+Données!F$46)*M101+Données!H$45*1E-24*H101*K101</f>
        <v>2.2235308327188227E-7</v>
      </c>
      <c r="O101" s="42">
        <f t="shared" si="41"/>
        <v>187.95976829292184</v>
      </c>
      <c r="P101" s="23">
        <f>-(Données!I$47*1E-24*H101+Données!F$47)*O101+(Données!H$46*1E-24*H101)*M101</f>
        <v>2.6383235391166311E-8</v>
      </c>
      <c r="Q101" s="40">
        <f t="shared" si="42"/>
        <v>98.396855232537646</v>
      </c>
      <c r="R101" s="43">
        <f>-(Données!I$48*1E-24*H101+Données!F$48)*Q101+Données!H$47*1E-24*H101*O101</f>
        <v>3.4522286613692921E-8</v>
      </c>
      <c r="S101" s="42">
        <f t="shared" si="43"/>
        <v>47.415079982918598</v>
      </c>
      <c r="T101" s="22">
        <f>-(Données!I$49*1E-24*H101+Données!F$49)*S101+Données!F$47*O101</f>
        <v>-1.3645892727112875E-8</v>
      </c>
      <c r="U101" s="28">
        <f t="shared" si="44"/>
        <v>4556.3387820537773</v>
      </c>
      <c r="V101" s="19"/>
      <c r="W101" s="40">
        <f t="shared" si="45"/>
        <v>19.865977927610384</v>
      </c>
      <c r="X101" s="21">
        <f>-(Données!I$50*1E-24*H101+Données!F$50)*W101+Données!F$45*K101</f>
        <v>-1.4573746365065565E-7</v>
      </c>
      <c r="Y101" s="42">
        <f t="shared" si="46"/>
        <v>20517.452572937695</v>
      </c>
      <c r="Z101" s="23">
        <f>-(Données!I$51*1E-24*H101+Données!F$51)*Y101+Données!F$48*Q101</f>
        <v>-2.0408768392837892E-5</v>
      </c>
      <c r="AA101" s="15">
        <f t="shared" si="47"/>
        <v>20537.318550865304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3169964366479091.5</v>
      </c>
      <c r="I102" s="40">
        <f t="shared" si="38"/>
        <v>4.0763803286160316</v>
      </c>
      <c r="J102" s="21">
        <f>-(Données!I$44*1E-24*H102+Données!F$44)*I102</f>
        <v>-2.3726196390948927E-8</v>
      </c>
      <c r="K102" s="42">
        <f t="shared" si="39"/>
        <v>2805.2631615010691</v>
      </c>
      <c r="L102" s="23">
        <f>-(Données!I$45*1E-24*H102+Données!F$45)*K102+(I102*Données!H$44*1E-24*H102)+(Données!H$51*1E-24*H102)*Y102</f>
        <v>-2.580902978854628E-6</v>
      </c>
      <c r="M102" s="40">
        <f t="shared" si="40"/>
        <v>1406.9587866281861</v>
      </c>
      <c r="N102" s="21">
        <f>-(Données!I$46*1E-24*H102+Données!F$46)*M102+Données!H$45*1E-24*H102*K102</f>
        <v>2.1084099481830837E-7</v>
      </c>
      <c r="O102" s="42">
        <f t="shared" si="41"/>
        <v>188.02910343552983</v>
      </c>
      <c r="P102" s="23">
        <f>-(Données!I$47*1E-24*H102+Données!F$47)*O102+(Données!H$46*1E-24*H102)*M102</f>
        <v>2.6487833691482012E-8</v>
      </c>
      <c r="Q102" s="40">
        <f t="shared" si="42"/>
        <v>98.487579801758429</v>
      </c>
      <c r="R102" s="43">
        <f>-(Données!I$48*1E-24*H102+Données!F$48)*Q102+Données!H$47*1E-24*H102*O102</f>
        <v>3.4405981860512823E-8</v>
      </c>
      <c r="S102" s="42">
        <f t="shared" si="43"/>
        <v>47.379218576831747</v>
      </c>
      <c r="T102" s="22">
        <f>-(Données!I$49*1E-24*H102+Données!F$49)*S102+Données!F$47*O102</f>
        <v>-1.3311065376514831E-8</v>
      </c>
      <c r="U102" s="28">
        <f t="shared" si="44"/>
        <v>4550.1942302719908</v>
      </c>
      <c r="V102" s="19"/>
      <c r="W102" s="40">
        <f t="shared" si="45"/>
        <v>19.482979873136461</v>
      </c>
      <c r="X102" s="21">
        <f>-(Données!I$50*1E-24*H102+Données!F$50)*W102+Données!F$45*K102</f>
        <v>-1.4288454390217409E-7</v>
      </c>
      <c r="Y102" s="42">
        <f t="shared" si="46"/>
        <v>20463.818329601316</v>
      </c>
      <c r="Z102" s="23">
        <f>-(Données!I$51*1E-24*H102+Données!F$51)*Y102+Données!F$48*Q102</f>
        <v>-2.0355418238148322E-5</v>
      </c>
      <c r="AA102" s="15">
        <f t="shared" si="47"/>
        <v>20483.301309474453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3169964366479091.5</v>
      </c>
      <c r="I103" s="40">
        <f t="shared" si="38"/>
        <v>4.0140278845006181</v>
      </c>
      <c r="J103" s="21">
        <f>-(Données!I$44*1E-24*H103+Données!F$44)*I103</f>
        <v>-2.3363279730755879E-8</v>
      </c>
      <c r="K103" s="42">
        <f t="shared" si="39"/>
        <v>2798.4805484726394</v>
      </c>
      <c r="L103" s="23">
        <f>-(Données!I$45*1E-24*H103+Données!F$45)*K103+(I103*Données!H$44*1E-24*H103)+(Données!H$51*1E-24*H103)*Y103</f>
        <v>-2.5781098753113925E-6</v>
      </c>
      <c r="M103" s="40">
        <f t="shared" si="40"/>
        <v>1407.5128767625686</v>
      </c>
      <c r="N103" s="21">
        <f>-(Données!I$46*1E-24*H103+Données!F$46)*M103+Données!H$45*1E-24*H103*K103</f>
        <v>1.9942277293098764E-7</v>
      </c>
      <c r="O103" s="42">
        <f t="shared" si="41"/>
        <v>188.09871346247104</v>
      </c>
      <c r="P103" s="23">
        <f>-(Données!I$47*1E-24*H103+Données!F$47)*O103+(Données!H$46*1E-24*H103)*M103</f>
        <v>2.6545714357935053E-8</v>
      </c>
      <c r="Q103" s="40">
        <f t="shared" si="42"/>
        <v>98.577998722087855</v>
      </c>
      <c r="R103" s="43">
        <f>-(Données!I$48*1E-24*H103+Données!F$48)*Q103+Données!H$47*1E-24*H103*O103</f>
        <v>3.4290793409212882E-8</v>
      </c>
      <c r="S103" s="42">
        <f t="shared" si="43"/>
        <v>47.344237097022265</v>
      </c>
      <c r="T103" s="22">
        <f>-(Données!I$49*1E-24*H103+Données!F$49)*S103+Données!F$47*O103</f>
        <v>-1.2981421531772122E-8</v>
      </c>
      <c r="U103" s="28">
        <f t="shared" si="44"/>
        <v>4544.0284024012899</v>
      </c>
      <c r="V103" s="19"/>
      <c r="W103" s="40">
        <f t="shared" si="45"/>
        <v>19.107479291761546</v>
      </c>
      <c r="X103" s="21">
        <f>-(Données!I$50*1E-24*H103+Données!F$50)*W103+Données!F$45*K103</f>
        <v>-1.4008758683228003E-7</v>
      </c>
      <c r="Y103" s="42">
        <f t="shared" si="46"/>
        <v>20410.324290471461</v>
      </c>
      <c r="Z103" s="23">
        <f>-(Données!I$51*1E-24*H103+Données!F$51)*Y103+Données!F$48*Q103</f>
        <v>-2.0302207545038816E-5</v>
      </c>
      <c r="AA103" s="15">
        <f t="shared" si="47"/>
        <v>20429.431769763221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3169964366479091.5</v>
      </c>
      <c r="I104" s="40">
        <f t="shared" si="38"/>
        <v>3.9526291853681919</v>
      </c>
      <c r="J104" s="21">
        <f>-(Données!I$44*1E-24*H104+Données!F$44)*I104</f>
        <v>-2.3005914255425141E-8</v>
      </c>
      <c r="K104" s="42">
        <f t="shared" si="39"/>
        <v>2791.705275720321</v>
      </c>
      <c r="L104" s="23">
        <f>-(Données!I$45*1E-24*H104+Données!F$45)*K104+(I104*Données!H$44*1E-24*H104)+(Données!H$51*1E-24*H104)*Y104</f>
        <v>-2.5752497559357898E-6</v>
      </c>
      <c r="M104" s="40">
        <f t="shared" si="40"/>
        <v>1408.0369598098312</v>
      </c>
      <c r="N104" s="21">
        <f>-(Données!I$46*1E-24*H104+Données!F$46)*M104+Données!H$45*1E-24*H104*K104</f>
        <v>1.8809800031313569E-7</v>
      </c>
      <c r="O104" s="42">
        <f t="shared" si="41"/>
        <v>188.16847559980368</v>
      </c>
      <c r="P104" s="23">
        <f>-(Données!I$47*1E-24*H104+Données!F$47)*O104+(Données!H$46*1E-24*H104)*M104</f>
        <v>2.6558546471114286E-8</v>
      </c>
      <c r="Q104" s="40">
        <f t="shared" si="42"/>
        <v>98.668114927167267</v>
      </c>
      <c r="R104" s="43">
        <f>-(Données!I$48*1E-24*H104+Données!F$48)*Q104+Données!H$47*1E-24*H104*O104</f>
        <v>3.4176539375800326E-8</v>
      </c>
      <c r="S104" s="42">
        <f t="shared" si="43"/>
        <v>47.310121921236771</v>
      </c>
      <c r="T104" s="22">
        <f>-(Données!I$49*1E-24*H104+Données!F$49)*S104+Données!F$47*O104</f>
        <v>-1.2657062795005423E-8</v>
      </c>
      <c r="U104" s="28">
        <f t="shared" si="44"/>
        <v>4537.8415771637283</v>
      </c>
      <c r="V104" s="19"/>
      <c r="W104" s="40">
        <f t="shared" si="45"/>
        <v>18.739329113566313</v>
      </c>
      <c r="X104" s="21">
        <f>-(Données!I$50*1E-24*H104+Données!F$50)*W104+Données!F$45*K104</f>
        <v>-1.3734549438847592E-7</v>
      </c>
      <c r="Y104" s="42">
        <f t="shared" si="46"/>
        <v>20356.970089043098</v>
      </c>
      <c r="Z104" s="23">
        <f>-(Données!I$51*1E-24*H104+Données!F$51)*Y104+Données!F$48*Q104</f>
        <v>-2.0249135948945513E-5</v>
      </c>
      <c r="AA104" s="15">
        <f t="shared" si="47"/>
        <v>20375.709418156664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3169964366479091.5</v>
      </c>
      <c r="I105" s="40">
        <f t="shared" si="38"/>
        <v>3.8921696427049346</v>
      </c>
      <c r="J105" s="21">
        <f>-(Données!I$44*1E-24*H105+Données!F$44)*I105</f>
        <v>-2.2654015053855202E-8</v>
      </c>
      <c r="K105" s="42">
        <f t="shared" si="39"/>
        <v>2784.9375193617216</v>
      </c>
      <c r="L105" s="23">
        <f>-(Données!I$45*1E-24*H105+Données!F$45)*K105+(I105*Données!H$44*1E-24*H105)+(Données!H$51*1E-24*H105)*Y105</f>
        <v>-2.5723241885005262E-6</v>
      </c>
      <c r="M105" s="40">
        <f t="shared" si="40"/>
        <v>1408.5312813546541</v>
      </c>
      <c r="N105" s="21">
        <f>-(Données!I$46*1E-24*H105+Données!F$46)*M105+Données!H$45*1E-24*H105*K105</f>
        <v>1.768662565665248E-7</v>
      </c>
      <c r="O105" s="42">
        <f t="shared" si="41"/>
        <v>188.23827145992976</v>
      </c>
      <c r="P105" s="23">
        <f>-(Données!I$47*1E-24*H105+Données!F$47)*O105+(Données!H$46*1E-24*H105)*M105</f>
        <v>2.6527950646876986E-8</v>
      </c>
      <c r="Q105" s="40">
        <f t="shared" si="42"/>
        <v>98.757930872646867</v>
      </c>
      <c r="R105" s="43">
        <f>-(Données!I$48*1E-24*H105+Données!F$48)*Q105+Données!H$47*1E-24*H105*O105</f>
        <v>3.406304525920395E-8</v>
      </c>
      <c r="S105" s="42">
        <f t="shared" si="43"/>
        <v>47.276859160211494</v>
      </c>
      <c r="T105" s="22">
        <f>-(Données!I$49*1E-24*H105+Données!F$49)*S105+Données!F$47*O105</f>
        <v>-1.2338082337252409E-8</v>
      </c>
      <c r="U105" s="28">
        <f t="shared" si="44"/>
        <v>4531.6340318518696</v>
      </c>
      <c r="V105" s="19"/>
      <c r="W105" s="40">
        <f t="shared" si="45"/>
        <v>18.378385154313399</v>
      </c>
      <c r="X105" s="21">
        <f>-(Données!I$50*1E-24*H105+Données!F$50)*W105+Données!F$45*K105</f>
        <v>-1.3465719006392866E-7</v>
      </c>
      <c r="Y105" s="42">
        <f t="shared" si="46"/>
        <v>20303.755359769268</v>
      </c>
      <c r="Z105" s="23">
        <f>-(Données!I$51*1E-24*H105+Données!F$51)*Y105+Données!F$48*Q105</f>
        <v>-2.0196203086257556E-5</v>
      </c>
      <c r="AA105" s="15">
        <f t="shared" si="47"/>
        <v>20322.13374492358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3169964366479091.5</v>
      </c>
      <c r="I106" s="40">
        <f t="shared" si="38"/>
        <v>3.8326348911434032</v>
      </c>
      <c r="J106" s="21">
        <f>-(Données!I$44*1E-24*H106+Données!F$44)*I106</f>
        <v>-2.2307498513747468E-8</v>
      </c>
      <c r="K106" s="42">
        <f t="shared" si="39"/>
        <v>2778.1774513943424</v>
      </c>
      <c r="L106" s="23">
        <f>-(Données!I$45*1E-24*H106+Données!F$45)*K106+(I106*Données!H$44*1E-24*H106)+(Données!H$51*1E-24*H106)*Y106</f>
        <v>-2.5693347106510634E-6</v>
      </c>
      <c r="M106" s="40">
        <f t="shared" si="40"/>
        <v>1408.9960858769109</v>
      </c>
      <c r="N106" s="21">
        <f>-(Données!I$46*1E-24*H106+Données!F$46)*M106+Données!H$45*1E-24*H106*K106</f>
        <v>1.6572711833160436E-7</v>
      </c>
      <c r="O106" s="42">
        <f t="shared" si="41"/>
        <v>188.30798691422976</v>
      </c>
      <c r="P106" s="23">
        <f>-(Données!I$47*1E-24*H106+Données!F$47)*O106+(Données!H$46*1E-24*H106)*M106</f>
        <v>2.6455500385732473E-8</v>
      </c>
      <c r="Q106" s="40">
        <f t="shared" si="42"/>
        <v>98.847448555588059</v>
      </c>
      <c r="R106" s="43">
        <f>-(Données!I$48*1E-24*H106+Données!F$48)*Q106+Données!H$47*1E-24*H106*O106</f>
        <v>3.3950143713803822E-8</v>
      </c>
      <c r="S106" s="42">
        <f t="shared" si="43"/>
        <v>47.244434679829197</v>
      </c>
      <c r="T106" s="22">
        <f>-(Données!I$49*1E-24*H106+Données!F$49)*S106+Données!F$47*O106</f>
        <v>-1.2024565235033551E-8</v>
      </c>
      <c r="U106" s="28">
        <f t="shared" si="44"/>
        <v>4525.4060423120436</v>
      </c>
      <c r="V106" s="19"/>
      <c r="W106" s="40">
        <f t="shared" si="45"/>
        <v>18.024506058825395</v>
      </c>
      <c r="X106" s="21">
        <f>-(Données!I$50*1E-24*H106+Données!F$50)*W106+Données!F$45*K106</f>
        <v>-1.320216184747085E-7</v>
      </c>
      <c r="Y106" s="42">
        <f t="shared" si="46"/>
        <v>20250.679738058581</v>
      </c>
      <c r="Z106" s="23">
        <f>-(Données!I$51*1E-24*H106+Données!F$51)*Y106+Données!F$48*Q106</f>
        <v>-2.0143408594314639E-5</v>
      </c>
      <c r="AA106" s="15">
        <f t="shared" si="47"/>
        <v>20268.704244117405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3169964366479091.5</v>
      </c>
      <c r="I107" s="40">
        <f t="shared" si="38"/>
        <v>3.774010785049275</v>
      </c>
      <c r="J107" s="21">
        <f>-(Données!I$44*1E-24*H107+Données!F$44)*I107</f>
        <v>-2.1966282301739758E-8</v>
      </c>
      <c r="K107" s="42">
        <f t="shared" si="39"/>
        <v>2771.4252397747514</v>
      </c>
      <c r="L107" s="23">
        <f>-(Données!I$45*1E-24*H107+Données!F$45)*K107+(I107*Données!H$44*1E-24*H107)+(Données!H$51*1E-24*H107)*Y107</f>
        <v>-2.5662828304698925E-6</v>
      </c>
      <c r="M107" s="40">
        <f t="shared" si="40"/>
        <v>1409.4316167438865</v>
      </c>
      <c r="N107" s="21">
        <f>-(Données!I$46*1E-24*H107+Données!F$46)*M107+Données!H$45*1E-24*H107*K107</f>
        <v>1.546801594244102E-7</v>
      </c>
      <c r="O107" s="42">
        <f t="shared" si="41"/>
        <v>188.37751196924347</v>
      </c>
      <c r="P107" s="23">
        <f>-(Données!I$47*1E-24*H107+Données!F$47)*O107+(Données!H$46*1E-24*H107)*M107</f>
        <v>2.6342723384862695E-8</v>
      </c>
      <c r="Q107" s="40">
        <f t="shared" si="42"/>
        <v>98.936669533267931</v>
      </c>
      <c r="R107" s="43">
        <f>-(Données!I$48*1E-24*H107+Données!F$48)*Q107+Données!H$47*1E-24*H107*O107</f>
        <v>3.3837674328430802E-8</v>
      </c>
      <c r="S107" s="42">
        <f t="shared" si="43"/>
        <v>47.212834122391527</v>
      </c>
      <c r="T107" s="22">
        <f>-(Données!I$49*1E-24*H107+Données!F$49)*S107+Données!F$47*O107</f>
        <v>-1.1716588795842577E-8</v>
      </c>
      <c r="U107" s="28">
        <f t="shared" si="44"/>
        <v>4519.1578829285909</v>
      </c>
      <c r="V107" s="19"/>
      <c r="W107" s="40">
        <f t="shared" si="45"/>
        <v>17.67755324547386</v>
      </c>
      <c r="X107" s="21">
        <f>-(Données!I$50*1E-24*H107+Données!F$50)*W107+Données!F$45*K107</f>
        <v>-1.2943774494532323E-7</v>
      </c>
      <c r="Y107" s="42">
        <f t="shared" si="46"/>
        <v>20197.742860272723</v>
      </c>
      <c r="Z107" s="23">
        <f>-(Données!I$51*1E-24*H107+Données!F$51)*Y107+Données!F$48*Q107</f>
        <v>-2.0090752111404504E-5</v>
      </c>
      <c r="AA107" s="15">
        <f t="shared" si="47"/>
        <v>20215.420413518197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3169964366479091.5</v>
      </c>
      <c r="I108" s="40">
        <f t="shared" si="38"/>
        <v>3.7162833951603029</v>
      </c>
      <c r="J108" s="21">
        <f>-(Données!I$44*1E-24*H108+Données!F$44)*I108</f>
        <v>-2.1630285343843622E-8</v>
      </c>
      <c r="K108" s="42">
        <f t="shared" si="39"/>
        <v>2764.6810484962766</v>
      </c>
      <c r="L108" s="23">
        <f>-(Données!I$45*1E-24*H108+Données!F$45)*K108+(I108*Données!H$44*1E-24*H108)+(Données!H$51*1E-24*H108)*Y108</f>
        <v>-2.5631700270302891E-6</v>
      </c>
      <c r="M108" s="40">
        <f t="shared" si="40"/>
        <v>1409.8381162028538</v>
      </c>
      <c r="N108" s="21">
        <f>-(Données!I$46*1E-24*H108+Données!F$46)*M108+Données!H$45*1E-24*H108*K108</f>
        <v>1.437249509703263E-7</v>
      </c>
      <c r="O108" s="42">
        <f t="shared" si="41"/>
        <v>188.44674064629888</v>
      </c>
      <c r="P108" s="23">
        <f>-(Données!I$47*1E-24*H108+Données!F$47)*O108+(Données!H$46*1E-24*H108)*M108</f>
        <v>2.6191102813811864E-8</v>
      </c>
      <c r="Q108" s="40">
        <f t="shared" si="42"/>
        <v>99.025594941403043</v>
      </c>
      <c r="R108" s="43">
        <f>-(Données!I$48*1E-24*H108+Données!F$48)*Q108+Données!H$47*1E-24*H108*O108</f>
        <v>3.3725483411655416E-8</v>
      </c>
      <c r="S108" s="42">
        <f t="shared" si="43"/>
        <v>47.182042927036051</v>
      </c>
      <c r="T108" s="22">
        <f>-(Données!I$49*1E-24*H108+Données!F$49)*S108+Données!F$47*O108</f>
        <v>-1.1414222872897505E-8</v>
      </c>
      <c r="U108" s="28">
        <f t="shared" si="44"/>
        <v>4512.8898266090291</v>
      </c>
      <c r="V108" s="19"/>
      <c r="W108" s="40">
        <f t="shared" si="45"/>
        <v>17.337390851757551</v>
      </c>
      <c r="X108" s="21">
        <f>-(Données!I$50*1E-24*H108+Données!F$50)*W108+Données!F$45*K108</f>
        <v>-1.2690455510238459E-7</v>
      </c>
      <c r="Y108" s="42">
        <f t="shared" si="46"/>
        <v>20144.944363723953</v>
      </c>
      <c r="Z108" s="23">
        <f>-(Données!I$51*1E-24*H108+Données!F$51)*Y108+Données!F$48*Q108</f>
        <v>-2.0038233276760454E-5</v>
      </c>
      <c r="AA108" s="15">
        <f t="shared" si="47"/>
        <v>20162.28175457571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3169964366479091.5</v>
      </c>
      <c r="I109" s="40">
        <f t="shared" si="38"/>
        <v>3.6594390052766821</v>
      </c>
      <c r="J109" s="21">
        <f>-(Données!I$44*1E-24*H109+Données!F$44)*I109</f>
        <v>-2.129942780618095E-8</v>
      </c>
      <c r="K109" s="42">
        <f t="shared" si="39"/>
        <v>2757.9450376652412</v>
      </c>
      <c r="L109" s="23">
        <f>-(Données!I$45*1E-24*H109+Données!F$45)*K109+(I109*Données!H$44*1E-24*H109)+(Données!H$51*1E-24*H109)*Y109</f>
        <v>-2.5599977509397303E-6</v>
      </c>
      <c r="M109" s="40">
        <f t="shared" si="40"/>
        <v>1410.2158253740038</v>
      </c>
      <c r="N109" s="21">
        <f>-(Données!I$46*1E-24*H109+Données!F$46)*M109+Données!H$45*1E-24*H109*K109</f>
        <v>1.3286106153474643E-7</v>
      </c>
      <c r="O109" s="42">
        <f t="shared" si="41"/>
        <v>188.51557086449358</v>
      </c>
      <c r="P109" s="23">
        <f>-(Données!I$47*1E-24*H109+Données!F$47)*O109+(Données!H$46*1E-24*H109)*M109</f>
        <v>2.6002078554856518E-8</v>
      </c>
      <c r="Q109" s="40">
        <f t="shared" si="42"/>
        <v>99.114225511808868</v>
      </c>
      <c r="R109" s="43">
        <f>-(Données!I$48*1E-24*H109+Données!F$48)*Q109+Données!H$47*1E-24*H109*O109</f>
        <v>3.3613423783191648E-8</v>
      </c>
      <c r="S109" s="42">
        <f t="shared" si="43"/>
        <v>47.152046349326078</v>
      </c>
      <c r="T109" s="22">
        <f>-(Données!I$49*1E-24*H109+Données!F$49)*S109+Données!F$47*O109</f>
        <v>-1.1117530169478372E-8</v>
      </c>
      <c r="U109" s="28">
        <f t="shared" si="44"/>
        <v>4506.6021447701505</v>
      </c>
      <c r="V109" s="19"/>
      <c r="W109" s="40">
        <f t="shared" si="45"/>
        <v>17.003885680948486</v>
      </c>
      <c r="X109" s="21">
        <f>-(Données!I$50*1E-24*H109+Données!F$50)*W109+Données!F$45*K109</f>
        <v>-1.2442105447624759E-7</v>
      </c>
      <c r="Y109" s="42">
        <f t="shared" si="46"/>
        <v>20092.283886672627</v>
      </c>
      <c r="Z109" s="23">
        <f>-(Données!I$51*1E-24*H109+Données!F$51)*Y109+Données!F$48*Q109</f>
        <v>-1.9985851730558894E-5</v>
      </c>
      <c r="AA109" s="15">
        <f t="shared" si="47"/>
        <v>20109.287772353575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3169964366479091.5</v>
      </c>
      <c r="I110" s="40">
        <f t="shared" si="38"/>
        <v>3.6034641090020387</v>
      </c>
      <c r="J110" s="21">
        <f>-(Données!I$44*1E-24*H110+Données!F$44)*I110</f>
        <v>-2.0973631076015176E-8</v>
      </c>
      <c r="K110" s="42">
        <f t="shared" si="39"/>
        <v>2751.2173635757717</v>
      </c>
      <c r="L110" s="23">
        <f>-(Données!I$45*1E-24*H110+Données!F$45)*K110+(I110*Données!H$44*1E-24*H110)+(Données!H$51*1E-24*H110)*Y110</f>
        <v>-2.556767424873209E-6</v>
      </c>
      <c r="M110" s="40">
        <f t="shared" si="40"/>
        <v>1410.5649842437172</v>
      </c>
      <c r="N110" s="21">
        <f>-(Données!I$46*1E-24*H110+Données!F$46)*M110+Données!H$45*1E-24*H110*K110</f>
        <v>1.22088057250711E-7</v>
      </c>
      <c r="O110" s="42">
        <f t="shared" si="41"/>
        <v>188.58390432693574</v>
      </c>
      <c r="P110" s="23">
        <f>-(Données!I$47*1E-24*H110+Données!F$47)*O110+(Données!H$46*1E-24*H110)*M110</f>
        <v>2.5777048409036441E-8</v>
      </c>
      <c r="Q110" s="40">
        <f t="shared" si="42"/>
        <v>99.202561589511092</v>
      </c>
      <c r="R110" s="43">
        <f>-(Données!I$48*1E-24*H110+Données!F$48)*Q110+Données!H$47*1E-24*H110*O110</f>
        <v>3.3501354571244463E-8</v>
      </c>
      <c r="S110" s="42">
        <f t="shared" si="43"/>
        <v>47.122829480040686</v>
      </c>
      <c r="T110" s="22">
        <f>-(Données!I$49*1E-24*H110+Données!F$49)*S110+Données!F$47*O110</f>
        <v>-1.0826566533169053E-8</v>
      </c>
      <c r="U110" s="28">
        <f t="shared" si="44"/>
        <v>4500.2951073249778</v>
      </c>
      <c r="V110" s="19"/>
      <c r="W110" s="40">
        <f t="shared" si="45"/>
        <v>16.676907149784906</v>
      </c>
      <c r="X110" s="21">
        <f>-(Données!I$50*1E-24*H110+Données!F$50)*W110+Données!F$45*K110</f>
        <v>-1.2198626811046645E-7</v>
      </c>
      <c r="Y110" s="42">
        <f t="shared" si="46"/>
        <v>20039.761068324719</v>
      </c>
      <c r="Z110" s="23">
        <f>-(Données!I$51*1E-24*H110+Données!F$51)*Y110+Données!F$48*Q110</f>
        <v>-1.9933607113916859E-5</v>
      </c>
      <c r="AA110" s="15">
        <f t="shared" si="47"/>
        <v>20056.437975474502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3169964366479091.5</v>
      </c>
      <c r="I111" s="40">
        <f t="shared" si="38"/>
        <v>3.548345406534271</v>
      </c>
      <c r="J111" s="21">
        <f>-(Données!I$44*1E-24*H111+Données!F$44)*I111</f>
        <v>-2.065281774307268E-8</v>
      </c>
      <c r="K111" s="42">
        <f t="shared" si="39"/>
        <v>2744.4981787832048</v>
      </c>
      <c r="L111" s="23">
        <f>-(Données!I$45*1E-24*H111+Données!F$45)*K111+(I111*Données!H$44*1E-24*H111)+(Données!H$51*1E-24*H111)*Y111</f>
        <v>-2.5534804440965999E-6</v>
      </c>
      <c r="M111" s="40">
        <f t="shared" si="40"/>
        <v>1410.885831658172</v>
      </c>
      <c r="N111" s="21">
        <f>-(Données!I$46*1E-24*H111+Données!F$46)*M111+Données!H$45*1E-24*H111*K111</f>
        <v>1.1140550194357422E-7</v>
      </c>
      <c r="O111" s="42">
        <f t="shared" si="41"/>
        <v>188.65164641015468</v>
      </c>
      <c r="P111" s="23">
        <f>-(Données!I$47*1E-24*H111+Données!F$47)*O111+(Données!H$46*1E-24*H111)*M111</f>
        <v>2.5517369268796818E-8</v>
      </c>
      <c r="Q111" s="40">
        <f t="shared" si="42"/>
        <v>99.290603149324326</v>
      </c>
      <c r="R111" s="43">
        <f>-(Données!I$48*1E-24*H111+Données!F$48)*Q111+Données!H$47*1E-24*H111*O111</f>
        <v>3.3389141015635954E-8</v>
      </c>
      <c r="S111" s="42">
        <f t="shared" si="43"/>
        <v>47.094377263191518</v>
      </c>
      <c r="T111" s="22">
        <f>-(Données!I$49*1E-24*H111+Données!F$49)*S111+Données!F$47*O111</f>
        <v>-1.0541381240309726E-8</v>
      </c>
      <c r="U111" s="28">
        <f t="shared" si="44"/>
        <v>4493.9689826705817</v>
      </c>
      <c r="V111" s="19"/>
      <c r="W111" s="40">
        <f t="shared" si="45"/>
        <v>16.356327237190602</v>
      </c>
      <c r="X111" s="21">
        <f>-(Données!I$50*1E-24*H111+Données!F$50)*W111+Données!F$45*K111</f>
        <v>-1.195992401789133E-7</v>
      </c>
      <c r="Y111" s="42">
        <f t="shared" si="46"/>
        <v>19987.375548829346</v>
      </c>
      <c r="Z111" s="23">
        <f>-(Données!I$51*1E-24*H111+Données!F$51)*Y111+Données!F$48*Q111</f>
        <v>-1.9881499068889552E-5</v>
      </c>
      <c r="AA111" s="15">
        <f t="shared" si="47"/>
        <v>20003.731876066537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3169964366479091.5</v>
      </c>
      <c r="I112" s="40">
        <f t="shared" si="38"/>
        <v>3.4940698015054759</v>
      </c>
      <c r="J112" s="21">
        <f>-(Données!I$44*1E-24*H112+Données!F$44)*I112</f>
        <v>-2.0336911581149861E-8</v>
      </c>
      <c r="K112" s="42">
        <f t="shared" si="39"/>
        <v>2737.7876321761191</v>
      </c>
      <c r="L112" s="23">
        <f>-(Données!I$45*1E-24*H112+Données!F$45)*K112+(I112*Données!H$44*1E-24*H112)+(Données!H$51*1E-24*H112)*Y112</f>
        <v>-2.550138176980272E-6</v>
      </c>
      <c r="M112" s="40">
        <f t="shared" si="40"/>
        <v>1411.1786053172798</v>
      </c>
      <c r="N112" s="21">
        <f>-(Données!I$46*1E-24*H112+Données!F$46)*M112+Données!H$45*1E-24*H112*K112</f>
        <v>1.0081295725276251E-7</v>
      </c>
      <c r="O112" s="42">
        <f t="shared" si="41"/>
        <v>188.71870605659308</v>
      </c>
      <c r="P112" s="23">
        <f>-(Données!I$47*1E-24*H112+Données!F$47)*O112+(Données!H$46*1E-24*H112)*M112</f>
        <v>2.5224358258170815E-8</v>
      </c>
      <c r="Q112" s="40">
        <f t="shared" si="42"/>
        <v>99.378349811913424</v>
      </c>
      <c r="R112" s="43">
        <f>-(Données!I$48*1E-24*H112+Données!F$48)*Q112+Données!H$47*1E-24*H112*O112</f>
        <v>3.3276654276548981E-8</v>
      </c>
      <c r="S112" s="42">
        <f t="shared" si="43"/>
        <v>47.066674513291986</v>
      </c>
      <c r="T112" s="22">
        <f>-(Données!I$49*1E-24*H112+Données!F$49)*S112+Données!F$47*O112</f>
        <v>-1.0262017270959274E-8</v>
      </c>
      <c r="U112" s="28">
        <f t="shared" si="44"/>
        <v>4487.6240376767037</v>
      </c>
      <c r="V112" s="19"/>
      <c r="W112" s="40">
        <f t="shared" si="45"/>
        <v>16.042020434000417</v>
      </c>
      <c r="X112" s="21">
        <f>-(Données!I$50*1E-24*H112+Données!F$50)*W112+Données!F$45*K112</f>
        <v>-1.1725903361040984E-7</v>
      </c>
      <c r="Y112" s="42">
        <f t="shared" si="46"/>
        <v>19935.126969276305</v>
      </c>
      <c r="Z112" s="23">
        <f>-(Données!I$51*1E-24*H112+Données!F$51)*Y112+Données!F$48*Q112</f>
        <v>-1.9829527238467897E-5</v>
      </c>
      <c r="AA112" s="15">
        <f t="shared" si="47"/>
        <v>19951.168989710306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3169964366479091.5</v>
      </c>
      <c r="I113" s="40">
        <f t="shared" si="38"/>
        <v>3.4406243978702142</v>
      </c>
      <c r="J113" s="21">
        <f>-(Données!I$44*1E-24*H113+Données!F$44)*I113</f>
        <v>-2.0025837530001579E-8</v>
      </c>
      <c r="K113" s="42">
        <f t="shared" si="39"/>
        <v>2731.085869047015</v>
      </c>
      <c r="L113" s="23">
        <f>-(Données!I$45*1E-24*H113+Données!F$45)*K113+(I113*Données!H$44*1E-24*H113)+(Données!H$51*1E-24*H113)*Y113</f>
        <v>-2.5467419655031149E-6</v>
      </c>
      <c r="M113" s="40">
        <f t="shared" si="40"/>
        <v>1411.4435417689401</v>
      </c>
      <c r="N113" s="21">
        <f>-(Données!I$46*1E-24*H113+Données!F$46)*M113+Données!H$45*1E-24*H113*K113</f>
        <v>9.0309982750681051E-8</v>
      </c>
      <c r="O113" s="42">
        <f t="shared" si="41"/>
        <v>188.78499567009555</v>
      </c>
      <c r="P113" s="23">
        <f>-(Données!I$47*1E-24*H113+Données!F$47)*O113+(Données!H$46*1E-24*H113)*M113</f>
        <v>2.4899293841401284E-8</v>
      </c>
      <c r="Q113" s="40">
        <f t="shared" si="42"/>
        <v>99.4658008593522</v>
      </c>
      <c r="R113" s="43">
        <f>-(Données!I$48*1E-24*H113+Données!F$48)*Q113+Données!H$47*1E-24*H113*O113</f>
        <v>3.3163771248731551E-8</v>
      </c>
      <c r="S113" s="42">
        <f t="shared" si="43"/>
        <v>47.039705931903903</v>
      </c>
      <c r="T113" s="22">
        <f>-(Données!I$49*1E-24*H113+Données!F$49)*S113+Données!F$47*O113</f>
        <v>-9.9885115746570066E-9</v>
      </c>
      <c r="U113" s="28">
        <f t="shared" si="44"/>
        <v>4481.2605376751771</v>
      </c>
      <c r="V113" s="19"/>
      <c r="W113" s="40">
        <f t="shared" si="45"/>
        <v>15.73386369367226</v>
      </c>
      <c r="X113" s="21">
        <f>-(Données!I$50*1E-24*H113+Données!F$50)*W113+Données!F$45*K113</f>
        <v>-1.1496472972072414E-7</v>
      </c>
      <c r="Y113" s="42">
        <f t="shared" si="46"/>
        <v>19883.01497169361</v>
      </c>
      <c r="Z113" s="23">
        <f>-(Données!I$51*1E-24*H113+Données!F$51)*Y113+Données!F$48*Q113</f>
        <v>-1.9777691266576082E-5</v>
      </c>
      <c r="AA113" s="15">
        <f t="shared" si="47"/>
        <v>19898.748835387283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3169964366479091.5</v>
      </c>
      <c r="I114" s="40">
        <f t="shared" si="38"/>
        <v>3.3879964968413701</v>
      </c>
      <c r="J114" s="21">
        <f>-(Données!I$44*1E-24*H114+Données!F$44)*I114</f>
        <v>-1.9719521677506602E-8</v>
      </c>
      <c r="K114" s="42">
        <f t="shared" si="39"/>
        <v>2724.3930311616728</v>
      </c>
      <c r="L114" s="23">
        <f>-(Données!I$45*1E-24*H114+Données!F$45)*K114+(I114*Données!H$44*1E-24*H114)+(Données!H$51*1E-24*H114)*Y114</f>
        <v>-2.5432931257471646E-6</v>
      </c>
      <c r="M114" s="40">
        <f t="shared" si="40"/>
        <v>1411.6808764036089</v>
      </c>
      <c r="N114" s="21">
        <f>-(Données!I$46*1E-24*H114+Données!F$46)*M114+Données!H$45*1E-24*H114*K114</f>
        <v>7.9896136058828377E-8</v>
      </c>
      <c r="O114" s="42">
        <f t="shared" si="41"/>
        <v>188.85043101431074</v>
      </c>
      <c r="P114" s="23">
        <f>-(Données!I$47*1E-24*H114+Données!F$47)*O114+(Données!H$46*1E-24*H114)*M114</f>
        <v>2.4543416900879133E-8</v>
      </c>
      <c r="Q114" s="40">
        <f t="shared" si="42"/>
        <v>99.552955250193861</v>
      </c>
      <c r="R114" s="43">
        <f>-(Données!I$48*1E-24*H114+Données!F$48)*Q114+Données!H$47*1E-24*H114*O114</f>
        <v>3.3050374381010271E-8</v>
      </c>
      <c r="S114" s="42">
        <f t="shared" si="43"/>
        <v>47.013456123485703</v>
      </c>
      <c r="T114" s="22">
        <f>-(Données!I$49*1E-24*H114+Données!F$49)*S114+Données!F$47*O114</f>
        <v>-9.7208953272648651E-9</v>
      </c>
      <c r="U114" s="28">
        <f t="shared" si="44"/>
        <v>4474.8787464501129</v>
      </c>
      <c r="V114" s="19"/>
      <c r="W114" s="40">
        <f t="shared" si="45"/>
        <v>15.431736383966197</v>
      </c>
      <c r="X114" s="21">
        <f>-(Données!I$50*1E-24*H114+Données!F$50)*W114+Données!F$45*K114</f>
        <v>-1.1271542785178832E-7</v>
      </c>
      <c r="Y114" s="42">
        <f t="shared" si="46"/>
        <v>19831.039199045048</v>
      </c>
      <c r="Z114" s="23">
        <f>-(Données!I$51*1E-24*H114+Données!F$51)*Y114+Données!F$48*Q114</f>
        <v>-1.972599079806913E-5</v>
      </c>
      <c r="AA114" s="15">
        <f t="shared" si="47"/>
        <v>19846.470935429013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3169964366479091.5</v>
      </c>
      <c r="I115" s="40">
        <f t="shared" si="38"/>
        <v>3.3361735938728829</v>
      </c>
      <c r="J115" s="21">
        <f>-(Données!I$44*1E-24*H115+Données!F$44)*I115</f>
        <v>-1.9417891242105873E-8</v>
      </c>
      <c r="K115" s="42">
        <f t="shared" si="39"/>
        <v>2717.7092568272092</v>
      </c>
      <c r="L115" s="23">
        <f>-(Données!I$45*1E-24*H115+Données!F$45)*K115+(I115*Données!H$44*1E-24*H115)+(Données!H$51*1E-24*H115)*Y115</f>
        <v>-2.5397929483830521E-6</v>
      </c>
      <c r="M115" s="40">
        <f t="shared" si="40"/>
        <v>1411.8908434491714</v>
      </c>
      <c r="N115" s="21">
        <f>-(Données!I$46*1E-24*H115+Données!F$46)*M115+Données!H$45*1E-24*H115*K115</f>
        <v>6.9570972961174329E-8</v>
      </c>
      <c r="O115" s="42">
        <f t="shared" si="41"/>
        <v>188.91493111392626</v>
      </c>
      <c r="P115" s="23">
        <f>-(Données!I$47*1E-24*H115+Données!F$47)*O115+(Données!H$46*1E-24*H115)*M115</f>
        <v>2.4157931785245796E-8</v>
      </c>
      <c r="Q115" s="40">
        <f t="shared" si="42"/>
        <v>99.639811634067158</v>
      </c>
      <c r="R115" s="43">
        <f>-(Données!I$48*1E-24*H115+Données!F$48)*Q115+Données!H$47*1E-24*H115*O115</f>
        <v>3.2936351500964085E-8</v>
      </c>
      <c r="S115" s="42">
        <f t="shared" si="43"/>
        <v>46.987909610565652</v>
      </c>
      <c r="T115" s="22">
        <f>-(Données!I$49*1E-24*H115+Données!F$49)*S115+Données!F$47*O115</f>
        <v>-9.4591941791636889E-9</v>
      </c>
      <c r="U115" s="28">
        <f t="shared" si="44"/>
        <v>4468.4789262288123</v>
      </c>
      <c r="V115" s="19"/>
      <c r="W115" s="40">
        <f t="shared" si="45"/>
        <v>15.135520239571697</v>
      </c>
      <c r="X115" s="21">
        <f>-(Données!I$50*1E-24*H115+Données!F$50)*W115+Données!F$45*K115</f>
        <v>-1.1051024501799518E-7</v>
      </c>
      <c r="Y115" s="42">
        <f t="shared" si="46"/>
        <v>19779.199295227721</v>
      </c>
      <c r="Z115" s="23">
        <f>-(Données!I$51*1E-24*H115+Données!F$51)*Y115+Données!F$48*Q115</f>
        <v>-1.9674425478730463E-5</v>
      </c>
      <c r="AA115" s="15">
        <f t="shared" si="47"/>
        <v>19794.334815467293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3169964366479091.5</v>
      </c>
      <c r="I116" s="40">
        <f t="shared" si="38"/>
        <v>3.2851433756886288</v>
      </c>
      <c r="J116" s="21">
        <f>-(Données!I$44*1E-24*H116+Données!F$44)*I116</f>
        <v>-1.9120874555509399E-8</v>
      </c>
      <c r="K116" s="42">
        <f t="shared" si="39"/>
        <v>2711.0346809588586</v>
      </c>
      <c r="L116" s="23">
        <f>-(Données!I$45*1E-24*H116+Données!F$45)*K116+(I116*Données!H$44*1E-24*H116)+(Données!H$51*1E-24*H116)*Y116</f>
        <v>-2.5362426991463541E-6</v>
      </c>
      <c r="M116" s="40">
        <f t="shared" si="40"/>
        <v>1412.0736759661133</v>
      </c>
      <c r="N116" s="21">
        <f>-(Données!I$46*1E-24*H116+Données!F$46)*M116+Données!H$45*1E-24*H116*K116</f>
        <v>5.9334047514852836E-8</v>
      </c>
      <c r="O116" s="42">
        <f t="shared" si="41"/>
        <v>188.97841815865789</v>
      </c>
      <c r="P116" s="23">
        <f>-(Données!I$47*1E-24*H116+Données!F$47)*O116+(Données!H$46*1E-24*H116)*M116</f>
        <v>2.3744007328494997E-8</v>
      </c>
      <c r="Q116" s="40">
        <f t="shared" si="42"/>
        <v>99.726368365811695</v>
      </c>
      <c r="R116" s="43">
        <f>-(Données!I$48*1E-24*H116+Données!F$48)*Q116+Données!H$47*1E-24*H116*O116</f>
        <v>3.2821595644615328E-8</v>
      </c>
      <c r="S116" s="42">
        <f t="shared" si="43"/>
        <v>46.96305084826281</v>
      </c>
      <c r="T116" s="22">
        <f>-(Données!I$49*1E-24*H116+Données!F$49)*S116+Données!F$47*O116</f>
        <v>-9.2034284950680438E-9</v>
      </c>
      <c r="U116" s="28">
        <f t="shared" si="44"/>
        <v>4462.0613376733945</v>
      </c>
      <c r="V116" s="19"/>
      <c r="W116" s="40">
        <f t="shared" si="45"/>
        <v>14.845099315664406</v>
      </c>
      <c r="X116" s="21">
        <f>-(Données!I$50*1E-24*H116+Données!F$50)*W116+Données!F$45*K116</f>
        <v>-1.0834831555943516E-7</v>
      </c>
      <c r="Y116" s="42">
        <f t="shared" si="46"/>
        <v>19727.49490506962</v>
      </c>
      <c r="Z116" s="23">
        <f>-(Données!I$51*1E-24*H116+Données!F$51)*Y116+Données!F$48*Q116</f>
        <v>-1.9622994955269459E-5</v>
      </c>
      <c r="AA116" s="15">
        <f t="shared" si="47"/>
        <v>19742.340004385285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3169964366479091.5</v>
      </c>
      <c r="I117" s="40">
        <f t="shared" si="38"/>
        <v>3.23489371735675</v>
      </c>
      <c r="J117" s="21">
        <f>-(Données!I$44*1E-24*H117+Données!F$44)*I117</f>
        <v>-1.8828401045667636E-8</v>
      </c>
      <c r="K117" s="42">
        <f t="shared" si="39"/>
        <v>2704.3694351455019</v>
      </c>
      <c r="L117" s="23">
        <f>-(Données!I$45*1E-24*H117+Données!F$45)*K117+(I117*Données!H$44*1E-24*H117)+(Données!H$51*1E-24*H117)*Y117</f>
        <v>-2.5326436193050844E-6</v>
      </c>
      <c r="M117" s="40">
        <f t="shared" si="40"/>
        <v>1412.2296058429824</v>
      </c>
      <c r="N117" s="21">
        <f>-(Données!I$46*1E-24*H117+Données!F$46)*M117+Données!H$45*1E-24*H117*K117</f>
        <v>4.9184912158236553E-8</v>
      </c>
      <c r="O117" s="42">
        <f t="shared" si="41"/>
        <v>189.04081740991717</v>
      </c>
      <c r="P117" s="23">
        <f>-(Données!I$47*1E-24*H117+Données!F$47)*O117+(Données!H$46*1E-24*H117)*M117</f>
        <v>2.3302777840864925E-8</v>
      </c>
      <c r="Q117" s="40">
        <f t="shared" si="42"/>
        <v>99.81262351916574</v>
      </c>
      <c r="R117" s="43">
        <f>-(Données!I$48*1E-24*H117+Données!F$48)*Q117+Données!H$47*1E-24*H117*O117</f>
        <v>3.2706004890997441E-8</v>
      </c>
      <c r="S117" s="42">
        <f t="shared" si="43"/>
        <v>46.938864238177771</v>
      </c>
      <c r="T117" s="22">
        <f>-(Données!I$49*1E-24*H117+Données!F$49)*S117+Données!F$47*O117</f>
        <v>-8.9536135857169975E-9</v>
      </c>
      <c r="U117" s="28">
        <f t="shared" si="44"/>
        <v>4455.6262398731023</v>
      </c>
      <c r="V117" s="19"/>
      <c r="W117" s="40">
        <f t="shared" si="45"/>
        <v>14.560359942374211</v>
      </c>
      <c r="X117" s="21">
        <f>-(Données!I$50*1E-24*H117+Données!F$50)*W117+Données!F$45*K117</f>
        <v>-1.0622879080193724E-7</v>
      </c>
      <c r="Y117" s="42">
        <f t="shared" si="46"/>
        <v>19675.925674327173</v>
      </c>
      <c r="Z117" s="23">
        <f>-(Données!I$51*1E-24*H117+Données!F$51)*Y117+Données!F$48*Q117</f>
        <v>-1.9571698875319052E-5</v>
      </c>
      <c r="AA117" s="15">
        <f t="shared" si="47"/>
        <v>19690.486034269547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3169964366479091.5</v>
      </c>
      <c r="I118" s="40">
        <f t="shared" si="38"/>
        <v>3.1854126794087354</v>
      </c>
      <c r="J118" s="21">
        <f>-(Données!I$44*1E-24*H118+Données!F$44)*I118</f>
        <v>-1.8540401220003389E-8</v>
      </c>
      <c r="K118" s="42">
        <f t="shared" si="39"/>
        <v>2697.7136477139684</v>
      </c>
      <c r="L118" s="23">
        <f>-(Données!I$45*1E-24*H118+Données!F$45)*K118+(I118*Données!H$44*1E-24*H118)+(Données!H$51*1E-24*H118)*Y118</f>
        <v>-2.5289969261184634E-6</v>
      </c>
      <c r="M118" s="40">
        <f t="shared" si="40"/>
        <v>1412.3588637921343</v>
      </c>
      <c r="N118" s="21">
        <f>-(Données!I$46*1E-24*H118+Données!F$46)*M118+Données!H$45*1E-24*H118*K118</f>
        <v>3.9123117816419562E-8</v>
      </c>
      <c r="O118" s="42">
        <f t="shared" si="41"/>
        <v>189.10205711008297</v>
      </c>
      <c r="P118" s="23">
        <f>-(Données!I$47*1E-24*H118+Données!F$47)*O118+(Données!H$46*1E-24*H118)*M118</f>
        <v>2.2835344072319153E-8</v>
      </c>
      <c r="Q118" s="40">
        <f t="shared" si="42"/>
        <v>99.898574900019284</v>
      </c>
      <c r="R118" s="43">
        <f>-(Données!I$48*1E-24*H118+Données!F$48)*Q118+Données!H$47*1E-24*H118*O118</f>
        <v>3.2589482201464222E-8</v>
      </c>
      <c r="S118" s="42">
        <f t="shared" si="43"/>
        <v>46.915334141674506</v>
      </c>
      <c r="T118" s="22">
        <f>-(Données!I$49*1E-24*H118+Données!F$49)*S118+Données!F$47*O118</f>
        <v>-8.7097599316908223E-9</v>
      </c>
      <c r="U118" s="28">
        <f t="shared" si="44"/>
        <v>4449.173890337287</v>
      </c>
      <c r="V118" s="19"/>
      <c r="W118" s="40">
        <f t="shared" si="45"/>
        <v>14.28119068014672</v>
      </c>
      <c r="X118" s="21">
        <f>-(Données!I$50*1E-24*H118+Données!F$50)*W118+Données!F$45*K118</f>
        <v>-1.0415083872378041E-7</v>
      </c>
      <c r="Y118" s="42">
        <f t="shared" si="46"/>
        <v>19624.491249682833</v>
      </c>
      <c r="Z118" s="23">
        <f>-(Données!I$51*1E-24*H118+Données!F$51)*Y118+Données!F$48*Q118</f>
        <v>-1.9520536887433301E-5</v>
      </c>
      <c r="AA118" s="15">
        <f t="shared" si="47"/>
        <v>19638.77244036298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3169964366479091.5</v>
      </c>
      <c r="I119" s="40">
        <f t="shared" si="38"/>
        <v>3.1366885050025664</v>
      </c>
      <c r="J119" s="21">
        <f>-(Données!I$44*1E-24*H119+Données!F$44)*I119</f>
        <v>-1.8256806648900132E-8</v>
      </c>
      <c r="K119" s="42">
        <f t="shared" si="39"/>
        <v>2691.0674437921289</v>
      </c>
      <c r="L119" s="23">
        <f>-(Données!I$45*1E-24*H119+Données!F$45)*K119+(I119*Données!H$44*1E-24*H119)+(Données!H$51*1E-24*H119)*Y119</f>
        <v>-2.5253038132871301E-6</v>
      </c>
      <c r="M119" s="40">
        <f t="shared" si="40"/>
        <v>1412.4616793457558</v>
      </c>
      <c r="N119" s="21">
        <f>-(Données!I$46*1E-24*H119+Données!F$46)*M119+Données!H$45*1E-24*H119*K119</f>
        <v>2.9148214004198795E-8</v>
      </c>
      <c r="O119" s="42">
        <f t="shared" si="41"/>
        <v>189.16206839430501</v>
      </c>
      <c r="P119" s="23">
        <f>-(Données!I$47*1E-24*H119+Données!F$47)*O119+(Données!H$46*1E-24*H119)*M119</f>
        <v>2.2342774149364233E-8</v>
      </c>
      <c r="Q119" s="40">
        <f t="shared" si="42"/>
        <v>99.984220059244734</v>
      </c>
      <c r="R119" s="43">
        <f>-(Données!I$48*1E-24*H119+Données!F$48)*Q119+Données!H$47*1E-24*H119*O119</f>
        <v>3.2471935263607086E-8</v>
      </c>
      <c r="S119" s="42">
        <f t="shared" si="43"/>
        <v>46.892444892574026</v>
      </c>
      <c r="T119" s="22">
        <f>-(Données!I$49*1E-24*H119+Données!F$49)*S119+Données!F$47*O119</f>
        <v>-8.471873399595827E-9</v>
      </c>
      <c r="U119" s="28">
        <f t="shared" si="44"/>
        <v>4442.7045449890102</v>
      </c>
      <c r="V119" s="19"/>
      <c r="W119" s="40">
        <f t="shared" si="45"/>
        <v>14.007482275980625</v>
      </c>
      <c r="X119" s="21">
        <f>-(Données!I$50*1E-24*H119+Données!F$50)*W119+Données!F$45*K119</f>
        <v>-1.0211364362894467E-7</v>
      </c>
      <c r="Y119" s="42">
        <f t="shared" si="46"/>
        <v>19573.191278742659</v>
      </c>
      <c r="Z119" s="23">
        <f>-(Données!I$51*1E-24*H119+Données!F$51)*Y119+Données!F$48*Q119</f>
        <v>-1.9469508641084993E-5</v>
      </c>
      <c r="AA119" s="15">
        <f t="shared" si="47"/>
        <v>19587.198761018641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3169964366479091.5</v>
      </c>
      <c r="I120" s="40">
        <f t="shared" si="38"/>
        <v>3.0887096171292567</v>
      </c>
      <c r="J120" s="21">
        <f>-(Données!I$44*1E-24*H120+Données!F$44)*I120</f>
        <v>-1.7977549949442959E-8</v>
      </c>
      <c r="K120" s="42">
        <f t="shared" si="39"/>
        <v>2684.4309453708102</v>
      </c>
      <c r="L120" s="23">
        <f>-(Données!I$45*1E-24*H120+Données!F$45)*K120+(I120*Données!H$44*1E-24*H120)+(Données!H$51*1E-24*H120)*Y120</f>
        <v>-2.5215654513949916E-6</v>
      </c>
      <c r="M120" s="40">
        <f t="shared" si="40"/>
        <v>1412.5382808521588</v>
      </c>
      <c r="N120" s="21">
        <f>-(Données!I$46*1E-24*H120+Données!F$46)*M120+Données!H$45*1E-24*H120*K120</f>
        <v>1.9259748926566867E-8</v>
      </c>
      <c r="O120" s="42">
        <f t="shared" si="41"/>
        <v>189.22078520476953</v>
      </c>
      <c r="P120" s="23">
        <f>-(Données!I$47*1E-24*H120+Données!F$47)*O120+(Données!H$46*1E-24*H120)*M120</f>
        <v>2.1826104485948499E-8</v>
      </c>
      <c r="Q120" s="40">
        <f t="shared" si="42"/>
        <v>100.06955630511749</v>
      </c>
      <c r="R120" s="43">
        <f>-(Données!I$48*1E-24*H120+Données!F$48)*Q120+Données!H$47*1E-24*H120*O120</f>
        <v>3.2353276339653588E-8</v>
      </c>
      <c r="S120" s="42">
        <f t="shared" si="43"/>
        <v>46.870180809279887</v>
      </c>
      <c r="T120" s="22">
        <f>-(Données!I$49*1E-24*H120+Données!F$49)*S120+Données!F$47*O120</f>
        <v>-8.2399554508523132E-9</v>
      </c>
      <c r="U120" s="28">
        <f t="shared" si="44"/>
        <v>4436.2184581592655</v>
      </c>
      <c r="V120" s="19"/>
      <c r="W120" s="40">
        <f t="shared" si="45"/>
        <v>13.739127620523758</v>
      </c>
      <c r="X120" s="21">
        <f>-(Données!I$50*1E-24*H120+Données!F$50)*W120+Données!F$45*K120</f>
        <v>-1.0011640582677349E-7</v>
      </c>
      <c r="Y120" s="42">
        <f t="shared" si="46"/>
        <v>19522.025410033886</v>
      </c>
      <c r="Z120" s="23">
        <f>-(Données!I$51*1E-24*H120+Données!F$51)*Y120+Données!F$48*Q120</f>
        <v>-1.9418613786663232E-5</v>
      </c>
      <c r="AA120" s="15">
        <f t="shared" si="47"/>
        <v>19535.76453765441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3169964366479091.5</v>
      </c>
      <c r="I121" s="40">
        <f t="shared" si="38"/>
        <v>3.0414646158621208</v>
      </c>
      <c r="J121" s="21">
        <f>-(Données!I$44*1E-24*H121+Données!F$44)*I121</f>
        <v>-1.7702564769408184E-8</v>
      </c>
      <c r="K121" s="42">
        <f t="shared" si="39"/>
        <v>2677.8042713645441</v>
      </c>
      <c r="L121" s="23">
        <f>-(Données!I$45*1E-24*H121+Données!F$45)*K121+(I121*Données!H$44*1E-24*H121)+(Données!H$51*1E-24*H121)*Y121</f>
        <v>-2.5177829883427887E-6</v>
      </c>
      <c r="M121" s="40">
        <f t="shared" si="40"/>
        <v>1412.5888954723378</v>
      </c>
      <c r="N121" s="21">
        <f>-(Données!I$46*1E-24*H121+Données!F$46)*M121+Données!H$45*1E-24*H121*K121</f>
        <v>9.4572695767908702E-9</v>
      </c>
      <c r="O121" s="42">
        <f t="shared" si="41"/>
        <v>189.27814420735859</v>
      </c>
      <c r="P121" s="23">
        <f>-(Données!I$47*1E-24*H121+Données!F$47)*O121+(Données!H$46*1E-24*H121)*M121</f>
        <v>2.1286340669159111E-8</v>
      </c>
      <c r="Q121" s="40">
        <f t="shared" si="42"/>
        <v>100.1545807153381</v>
      </c>
      <c r="R121" s="43">
        <f>-(Données!I$48*1E-24*H121+Données!F$48)*Q121+Données!H$47*1E-24*H121*O121</f>
        <v>3.2233422119220487E-8</v>
      </c>
      <c r="S121" s="42">
        <f t="shared" si="43"/>
        <v>46.848526206355046</v>
      </c>
      <c r="T121" s="22">
        <f>-(Données!I$49*1E-24*H121+Données!F$49)*S121+Données!F$47*O121</f>
        <v>-8.0140033433145692E-9</v>
      </c>
      <c r="U121" s="28">
        <f t="shared" si="44"/>
        <v>4429.7158825817951</v>
      </c>
      <c r="V121" s="19"/>
      <c r="W121" s="40">
        <f t="shared" si="45"/>
        <v>13.476021706010998</v>
      </c>
      <c r="X121" s="21">
        <f>-(Données!I$50*1E-24*H121+Données!F$50)*W121+Données!F$45*K121</f>
        <v>-9.8158341317921565E-8</v>
      </c>
      <c r="Y121" s="42">
        <f t="shared" si="46"/>
        <v>19470.993293002535</v>
      </c>
      <c r="Z121" s="23">
        <f>-(Données!I$51*1E-24*H121+Données!F$51)*Y121+Données!F$48*Q121</f>
        <v>-1.9367851975471051E-5</v>
      </c>
      <c r="AA121" s="15">
        <f t="shared" si="47"/>
        <v>19484.469314708545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3169964366479091.5</v>
      </c>
      <c r="I122" s="40">
        <f t="shared" si="38"/>
        <v>2.9949422756481159</v>
      </c>
      <c r="J122" s="21">
        <f>-(Données!I$44*1E-24*H122+Données!F$44)*I122</f>
        <v>-1.7431785771497856E-8</v>
      </c>
      <c r="K122" s="42">
        <f t="shared" si="39"/>
        <v>2671.1875376711791</v>
      </c>
      <c r="L122" s="23">
        <f>-(Données!I$45*1E-24*H122+Données!F$45)*K122+(I122*Données!H$44*1E-24*H122)+(Données!H$51*1E-24*H122)*Y122</f>
        <v>-2.5139575497735876E-6</v>
      </c>
      <c r="M122" s="40">
        <f t="shared" si="40"/>
        <v>1412.6137491767856</v>
      </c>
      <c r="N122" s="21">
        <f>-(Données!I$46*1E-24*H122+Données!F$46)*M122+Données!H$45*1E-24*H122*K122</f>
        <v>-2.5967816788222158E-10</v>
      </c>
      <c r="O122" s="42">
        <f t="shared" si="41"/>
        <v>189.33408471063714</v>
      </c>
      <c r="P122" s="23">
        <f>-(Données!I$47*1E-24*H122+Données!F$47)*O122+(Données!H$46*1E-24*H122)*M122</f>
        <v>2.0724458320416961E-8</v>
      </c>
      <c r="Q122" s="40">
        <f t="shared" si="42"/>
        <v>100.23929014866741</v>
      </c>
      <c r="R122" s="43">
        <f>-(Données!I$48*1E-24*H122+Données!F$48)*Q122+Données!H$47*1E-24*H122*O122</f>
        <v>3.2112293576301068E-8</v>
      </c>
      <c r="S122" s="42">
        <f t="shared" si="43"/>
        <v>46.827465405568816</v>
      </c>
      <c r="T122" s="22">
        <f>-(Données!I$49*1E-24*H122+Données!F$49)*S122+Données!F$47*O122</f>
        <v>-7.7940103259442405E-9</v>
      </c>
      <c r="U122" s="28">
        <f t="shared" si="44"/>
        <v>4423.1970693884859</v>
      </c>
      <c r="V122" s="19"/>
      <c r="W122" s="40">
        <f t="shared" si="45"/>
        <v>13.218061585027501</v>
      </c>
      <c r="X122" s="21">
        <f>-(Données!I$50*1E-24*H122+Données!F$50)*W122+Données!F$45*K122</f>
        <v>-9.6238681486465011E-8</v>
      </c>
      <c r="Y122" s="42">
        <f t="shared" si="46"/>
        <v>19420.094578010998</v>
      </c>
      <c r="Z122" s="23">
        <f>-(Données!I$51*1E-24*H122+Données!F$51)*Y122+Données!F$48*Q122</f>
        <v>-1.9317222859723014E-5</v>
      </c>
      <c r="AA122" s="15">
        <f t="shared" si="47"/>
        <v>19433.312639596024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3169964366479091.5</v>
      </c>
      <c r="I123" s="40">
        <f t="shared" si="38"/>
        <v>2.9491315426406195</v>
      </c>
      <c r="J123" s="21">
        <f>-(Données!I$44*1E-24*H123+Données!F$44)*I123</f>
        <v>-1.7165148617815435E-8</v>
      </c>
      <c r="K123" s="42">
        <f t="shared" si="39"/>
        <v>2664.580857230374</v>
      </c>
      <c r="L123" s="23">
        <f>-(Données!I$45*1E-24*H123+Données!F$45)*K123+(I123*Données!H$44*1E-24*H123)+(Données!H$51*1E-24*H123)*Y123</f>
        <v>-2.510090239490381E-6</v>
      </c>
      <c r="M123" s="40">
        <f t="shared" si="40"/>
        <v>1412.6130667425605</v>
      </c>
      <c r="N123" s="21">
        <f>-(Données!I$46*1E-24*H123+Données!F$46)*M123+Données!H$45*1E-24*H123*K123</f>
        <v>-9.8915494528427117E-9</v>
      </c>
      <c r="O123" s="42">
        <f t="shared" si="41"/>
        <v>189.3885485871032</v>
      </c>
      <c r="P123" s="23">
        <f>-(Données!I$47*1E-24*H123+Données!F$47)*O123+(Données!H$46*1E-24*H123)*M123</f>
        <v>2.0141403932847524E-8</v>
      </c>
      <c r="Q123" s="40">
        <f t="shared" si="42"/>
        <v>100.32368125618592</v>
      </c>
      <c r="R123" s="43">
        <f>-(Données!I$48*1E-24*H123+Données!F$48)*Q123+Données!H$47*1E-24*H123*O123</f>
        <v>3.1989815830368052E-8</v>
      </c>
      <c r="S123" s="42">
        <f t="shared" si="43"/>
        <v>46.806982746432233</v>
      </c>
      <c r="T123" s="22">
        <f>-(Données!I$49*1E-24*H123+Données!F$49)*S123+Données!F$47*O123</f>
        <v>-7.5799658267516941E-9</v>
      </c>
      <c r="U123" s="28">
        <f t="shared" si="44"/>
        <v>4416.6622681052968</v>
      </c>
      <c r="V123" s="19"/>
      <c r="W123" s="40">
        <f t="shared" si="45"/>
        <v>12.965146330081071</v>
      </c>
      <c r="X123" s="21">
        <f>-(Données!I$50*1E-24*H123+Données!F$50)*W123+Données!F$45*K123</f>
        <v>-9.4356672798052636E-8</v>
      </c>
      <c r="Y123" s="42">
        <f t="shared" si="46"/>
        <v>19369.328916335646</v>
      </c>
      <c r="Z123" s="23">
        <f>-(Données!I$51*1E-24*H123+Données!F$51)*Y123+Données!F$48*Q123</f>
        <v>-1.9266726092542829E-5</v>
      </c>
      <c r="AA123" s="15">
        <f t="shared" si="47"/>
        <v>19382.294062665726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3169964366479091.5</v>
      </c>
      <c r="I124" s="40">
        <f t="shared" si="38"/>
        <v>2.9040215320730005</v>
      </c>
      <c r="J124" s="21">
        <f>-(Données!I$44*1E-24*H124+Données!F$44)*I124</f>
        <v>-1.6902589954578905E-8</v>
      </c>
      <c r="K124" s="42">
        <f t="shared" si="39"/>
        <v>2657.9843400809932</v>
      </c>
      <c r="L124" s="23">
        <f>-(Données!I$45*1E-24*H124+Données!F$45)*K124+(I124*Données!H$44*1E-24*H124)+(Données!H$51*1E-24*H124)*Y124</f>
        <v>-2.5061821398658349E-6</v>
      </c>
      <c r="M124" s="40">
        <f t="shared" si="40"/>
        <v>1412.5870717505984</v>
      </c>
      <c r="N124" s="21">
        <f>-(Données!I$46*1E-24*H124+Données!F$46)*M124+Données!H$45*1E-24*H124*K124</f>
        <v>-1.9438800355014704E-8</v>
      </c>
      <c r="O124" s="42">
        <f t="shared" si="41"/>
        <v>189.44148019663874</v>
      </c>
      <c r="P124" s="23">
        <f>-(Données!I$47*1E-24*H124+Données!F$47)*O124+(Données!H$46*1E-24*H124)*M124</f>
        <v>1.9538095685488306E-8</v>
      </c>
      <c r="Q124" s="40">
        <f t="shared" si="42"/>
        <v>100.40775049218813</v>
      </c>
      <c r="R124" s="43">
        <f>-(Données!I$48*1E-24*H124+Données!F$48)*Q124+Données!H$47*1E-24*H124*O124</f>
        <v>3.1865918011477054E-8</v>
      </c>
      <c r="S124" s="42">
        <f t="shared" si="43"/>
        <v>46.787062596239529</v>
      </c>
      <c r="T124" s="22">
        <f>-(Données!I$49*1E-24*H124+Données!F$49)*S124+Données!F$47*O124</f>
        <v>-7.3718556342153881E-9</v>
      </c>
      <c r="U124" s="28">
        <f t="shared" si="44"/>
        <v>4410.1117266487308</v>
      </c>
      <c r="V124" s="19"/>
      <c r="W124" s="40">
        <f t="shared" si="45"/>
        <v>12.717176993967788</v>
      </c>
      <c r="X124" s="21">
        <f>-(Données!I$50*1E-24*H124+Données!F$50)*W124+Données!F$45*K124</f>
        <v>-9.2511576503980049E-8</v>
      </c>
      <c r="Y124" s="42">
        <f t="shared" si="46"/>
        <v>19318.695960164445</v>
      </c>
      <c r="Z124" s="23">
        <f>-(Données!I$51*1E-24*H124+Données!F$51)*Y124+Données!F$48*Q124</f>
        <v>-1.9216361327960994E-5</v>
      </c>
      <c r="AA124" s="15">
        <f t="shared" si="47"/>
        <v>19331.413137158412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3169964366479091.5</v>
      </c>
      <c r="I125" s="40">
        <f t="shared" si="38"/>
        <v>2.859601525672367</v>
      </c>
      <c r="J125" s="21">
        <f>-(Données!I$44*1E-24*H125+Données!F$44)*I125</f>
        <v>-1.6644047397067729E-8</v>
      </c>
      <c r="K125" s="42">
        <f t="shared" si="39"/>
        <v>2651.3980934174256</v>
      </c>
      <c r="L125" s="23">
        <f>-(Données!I$45*1E-24*H125+Données!F$45)*K125+(I125*Données!H$44*1E-24*H125)+(Données!H$51*1E-24*H125)*Y125</f>
        <v>-2.502234312244443E-6</v>
      </c>
      <c r="M125" s="40">
        <f t="shared" si="40"/>
        <v>1412.5359865832654</v>
      </c>
      <c r="N125" s="21">
        <f>-(Données!I$46*1E-24*H125+Données!F$46)*M125+Données!H$45*1E-24*H125*K125</f>
        <v>-2.8901887793982867E-8</v>
      </c>
      <c r="O125" s="42">
        <f t="shared" si="41"/>
        <v>189.49282631210019</v>
      </c>
      <c r="P125" s="23">
        <f>-(Données!I$47*1E-24*H125+Données!F$47)*O125+(Données!H$46*1E-24*H125)*M125</f>
        <v>1.8915424234977935E-8</v>
      </c>
      <c r="Q125" s="40">
        <f t="shared" si="42"/>
        <v>100.49149412472229</v>
      </c>
      <c r="R125" s="43">
        <f>-(Données!I$48*1E-24*H125+Données!F$48)*Q125+Données!H$47*1E-24*H125*O125</f>
        <v>3.1740533129259947E-8</v>
      </c>
      <c r="S125" s="42">
        <f t="shared" si="43"/>
        <v>46.767689359632811</v>
      </c>
      <c r="T125" s="22">
        <f>-(Données!I$49*1E-24*H125+Données!F$49)*S125+Données!F$47*O125</f>
        <v>-7.1696620723800461E-9</v>
      </c>
      <c r="U125" s="28">
        <f t="shared" si="44"/>
        <v>4403.545691322819</v>
      </c>
      <c r="V125" s="19"/>
      <c r="W125" s="40">
        <f t="shared" si="45"/>
        <v>12.474056570915328</v>
      </c>
      <c r="X125" s="21">
        <f>-(Données!I$50*1E-24*H125+Données!F$50)*W125+Données!F$45*K125</f>
        <v>-9.0702668351070184E-8</v>
      </c>
      <c r="Y125" s="42">
        <f t="shared" si="46"/>
        <v>19268.195362594564</v>
      </c>
      <c r="Z125" s="23">
        <f>-(Données!I$51*1E-24*H125+Données!F$51)*Y125+Données!F$48*Q125</f>
        <v>-1.9166128220912396E-5</v>
      </c>
      <c r="AA125" s="15">
        <f t="shared" si="47"/>
        <v>19280.669419165479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3169964366479091.5</v>
      </c>
      <c r="I126" s="40">
        <f t="shared" si="38"/>
        <v>2.8158609691128729</v>
      </c>
      <c r="J126" s="21">
        <f>-(Données!I$44*1E-24*H126+Données!F$44)*I126</f>
        <v>-1.6389459514800052E-8</v>
      </c>
      <c r="K126" s="42">
        <f t="shared" si="39"/>
        <v>2644.8222216448471</v>
      </c>
      <c r="L126" s="23">
        <f>-(Données!I$45*1E-24*H126+Données!F$45)*K126+(I126*Données!H$44*1E-24*H126)+(Données!H$51*1E-24*H126)*Y126</f>
        <v>-2.4982477973371595E-6</v>
      </c>
      <c r="M126" s="40">
        <f t="shared" si="40"/>
        <v>1412.4600324221428</v>
      </c>
      <c r="N126" s="21">
        <f>-(Données!I$46*1E-24*H126+Données!F$46)*M126+Données!H$45*1E-24*H126*K126</f>
        <v>-3.828126944530369E-8</v>
      </c>
      <c r="O126" s="42">
        <f t="shared" si="41"/>
        <v>189.54253604698971</v>
      </c>
      <c r="P126" s="23">
        <f>-(Données!I$47*1E-24*H126+Données!F$47)*O126+(Données!H$46*1E-24*H126)*M126</f>
        <v>1.8274253485340548E-8</v>
      </c>
      <c r="Q126" s="40">
        <f t="shared" si="42"/>
        <v>100.57490824578599</v>
      </c>
      <c r="R126" s="43">
        <f>-(Données!I$48*1E-24*H126+Données!F$48)*Q126+Données!H$47*1E-24*H126*O126</f>
        <v>3.1613597945698179E-8</v>
      </c>
      <c r="S126" s="42">
        <f t="shared" si="43"/>
        <v>46.748847487706598</v>
      </c>
      <c r="T126" s="22">
        <f>-(Données!I$49*1E-24*H126+Données!F$49)*S126+Données!F$47*O126</f>
        <v>-6.973364169832054E-9</v>
      </c>
      <c r="U126" s="28">
        <f t="shared" si="44"/>
        <v>4396.9644068165844</v>
      </c>
      <c r="V126" s="19"/>
      <c r="W126" s="40">
        <f t="shared" si="45"/>
        <v>12.235689958488717</v>
      </c>
      <c r="X126" s="21">
        <f>-(Données!I$50*1E-24*H126+Données!F$50)*W126+Données!F$45*K126</f>
        <v>-8.8929238297246564E-8</v>
      </c>
      <c r="Y126" s="42">
        <f t="shared" si="46"/>
        <v>19217.826777630005</v>
      </c>
      <c r="Z126" s="23">
        <f>-(Données!I$51*1E-24*H126+Données!F$51)*Y126+Données!F$48*Q126</f>
        <v>-1.9116026427233961E-5</v>
      </c>
      <c r="AA126" s="15">
        <f t="shared" si="47"/>
        <v>19230.062467588494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3169964366479091.5</v>
      </c>
      <c r="I127" s="40">
        <f t="shared" si="38"/>
        <v>2.7727894695079782</v>
      </c>
      <c r="J127" s="21">
        <f>-(Données!I$44*1E-24*H127+Données!F$44)*I127</f>
        <v>-1.6138765816936647E-8</v>
      </c>
      <c r="K127" s="42">
        <f t="shared" si="39"/>
        <v>2638.256826433445</v>
      </c>
      <c r="L127" s="23">
        <f>-(Données!I$45*1E-24*H127+Données!F$45)*K127+(I127*Données!H$44*1E-24*H127)+(Données!H$51*1E-24*H127)*Y127</f>
        <v>-2.4942236156086893E-6</v>
      </c>
      <c r="M127" s="40">
        <f t="shared" si="40"/>
        <v>1412.3594292460405</v>
      </c>
      <c r="N127" s="21">
        <f>-(Données!I$46*1E-24*H127+Données!F$46)*M127+Données!H$45*1E-24*H127*K127</f>
        <v>-4.7577403655954658E-8</v>
      </c>
      <c r="O127" s="42">
        <f t="shared" si="41"/>
        <v>189.59056078514919</v>
      </c>
      <c r="P127" s="23">
        <f>-(Données!I$47*1E-24*H127+Données!F$47)*O127+(Données!H$46*1E-24*H127)*M127</f>
        <v>1.7615421336489325E-8</v>
      </c>
      <c r="Q127" s="40">
        <f t="shared" si="42"/>
        <v>100.65798878118729</v>
      </c>
      <c r="R127" s="43">
        <f>-(Données!I$48*1E-24*H127+Données!F$48)*Q127+Données!H$47*1E-24*H127*O127</f>
        <v>3.1485052851571267E-8</v>
      </c>
      <c r="S127" s="42">
        <f t="shared" si="43"/>
        <v>46.73052148666828</v>
      </c>
      <c r="T127" s="22">
        <f>-(Données!I$49*1E-24*H127+Données!F$49)*S127+Données!F$47*O127</f>
        <v>-6.7829378227415495E-9</v>
      </c>
      <c r="U127" s="28">
        <f t="shared" si="44"/>
        <v>4390.3681162019984</v>
      </c>
      <c r="V127" s="19"/>
      <c r="W127" s="40">
        <f t="shared" si="45"/>
        <v>12.001983920243553</v>
      </c>
      <c r="X127" s="21">
        <f>-(Données!I$50*1E-24*H127+Données!F$50)*W127+Données!F$45*K127</f>
        <v>-8.7190590232687347E-8</v>
      </c>
      <c r="Y127" s="42">
        <f t="shared" si="46"/>
        <v>19167.589860179236</v>
      </c>
      <c r="Z127" s="23">
        <f>-(Données!I$51*1E-24*H127+Données!F$51)*Y127+Données!F$48*Q127</f>
        <v>-1.9066055603662306E-5</v>
      </c>
      <c r="AA127" s="15">
        <f t="shared" si="47"/>
        <v>19179.591844099479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3169964366479091.5</v>
      </c>
      <c r="I128" s="40">
        <f t="shared" si="38"/>
        <v>2.7303767929410685</v>
      </c>
      <c r="J128" s="21">
        <f>-(Données!I$44*1E-24*H128+Données!F$44)*I128</f>
        <v>-1.5891906737908085E-8</v>
      </c>
      <c r="K128" s="42">
        <f t="shared" si="39"/>
        <v>2631.7020067716253</v>
      </c>
      <c r="L128" s="23">
        <f>-(Données!I$45*1E-24*H128+Données!F$45)*K128+(I128*Données!H$44*1E-24*H128)+(Données!H$51*1E-24*H128)*Y128</f>
        <v>-2.4901627676575318E-6</v>
      </c>
      <c r="M128" s="40">
        <f t="shared" si="40"/>
        <v>1412.2343958292327</v>
      </c>
      <c r="N128" s="21">
        <f>-(Données!I$46*1E-24*H128+Données!F$46)*M128+Données!H$45*1E-24*H128*K128</f>
        <v>-5.6790749361886606E-8</v>
      </c>
      <c r="O128" s="42">
        <f t="shared" si="41"/>
        <v>189.63685411242147</v>
      </c>
      <c r="P128" s="23">
        <f>-(Données!I$47*1E-24*H128+Données!F$47)*O128+(Données!H$46*1E-24*H128)*M128</f>
        <v>1.6939740412020914E-8</v>
      </c>
      <c r="Q128" s="40">
        <f t="shared" si="42"/>
        <v>100.74073150008121</v>
      </c>
      <c r="R128" s="43">
        <f>-(Données!I$48*1E-24*H128+Données!F$48)*Q128+Données!H$47*1E-24*H128*O128</f>
        <v>3.1354841746478183E-8</v>
      </c>
      <c r="S128" s="42">
        <f t="shared" si="43"/>
        <v>46.712695926070118</v>
      </c>
      <c r="T128" s="22">
        <f>-(Données!I$49*1E-24*H128+Données!F$49)*S128+Données!F$47*O128</f>
        <v>-6.5983559521576054E-9</v>
      </c>
      <c r="U128" s="28">
        <f t="shared" si="44"/>
        <v>4383.757060932372</v>
      </c>
      <c r="V128" s="19"/>
      <c r="W128" s="40">
        <f t="shared" si="45"/>
        <v>11.772847049112052</v>
      </c>
      <c r="X128" s="21">
        <f>-(Données!I$50*1E-24*H128+Données!F$50)*W128+Données!F$45*K128</f>
        <v>-8.5486041706450775E-8</v>
      </c>
      <c r="Y128" s="42">
        <f t="shared" si="46"/>
        <v>19117.484266052812</v>
      </c>
      <c r="Z128" s="23">
        <f>-(Données!I$51*1E-24*H128+Données!F$51)*Y128+Données!F$48*Q128</f>
        <v>-1.9016215407831365E-5</v>
      </c>
      <c r="AA128" s="15">
        <f t="shared" si="47"/>
        <v>19129.257113101925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3169964366479091.5</v>
      </c>
      <c r="I129" s="40">
        <f t="shared" si="38"/>
        <v>2.6886128620338461</v>
      </c>
      <c r="J129" s="21">
        <f>-(Données!I$44*1E-24*H129+Données!F$44)*I129</f>
        <v>-1.5648823623261811E-8</v>
      </c>
      <c r="K129" s="42">
        <f t="shared" si="39"/>
        <v>2625.1578590182212</v>
      </c>
      <c r="L129" s="23">
        <f>-(Données!I$45*1E-24*H129+Données!F$45)*K129+(I129*Données!H$44*1E-24*H129)+(Données!H$51*1E-24*H129)*Y129</f>
        <v>-2.4860662345889394E-6</v>
      </c>
      <c r="M129" s="40">
        <f t="shared" si="40"/>
        <v>1412.0851497399096</v>
      </c>
      <c r="N129" s="21">
        <f>-(Données!I$46*1E-24*H129+Données!F$46)*M129+Données!H$45*1E-24*H129*K129</f>
        <v>-6.5921766007623347E-8</v>
      </c>
      <c r="O129" s="42">
        <f t="shared" si="41"/>
        <v>189.68137175022426</v>
      </c>
      <c r="P129" s="23">
        <f>-(Données!I$47*1E-24*H129+Données!F$47)*O129+(Données!H$46*1E-24*H129)*M129</f>
        <v>1.6247998766887319E-8</v>
      </c>
      <c r="Q129" s="40">
        <f t="shared" si="42"/>
        <v>100.82313202419095</v>
      </c>
      <c r="R129" s="43">
        <f>-(Données!I$48*1E-24*H129+Données!F$48)*Q129+Données!H$47*1E-24*H129*O129</f>
        <v>3.1222911922331009E-8</v>
      </c>
      <c r="S129" s="42">
        <f t="shared" si="43"/>
        <v>46.69535544662785</v>
      </c>
      <c r="T129" s="22">
        <f>-(Données!I$49*1E-24*H129+Données!F$49)*S129+Données!F$47*O129</f>
        <v>-6.4195886557345414E-9</v>
      </c>
      <c r="U129" s="28">
        <f t="shared" si="44"/>
        <v>4377.1314808412089</v>
      </c>
      <c r="V129" s="19"/>
      <c r="W129" s="40">
        <f t="shared" si="45"/>
        <v>11.548189731507499</v>
      </c>
      <c r="X129" s="21">
        <f>-(Données!I$50*1E-24*H129+Données!F$50)*W129+Données!F$45*K129</f>
        <v>-8.3814923658464645E-8</v>
      </c>
      <c r="Y129" s="42">
        <f t="shared" si="46"/>
        <v>19067.509651961031</v>
      </c>
      <c r="Z129" s="23">
        <f>-(Données!I$51*1E-24*H129+Données!F$51)*Y129+Données!F$48*Q129</f>
        <v>-1.8966505498270051E-5</v>
      </c>
      <c r="AA129" s="15">
        <f t="shared" si="47"/>
        <v>19079.057841692538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3169964366479091.5</v>
      </c>
      <c r="I130" s="40">
        <f t="shared" si="38"/>
        <v>2.6474877535519141</v>
      </c>
      <c r="J130" s="21">
        <f>-(Données!I$44*1E-24*H130+Données!F$44)*I130</f>
        <v>-1.5409458715725651E-8</v>
      </c>
      <c r="K130" s="42">
        <f t="shared" si="39"/>
        <v>2618.6244769537216</v>
      </c>
      <c r="L130" s="23">
        <f>-(Données!I$45*1E-24*H130+Données!F$45)*K130+(I130*Données!H$44*1E-24*H130)+(Données!H$51*1E-24*H130)*Y130</f>
        <v>-2.4819349783809543E-6</v>
      </c>
      <c r="M130" s="40">
        <f t="shared" si="40"/>
        <v>1411.9119073388415</v>
      </c>
      <c r="N130" s="21">
        <f>-(Données!I$46*1E-24*H130+Données!F$46)*M130+Données!H$45*1E-24*H130*K130</f>
        <v>-7.4970913467874708E-8</v>
      </c>
      <c r="O130" s="42">
        <f t="shared" si="41"/>
        <v>189.72407149098365</v>
      </c>
      <c r="P130" s="23">
        <f>-(Données!I$47*1E-24*H130+Données!F$47)*O130+(Données!H$46*1E-24*H130)*M130</f>
        <v>1.5540960575495394E-8</v>
      </c>
      <c r="Q130" s="40">
        <f t="shared" si="42"/>
        <v>100.90518583672284</v>
      </c>
      <c r="R130" s="43">
        <f>-(Données!I$48*1E-24*H130+Données!F$48)*Q130+Données!H$47*1E-24*H130*O130</f>
        <v>3.1089213950224324E-8</v>
      </c>
      <c r="S130" s="42">
        <f t="shared" si="43"/>
        <v>46.678484767640583</v>
      </c>
      <c r="T130" s="22">
        <f>-(Données!I$49*1E-24*H130+Données!F$49)*S130+Données!F$47*O130</f>
        <v>-6.246603354065336E-9</v>
      </c>
      <c r="U130" s="28">
        <f t="shared" si="44"/>
        <v>4370.4916141414624</v>
      </c>
      <c r="V130" s="19"/>
      <c r="W130" s="40">
        <f t="shared" si="45"/>
        <v>11.327924112133054</v>
      </c>
      <c r="X130" s="21">
        <f>-(Données!I$50*1E-24*H130+Données!F$50)*W130+Données!F$45*K130</f>
        <v>-8.2176580156774715E-8</v>
      </c>
      <c r="Y130" s="42">
        <f t="shared" si="46"/>
        <v>19017.665675511576</v>
      </c>
      <c r="Z130" s="23">
        <f>-(Données!I$51*1E-24*H130+Données!F$51)*Y130+Données!F$48*Q130</f>
        <v>-1.8916925534399924E-5</v>
      </c>
      <c r="AA130" s="15">
        <f t="shared" si="47"/>
        <v>19028.993599623711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3169964366479091.5</v>
      </c>
      <c r="I131" s="40">
        <f t="shared" si="38"/>
        <v>2.606991696046987</v>
      </c>
      <c r="J131" s="21">
        <f>-(Données!I$44*1E-24*H131+Données!F$44)*I131</f>
        <v>-1.5173755141484514E-8</v>
      </c>
      <c r="K131" s="42">
        <f t="shared" si="39"/>
        <v>2612.1019518305366</v>
      </c>
      <c r="L131" s="23">
        <f>-(Données!I$45*1E-24*H131+Données!F$45)*K131+(I131*Données!H$44*1E-24*H131)+(Données!H$51*1E-24*H131)*Y131</f>
        <v>-2.4777699422435642E-6</v>
      </c>
      <c r="M131" s="40">
        <f t="shared" si="40"/>
        <v>1411.7148837782479</v>
      </c>
      <c r="N131" s="21">
        <f>-(Données!I$46*1E-24*H131+Données!F$46)*M131+Données!H$45*1E-24*H131*K131</f>
        <v>-8.3938651971126953E-8</v>
      </c>
      <c r="O131" s="42">
        <f t="shared" si="41"/>
        <v>189.76491313537605</v>
      </c>
      <c r="P131" s="23">
        <f>-(Données!I$47*1E-24*H131+Données!F$47)*O131+(Données!H$46*1E-24*H131)*M131</f>
        <v>1.4819366800781136E-8</v>
      </c>
      <c r="Q131" s="40">
        <f t="shared" si="42"/>
        <v>100.98688829098403</v>
      </c>
      <c r="R131" s="43">
        <f>-(Données!I$48*1E-24*H131+Données!F$48)*Q131+Données!H$47*1E-24*H131*O131</f>
        <v>3.0953701570586144E-8</v>
      </c>
      <c r="S131" s="42">
        <f t="shared" si="43"/>
        <v>46.662068694026097</v>
      </c>
      <c r="T131" s="22">
        <f>-(Données!I$49*1E-24*H131+Données!F$49)*S131+Données!F$47*O131</f>
        <v>-6.0793649317907511E-9</v>
      </c>
      <c r="U131" s="28">
        <f t="shared" si="44"/>
        <v>4363.8376974252178</v>
      </c>
      <c r="V131" s="19"/>
      <c r="W131" s="40">
        <f t="shared" si="45"/>
        <v>11.11196405948105</v>
      </c>
      <c r="X131" s="21">
        <f>-(Données!I$50*1E-24*H131+Données!F$50)*W131+Données!F$45*K131</f>
        <v>-8.0570368139948422E-8</v>
      </c>
      <c r="Y131" s="42">
        <f t="shared" si="46"/>
        <v>18967.951995207175</v>
      </c>
      <c r="Z131" s="23">
        <f>-(Données!I$51*1E-24*H131+Données!F$51)*Y131+Données!F$48*Q131</f>
        <v>-1.8867475176532854E-5</v>
      </c>
      <c r="AA131" s="15">
        <f t="shared" si="47"/>
        <v>18979.063959266656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3169964366479091.5</v>
      </c>
      <c r="I132" s="40">
        <f t="shared" si="38"/>
        <v>2.5671150675351657</v>
      </c>
      <c r="J132" s="21">
        <f>-(Données!I$44*1E-24*H132+Données!F$44)*I132</f>
        <v>-1.4941656896667009E-8</v>
      </c>
      <c r="K132" s="42">
        <f t="shared" si="39"/>
        <v>2605.5903724223203</v>
      </c>
      <c r="L132" s="23">
        <f>-(Données!I$45*1E-24*H132+Données!F$45)*K132+(I132*Données!H$44*1E-24*H132)+(Données!H$51*1E-24*H132)*Y132</f>
        <v>-2.4735720509711965E-6</v>
      </c>
      <c r="M132" s="40">
        <f t="shared" si="40"/>
        <v>1411.4942930008679</v>
      </c>
      <c r="N132" s="21">
        <f>-(Données!I$46*1E-24*H132+Données!F$46)*M132+Données!H$45*1E-24*H132*K132</f>
        <v>-9.2825442025153438E-8</v>
      </c>
      <c r="O132" s="42">
        <f t="shared" si="41"/>
        <v>189.80385843132851</v>
      </c>
      <c r="P132" s="23">
        <f>-(Données!I$47*1E-24*H132+Données!F$47)*O132+(Données!H$46*1E-24*H132)*M132</f>
        <v>1.4083935844780539E-8</v>
      </c>
      <c r="Q132" s="40">
        <f t="shared" si="42"/>
        <v>101.06823461871153</v>
      </c>
      <c r="R132" s="43">
        <f>-(Données!I$48*1E-24*H132+Données!F$48)*Q132+Données!H$47*1E-24*H132*O132</f>
        <v>3.0816331586518527E-8</v>
      </c>
      <c r="S132" s="42">
        <f t="shared" si="43"/>
        <v>46.646092122985351</v>
      </c>
      <c r="T132" s="22">
        <f>-(Données!I$49*1E-24*H132+Données!F$49)*S132+Données!F$47*O132</f>
        <v>-5.9178358736477523E-9</v>
      </c>
      <c r="U132" s="28">
        <f t="shared" si="44"/>
        <v>4357.1699656637484</v>
      </c>
      <c r="V132" s="19"/>
      <c r="W132" s="40">
        <f t="shared" si="45"/>
        <v>10.900225132009265</v>
      </c>
      <c r="X132" s="21">
        <f>-(Données!I$50*1E-24*H132+Données!F$50)*W132+Données!F$45*K132</f>
        <v>-7.8995657164533293E-8</v>
      </c>
      <c r="Y132" s="42">
        <f t="shared" si="46"/>
        <v>18918.368270443247</v>
      </c>
      <c r="Z132" s="23">
        <f>-(Données!I$51*1E-24*H132+Données!F$51)*Y132+Données!F$48*Q132</f>
        <v>-1.8818154085868676E-5</v>
      </c>
      <c r="AA132" s="15">
        <f t="shared" si="47"/>
        <v>18929.268495575256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3169964366479091.5</v>
      </c>
      <c r="I133" s="40">
        <f t="shared" si="38"/>
        <v>2.527848393210725</v>
      </c>
      <c r="J133" s="21">
        <f>-(Données!I$44*1E-24*H133+Données!F$44)*I133</f>
        <v>-1.4713108834038756E-8</v>
      </c>
      <c r="K133" s="42">
        <f t="shared" si="39"/>
        <v>2599.0898250723681</v>
      </c>
      <c r="L133" s="23">
        <f>-(Données!I$45*1E-24*H133+Données!F$45)*K133+(I133*Données!H$44*1E-24*H133)+(Données!H$51*1E-24*H133)*Y133</f>
        <v>-2.4693422112886334E-6</v>
      </c>
      <c r="M133" s="40">
        <f t="shared" si="40"/>
        <v>1411.2503477392258</v>
      </c>
      <c r="N133" s="21">
        <f>-(Données!I$46*1E-24*H133+Données!F$46)*M133+Données!H$45*1E-24*H133*K133</f>
        <v>-1.0163174434442093E-7</v>
      </c>
      <c r="O133" s="42">
        <f t="shared" si="41"/>
        <v>189.84087101472858</v>
      </c>
      <c r="P133" s="23">
        <f>-(Données!I$47*1E-24*H133+Données!F$47)*O133+(Données!H$46*1E-24*H133)*M133</f>
        <v>1.3335364181211585E-8</v>
      </c>
      <c r="Q133" s="40">
        <f t="shared" si="42"/>
        <v>101.14921993812089</v>
      </c>
      <c r="R133" s="43">
        <f>-(Données!I$48*1E-24*H133+Données!F$48)*Q133+Données!H$47*1E-24*H133*O133</f>
        <v>3.0677063760238746E-8</v>
      </c>
      <c r="S133" s="42">
        <f t="shared" si="43"/>
        <v>46.630540050309406</v>
      </c>
      <c r="T133" s="22">
        <f>-(Données!I$49*1E-24*H133+Données!F$49)*S133+Données!F$47*O133</f>
        <v>-5.7619763956178433E-9</v>
      </c>
      <c r="U133" s="28">
        <f t="shared" si="44"/>
        <v>4350.4886522079642</v>
      </c>
      <c r="V133" s="19"/>
      <c r="W133" s="40">
        <f t="shared" si="45"/>
        <v>10.692624544980871</v>
      </c>
      <c r="X133" s="21">
        <f>-(Données!I$50*1E-24*H133+Données!F$50)*W133+Données!F$45*K133</f>
        <v>-7.7451829157470492E-8</v>
      </c>
      <c r="Y133" s="42">
        <f t="shared" si="46"/>
        <v>18868.914161505585</v>
      </c>
      <c r="Z133" s="23">
        <f>-(Données!I$51*1E-24*H133+Données!F$51)*Y133+Données!F$48*Q133</f>
        <v>-1.87689619244929E-5</v>
      </c>
      <c r="AA133" s="15">
        <f t="shared" si="47"/>
        <v>18879.606786050565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3169964366479091.5</v>
      </c>
      <c r="I134" s="40">
        <f t="shared" si="38"/>
        <v>2.4891823431948712</v>
      </c>
      <c r="J134" s="21">
        <f>-(Données!I$44*1E-24*H134+Données!F$44)*I134</f>
        <v>-1.4488056649899239E-8</v>
      </c>
      <c r="K134" s="42">
        <f t="shared" si="39"/>
        <v>2592.6003937411015</v>
      </c>
      <c r="L134" s="23">
        <f>-(Données!I$45*1E-24*H134+Données!F$45)*K134+(I134*Données!H$44*1E-24*H134)+(Données!H$51*1E-24*H134)*Y134</f>
        <v>-2.4650813121904548E-6</v>
      </c>
      <c r="M134" s="40">
        <f t="shared" si="40"/>
        <v>1410.9832595150888</v>
      </c>
      <c r="N134" s="21">
        <f>-(Données!I$46*1E-24*H134+Données!F$46)*M134+Données!H$45*1E-24*H134*K134</f>
        <v>-1.1035801977934623E-7</v>
      </c>
      <c r="O134" s="42">
        <f t="shared" si="41"/>
        <v>189.8759163517968</v>
      </c>
      <c r="P134" s="23">
        <f>-(Données!I$47*1E-24*H134+Données!F$47)*O134+(Données!H$46*1E-24*H134)*M134</f>
        <v>1.2574326970567973E-8</v>
      </c>
      <c r="Q134" s="40">
        <f t="shared" si="42"/>
        <v>101.2298392616828</v>
      </c>
      <c r="R134" s="43">
        <f>-(Données!I$48*1E-24*H134+Données!F$48)*Q134+Données!H$47*1E-24*H134*O134</f>
        <v>3.0535860712533828E-8</v>
      </c>
      <c r="S134" s="42">
        <f t="shared" si="43"/>
        <v>46.615397576341721</v>
      </c>
      <c r="T134" s="22">
        <f>-(Données!I$49*1E-24*H134+Données!F$49)*S134+Données!F$47*O134</f>
        <v>-5.6117445713282049E-9</v>
      </c>
      <c r="U134" s="28">
        <f t="shared" si="44"/>
        <v>4343.7939887892071</v>
      </c>
      <c r="V134" s="19"/>
      <c r="W134" s="40">
        <f t="shared" si="45"/>
        <v>10.489081137955038</v>
      </c>
      <c r="X134" s="21">
        <f>-(Données!I$50*1E-24*H134+Données!F$50)*W134+Données!F$45*K134</f>
        <v>-7.5938278173366433E-8</v>
      </c>
      <c r="Y134" s="42">
        <f t="shared" si="46"/>
        <v>18819.589329568018</v>
      </c>
      <c r="Z134" s="23">
        <f>-(Données!I$51*1E-24*H134+Données!F$51)*Y134+Données!F$48*Q134</f>
        <v>-1.8719898355374362E-5</v>
      </c>
      <c r="AA134" s="15">
        <f t="shared" si="47"/>
        <v>18830.078410705974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3169964366479091.5</v>
      </c>
      <c r="I135" s="40">
        <f t="shared" si="38"/>
        <v>2.4511077303189359</v>
      </c>
      <c r="J135" s="21">
        <f>-(Données!I$44*1E-24*H135+Données!F$44)*I135</f>
        <v>-1.4266446871179084E-8</v>
      </c>
      <c r="K135" s="42">
        <f t="shared" si="39"/>
        <v>2586.1221600526651</v>
      </c>
      <c r="L135" s="23">
        <f>-(Données!I$45*1E-24*H135+Données!F$45)*K135+(I135*Données!H$44*1E-24*H135)+(Données!H$51*1E-24*H135)*Y135</f>
        <v>-2.4607902252741598E-6</v>
      </c>
      <c r="M135" s="40">
        <f t="shared" si="40"/>
        <v>1410.6932386391086</v>
      </c>
      <c r="N135" s="21">
        <f>-(Données!I$46*1E-24*H135+Données!F$46)*M135+Données!H$45*1E-24*H135*K135</f>
        <v>-1.190047292473702E-7</v>
      </c>
      <c r="O135" s="42">
        <f t="shared" si="41"/>
        <v>189.90896168307546</v>
      </c>
      <c r="P135" s="23">
        <f>-(Données!I$47*1E-24*H135+Données!F$47)*O135+(Données!H$46*1E-24*H135)*M135</f>
        <v>1.1801478658203576E-8</v>
      </c>
      <c r="Q135" s="40">
        <f t="shared" si="42"/>
        <v>101.31008750363533</v>
      </c>
      <c r="R135" s="43">
        <f>-(Données!I$48*1E-24*H135+Données!F$48)*Q135+Données!H$47*1E-24*H135*O135</f>
        <v>3.0392687825145671E-8</v>
      </c>
      <c r="S135" s="42">
        <f t="shared" si="43"/>
        <v>46.600649911608272</v>
      </c>
      <c r="T135" s="22">
        <f>-(Données!I$49*1E-24*H135+Données!F$49)*S135+Données!F$47*O135</f>
        <v>-5.4670964538575737E-9</v>
      </c>
      <c r="U135" s="28">
        <f t="shared" si="44"/>
        <v>4337.0862055204116</v>
      </c>
      <c r="V135" s="19"/>
      <c r="W135" s="40">
        <f t="shared" si="45"/>
        <v>10.289515342915431</v>
      </c>
      <c r="X135" s="21">
        <f>-(Données!I$50*1E-24*H135+Données!F$50)*W135+Données!F$45*K135</f>
        <v>-7.4454410156527127E-8</v>
      </c>
      <c r="Y135" s="42">
        <f t="shared" si="46"/>
        <v>18770.393436690094</v>
      </c>
      <c r="Z135" s="23">
        <f>-(Données!I$51*1E-24*H135+Données!F$51)*Y135+Données!F$48*Q135</f>
        <v>-1.8670963042362943E-5</v>
      </c>
      <c r="AA135" s="15">
        <f t="shared" si="47"/>
        <v>18780.68295203301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3169964366479091.5</v>
      </c>
      <c r="I136" s="40">
        <f t="shared" si="38"/>
        <v>2.4136155079414774</v>
      </c>
      <c r="J136" s="21">
        <f>-(Données!I$44*1E-24*H136+Données!F$44)*I136</f>
        <v>-1.4048226842734702E-8</v>
      </c>
      <c r="K136" s="42">
        <f t="shared" si="39"/>
        <v>2579.6552033406447</v>
      </c>
      <c r="L136" s="23">
        <f>-(Données!I$45*1E-24*H136+Données!F$45)*K136+(I136*Données!H$44*1E-24*H136)+(Données!H$51*1E-24*H136)*Y136</f>
        <v>-2.456469805067067E-6</v>
      </c>
      <c r="M136" s="40">
        <f t="shared" si="40"/>
        <v>1410.3804942106465</v>
      </c>
      <c r="N136" s="21">
        <f>-(Données!I$46*1E-24*H136+Données!F$46)*M136+Données!H$45*1E-24*H136*K136</f>
        <v>-1.2757233366579941E-7</v>
      </c>
      <c r="O136" s="42">
        <f t="shared" si="41"/>
        <v>189.93997596898922</v>
      </c>
      <c r="P136" s="23">
        <f>-(Données!I$47*1E-24*H136+Données!F$47)*O136+(Données!H$46*1E-24*H136)*M136</f>
        <v>1.1017453555885357E-8</v>
      </c>
      <c r="Q136" s="40">
        <f t="shared" si="42"/>
        <v>101.38995948723981</v>
      </c>
      <c r="R136" s="43">
        <f>-(Données!I$48*1E-24*H136+Données!F$48)*Q136+Données!H$47*1E-24*H136*O136</f>
        <v>3.0247513146002673E-8</v>
      </c>
      <c r="S136" s="42">
        <f t="shared" si="43"/>
        <v>46.586282382127536</v>
      </c>
      <c r="T136" s="22">
        <f>-(Données!I$49*1E-24*H136+Données!F$49)*S136+Données!F$47*O136</f>
        <v>-5.3279861930906451E-9</v>
      </c>
      <c r="U136" s="28">
        <f t="shared" si="44"/>
        <v>4330.3655308975895</v>
      </c>
      <c r="V136" s="19"/>
      <c r="W136" s="40">
        <f t="shared" si="45"/>
        <v>10.093849153024077</v>
      </c>
      <c r="X136" s="21">
        <f>-(Données!I$50*1E-24*H136+Données!F$50)*W136+Données!F$45*K136</f>
        <v>-7.2999642707661726E-8</v>
      </c>
      <c r="Y136" s="42">
        <f t="shared" si="46"/>
        <v>18721.326145814764</v>
      </c>
      <c r="Z136" s="23">
        <f>-(Données!I$51*1E-24*H136+Données!F$51)*Y136+Données!F$48*Q136</f>
        <v>-1.8622155650187237E-5</v>
      </c>
      <c r="AA136" s="15">
        <f t="shared" si="47"/>
        <v>18731.41999496779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A26" sqref="A26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M19" sqref="M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F32" sqref="F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opLeftCell="B1" zoomScale="85" zoomScaleNormal="85" workbookViewId="0">
      <selection activeCell="I34" sqref="I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cp:revision>1</cp:revision>
  <dcterms:created xsi:type="dcterms:W3CDTF">2014-07-10T09:50:10Z</dcterms:created>
  <dcterms:modified xsi:type="dcterms:W3CDTF">2014-08-26T16:29:13Z</dcterms:modified>
</cp:coreProperties>
</file>