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15090" windowHeight="6630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externalReferences>
    <externalReference r:id="rId13"/>
  </externalReferences>
  <calcPr calcId="145621" iterate="1"/>
</workbook>
</file>

<file path=xl/calcChain.xml><?xml version="1.0" encoding="utf-8"?>
<calcChain xmlns="http://schemas.openxmlformats.org/spreadsheetml/2006/main"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C30" i="1" s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J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R2" i="2" l="1"/>
  <c r="Q3" i="2" s="1"/>
  <c r="I3" i="2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J3" i="2" l="1"/>
  <c r="I4" i="2" s="1"/>
  <c r="J4" i="2" s="1"/>
  <c r="R3" i="2"/>
  <c r="Q4" i="2" s="1"/>
  <c r="Z3" i="2"/>
  <c r="Y4" i="2" s="1"/>
  <c r="P3" i="2"/>
  <c r="O4" i="2" s="1"/>
  <c r="L3" i="2"/>
  <c r="K4" i="2" s="1"/>
  <c r="N3" i="2"/>
  <c r="M4" i="2" s="1"/>
  <c r="U3" i="2"/>
  <c r="T3" i="2"/>
  <c r="S4" i="2" s="1"/>
  <c r="X3" i="2"/>
  <c r="W4" i="2" s="1"/>
  <c r="AA3" i="2"/>
  <c r="I5" i="2" l="1"/>
  <c r="R4" i="2"/>
  <c r="Q5" i="2" s="1"/>
  <c r="Z4" i="2"/>
  <c r="Y5" i="2" s="1"/>
  <c r="P4" i="2"/>
  <c r="O5" i="2" s="1"/>
  <c r="T4" i="2"/>
  <c r="S5" i="2" s="1"/>
  <c r="X4" i="2"/>
  <c r="W5" i="2" s="1"/>
  <c r="N4" i="2"/>
  <c r="M5" i="2" s="1"/>
  <c r="AA4" i="2"/>
  <c r="L4" i="2"/>
  <c r="K5" i="2" s="1"/>
  <c r="U4" i="2"/>
  <c r="J5" i="2" l="1"/>
  <c r="I6" i="2" s="1"/>
  <c r="J6" i="2" s="1"/>
  <c r="R5" i="2"/>
  <c r="Q6" i="2" s="1"/>
  <c r="Z5" i="2"/>
  <c r="Y6" i="2" s="1"/>
  <c r="P5" i="2"/>
  <c r="O6" i="2" s="1"/>
  <c r="N5" i="2"/>
  <c r="M6" i="2" s="1"/>
  <c r="T5" i="2"/>
  <c r="S6" i="2" s="1"/>
  <c r="X5" i="2"/>
  <c r="W6" i="2" s="1"/>
  <c r="L5" i="2"/>
  <c r="K6" i="2" s="1"/>
  <c r="AA5" i="2"/>
  <c r="U5" i="2"/>
  <c r="I7" i="2" l="1"/>
  <c r="R6" i="2"/>
  <c r="Q7" i="2" s="1"/>
  <c r="Z6" i="2"/>
  <c r="Y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J7" i="2" l="1"/>
  <c r="I8" i="2" s="1"/>
  <c r="R7" i="2"/>
  <c r="Q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J8" i="2" l="1"/>
  <c r="I9" i="2"/>
  <c r="R8" i="2"/>
  <c r="Q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J9" i="2" l="1"/>
  <c r="I10" i="2" s="1"/>
  <c r="R9" i="2"/>
  <c r="Q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J10" i="2" l="1"/>
  <c r="I11" i="2" s="1"/>
  <c r="R10" i="2"/>
  <c r="Q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J11" i="2" l="1"/>
  <c r="I12" i="2" s="1"/>
  <c r="R11" i="2"/>
  <c r="Q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J12" i="2" l="1"/>
  <c r="I13" i="2" s="1"/>
  <c r="R12" i="2"/>
  <c r="Q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J13" i="2" l="1"/>
  <c r="I14" i="2" s="1"/>
  <c r="R13" i="2"/>
  <c r="Q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J14" i="2" l="1"/>
  <c r="I15" i="2" s="1"/>
  <c r="J15" i="2" s="1"/>
  <c r="R14" i="2"/>
  <c r="Q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I16" i="2" l="1"/>
  <c r="R15" i="2"/>
  <c r="Q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J16" i="2" l="1"/>
  <c r="I17" i="2" s="1"/>
  <c r="J17" i="2" s="1"/>
  <c r="R16" i="2"/>
  <c r="Q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I18" i="2" l="1"/>
  <c r="R17" i="2"/>
  <c r="Q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J18" i="2" l="1"/>
  <c r="I19" i="2" s="1"/>
  <c r="J19" i="2" s="1"/>
  <c r="R18" i="2"/>
  <c r="Q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I20" i="2" l="1"/>
  <c r="R19" i="2"/>
  <c r="Q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J20" i="2" l="1"/>
  <c r="I21" i="2" s="1"/>
  <c r="J21" i="2" s="1"/>
  <c r="R20" i="2"/>
  <c r="Q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I22" i="2" l="1"/>
  <c r="R21" i="2"/>
  <c r="Q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U21" i="2"/>
  <c r="AA21" i="2"/>
  <c r="J22" i="2" l="1"/>
  <c r="I23" i="2" s="1"/>
  <c r="R22" i="2"/>
  <c r="Q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J23" i="2" l="1"/>
  <c r="I24" i="2" s="1"/>
  <c r="R23" i="2"/>
  <c r="Q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J24" i="2" l="1"/>
  <c r="I25" i="2" s="1"/>
  <c r="R24" i="2"/>
  <c r="Q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J25" i="2" l="1"/>
  <c r="I26" i="2" s="1"/>
  <c r="R25" i="2"/>
  <c r="Q26" i="2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J26" i="2" l="1"/>
  <c r="I27" i="2" s="1"/>
  <c r="R26" i="2"/>
  <c r="Q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J27" i="2" l="1"/>
  <c r="I28" i="2" s="1"/>
  <c r="R27" i="2"/>
  <c r="Z27" i="2"/>
  <c r="Y28" i="2" s="1"/>
  <c r="P27" i="2"/>
  <c r="O28" i="2" s="1"/>
  <c r="T27" i="2"/>
  <c r="S28" i="2" s="1"/>
  <c r="Q28" i="2"/>
  <c r="N27" i="2"/>
  <c r="M28" i="2" s="1"/>
  <c r="L27" i="2"/>
  <c r="K28" i="2" s="1"/>
  <c r="X27" i="2"/>
  <c r="W28" i="2" s="1"/>
  <c r="U27" i="2"/>
  <c r="AA27" i="2"/>
  <c r="H11" i="1"/>
  <c r="H15" i="1"/>
  <c r="H12" i="1"/>
  <c r="H14" i="1"/>
  <c r="H13" i="1"/>
  <c r="H16" i="1"/>
  <c r="H17" i="1"/>
  <c r="J28" i="2" l="1"/>
  <c r="I29" i="2"/>
  <c r="R28" i="2"/>
  <c r="Q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J29" i="2" l="1"/>
  <c r="I30" i="2" s="1"/>
  <c r="R29" i="2"/>
  <c r="Q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J30" i="2" l="1"/>
  <c r="I31" i="2" s="1"/>
  <c r="R30" i="2"/>
  <c r="Q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J31" i="2" l="1"/>
  <c r="I32" i="2" s="1"/>
  <c r="R31" i="2"/>
  <c r="Q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J32" i="2" l="1"/>
  <c r="I33" i="2" s="1"/>
  <c r="R32" i="2"/>
  <c r="Q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J33" i="2" l="1"/>
  <c r="I34" i="2" s="1"/>
  <c r="J34" i="2" s="1"/>
  <c r="R33" i="2"/>
  <c r="Q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I35" i="2" l="1"/>
  <c r="J35" i="2" s="1"/>
  <c r="R34" i="2"/>
  <c r="Q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I36" i="2" l="1"/>
  <c r="J36" i="2" s="1"/>
  <c r="R35" i="2"/>
  <c r="Q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J37" i="2" l="1"/>
  <c r="I38" i="2" s="1"/>
  <c r="R37" i="2"/>
  <c r="Q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J38" i="2" l="1"/>
  <c r="I39" i="2" s="1"/>
  <c r="J39" i="2" s="1"/>
  <c r="R38" i="2"/>
  <c r="Q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I40" i="2" l="1"/>
  <c r="R39" i="2"/>
  <c r="Q40" i="2" s="1"/>
  <c r="Z39" i="2"/>
  <c r="Y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J40" i="2" l="1"/>
  <c r="I41" i="2" s="1"/>
  <c r="J41" i="2" s="1"/>
  <c r="R40" i="2"/>
  <c r="Q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I42" i="2" l="1"/>
  <c r="R41" i="2"/>
  <c r="Q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J42" i="2" l="1"/>
  <c r="I43" i="2" s="1"/>
  <c r="R42" i="2"/>
  <c r="Q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J43" i="2" l="1"/>
  <c r="I44" i="2" s="1"/>
  <c r="R43" i="2"/>
  <c r="Q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J44" i="2" l="1"/>
  <c r="I45" i="2" s="1"/>
  <c r="R44" i="2"/>
  <c r="Q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J45" i="2" l="1"/>
  <c r="I46" i="2" s="1"/>
  <c r="R45" i="2"/>
  <c r="Q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J46" i="2" l="1"/>
  <c r="I47" i="2"/>
  <c r="R46" i="2"/>
  <c r="Q47" i="2" s="1"/>
  <c r="Z46" i="2"/>
  <c r="Y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J47" i="2" l="1"/>
  <c r="I48" i="2" s="1"/>
  <c r="R47" i="2"/>
  <c r="Q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J48" i="2" l="1"/>
  <c r="I49" i="2" s="1"/>
  <c r="R48" i="2"/>
  <c r="Q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J49" i="2" l="1"/>
  <c r="I50" i="2"/>
  <c r="J50" i="2" s="1"/>
  <c r="R49" i="2"/>
  <c r="Q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I51" i="2" l="1"/>
  <c r="R50" i="2"/>
  <c r="Q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J51" i="2" l="1"/>
  <c r="I52" i="2" s="1"/>
  <c r="R51" i="2"/>
  <c r="Q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J52" i="2" l="1"/>
  <c r="I53" i="2" s="1"/>
  <c r="R52" i="2"/>
  <c r="Q53" i="2" s="1"/>
  <c r="Z52" i="2"/>
  <c r="Y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J53" i="2" l="1"/>
  <c r="I54" i="2" s="1"/>
  <c r="R53" i="2"/>
  <c r="Q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J54" i="2" l="1"/>
  <c r="I55" i="2" s="1"/>
  <c r="R54" i="2"/>
  <c r="Q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J55" i="2" l="1"/>
  <c r="I56" i="2" s="1"/>
  <c r="R55" i="2"/>
  <c r="Q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J56" i="2" l="1"/>
  <c r="I57" i="2" s="1"/>
  <c r="J57" i="2" s="1"/>
  <c r="R56" i="2"/>
  <c r="Q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I58" i="2" l="1"/>
  <c r="R57" i="2"/>
  <c r="Q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J58" i="2" l="1"/>
  <c r="I59" i="2"/>
  <c r="J59" i="2" s="1"/>
  <c r="R58" i="2"/>
  <c r="Q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I60" i="2" l="1"/>
  <c r="R59" i="2"/>
  <c r="Q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J60" i="2" l="1"/>
  <c r="I61" i="2"/>
  <c r="J61" i="2" s="1"/>
  <c r="R60" i="2"/>
  <c r="Q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I62" i="2" l="1"/>
  <c r="R61" i="2"/>
  <c r="Q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J62" i="2" l="1"/>
  <c r="I63" i="2" s="1"/>
  <c r="J63" i="2" s="1"/>
  <c r="R62" i="2"/>
  <c r="Q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I64" i="2" l="1"/>
  <c r="R63" i="2"/>
  <c r="Q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J64" i="2" l="1"/>
  <c r="I65" i="2" s="1"/>
  <c r="R64" i="2"/>
  <c r="Q65" i="2" s="1"/>
  <c r="Z64" i="2"/>
  <c r="Y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J65" i="2" l="1"/>
  <c r="I66" i="2" s="1"/>
  <c r="R65" i="2"/>
  <c r="Q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J66" i="2" l="1"/>
  <c r="I67" i="2" s="1"/>
  <c r="R66" i="2"/>
  <c r="Q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J67" i="2" l="1"/>
  <c r="I68" i="2"/>
  <c r="J68" i="2" s="1"/>
  <c r="R67" i="2"/>
  <c r="Q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I69" i="2" l="1"/>
  <c r="R68" i="2"/>
  <c r="Q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J69" i="2" l="1"/>
  <c r="I70" i="2"/>
  <c r="R69" i="2"/>
  <c r="Q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J70" i="2" l="1"/>
  <c r="I71" i="2" s="1"/>
  <c r="R70" i="2"/>
  <c r="Q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J71" i="2" l="1"/>
  <c r="I72" i="2"/>
  <c r="R71" i="2"/>
  <c r="Q72" i="2" s="1"/>
  <c r="Z71" i="2"/>
  <c r="Y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J72" i="2" l="1"/>
  <c r="I73" i="2"/>
  <c r="R72" i="2"/>
  <c r="Q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J73" i="2" l="1"/>
  <c r="I74" i="2" s="1"/>
  <c r="R73" i="2"/>
  <c r="Q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J74" i="2" l="1"/>
  <c r="I75" i="2" s="1"/>
  <c r="R74" i="2"/>
  <c r="Q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J75" i="2" l="1"/>
  <c r="I76" i="2" s="1"/>
  <c r="R75" i="2"/>
  <c r="Q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J76" i="2" l="1"/>
  <c r="I77" i="2" s="1"/>
  <c r="R76" i="2"/>
  <c r="Q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J77" i="2" l="1"/>
  <c r="I78" i="2"/>
  <c r="R77" i="2"/>
  <c r="Q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J78" i="2" l="1"/>
  <c r="I79" i="2"/>
  <c r="R78" i="2"/>
  <c r="Q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J79" i="2" l="1"/>
  <c r="I80" i="2" s="1"/>
  <c r="R79" i="2"/>
  <c r="Q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J80" i="2" l="1"/>
  <c r="I81" i="2"/>
  <c r="R80" i="2"/>
  <c r="Q81" i="2" s="1"/>
  <c r="Z80" i="2"/>
  <c r="Y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J81" i="2" l="1"/>
  <c r="I82" i="2"/>
  <c r="J82" i="2" s="1"/>
  <c r="R81" i="2"/>
  <c r="Q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I83" i="2" l="1"/>
  <c r="R82" i="2"/>
  <c r="Q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J83" i="2" l="1"/>
  <c r="I84" i="2" s="1"/>
  <c r="R83" i="2"/>
  <c r="Q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J84" i="2" l="1"/>
  <c r="I85" i="2"/>
  <c r="R84" i="2"/>
  <c r="Q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J85" i="2" l="1"/>
  <c r="I86" i="2" s="1"/>
  <c r="R85" i="2"/>
  <c r="Q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J86" i="2" l="1"/>
  <c r="I87" i="2"/>
  <c r="J87" i="2" s="1"/>
  <c r="R86" i="2"/>
  <c r="Q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I88" i="2" l="1"/>
  <c r="R87" i="2"/>
  <c r="Q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J88" i="2" l="1"/>
  <c r="I89" i="2"/>
  <c r="J89" i="2" s="1"/>
  <c r="R88" i="2"/>
  <c r="Q89" i="2" s="1"/>
  <c r="Z88" i="2"/>
  <c r="Y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I90" i="2" l="1"/>
  <c r="R89" i="2"/>
  <c r="Q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J90" i="2" l="1"/>
  <c r="I91" i="2" s="1"/>
  <c r="R90" i="2"/>
  <c r="Q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J91" i="2" l="1"/>
  <c r="I92" i="2" s="1"/>
  <c r="R91" i="2"/>
  <c r="Q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J92" i="2" l="1"/>
  <c r="I93" i="2"/>
  <c r="R92" i="2"/>
  <c r="Q93" i="2" s="1"/>
  <c r="Z92" i="2"/>
  <c r="Y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J93" i="2" l="1"/>
  <c r="I94" i="2" s="1"/>
  <c r="R93" i="2"/>
  <c r="Q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J94" i="2" l="1"/>
  <c r="I95" i="2"/>
  <c r="R94" i="2"/>
  <c r="Q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J95" i="2" l="1"/>
  <c r="I96" i="2" s="1"/>
  <c r="R95" i="2"/>
  <c r="Q96" i="2" s="1"/>
  <c r="N95" i="2"/>
  <c r="M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J96" i="2" l="1"/>
  <c r="I97" i="2" s="1"/>
  <c r="R96" i="2"/>
  <c r="Q97" i="2" s="1"/>
  <c r="N96" i="2"/>
  <c r="M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J97" i="2" l="1"/>
  <c r="I98" i="2" s="1"/>
  <c r="R97" i="2"/>
  <c r="Q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J98" i="2" l="1"/>
  <c r="I99" i="2" s="1"/>
  <c r="R98" i="2"/>
  <c r="Q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J99" i="2" l="1"/>
  <c r="I100" i="2"/>
  <c r="R99" i="2"/>
  <c r="Q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J100" i="2" l="1"/>
  <c r="I101" i="2" s="1"/>
  <c r="R100" i="2"/>
  <c r="Q101" i="2" s="1"/>
  <c r="Z100" i="2"/>
  <c r="Y101" i="2" s="1"/>
  <c r="P100" i="2"/>
  <c r="O101" i="2" s="1"/>
  <c r="N100" i="2"/>
  <c r="M101" i="2" s="1"/>
  <c r="L100" i="2"/>
  <c r="K101" i="2" s="1"/>
  <c r="U100" i="2"/>
  <c r="T100" i="2"/>
  <c r="S101" i="2" s="1"/>
  <c r="X100" i="2"/>
  <c r="W101" i="2" s="1"/>
  <c r="AA100" i="2"/>
  <c r="J101" i="2" l="1"/>
  <c r="I102" i="2"/>
  <c r="R101" i="2"/>
  <c r="Q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J102" i="2" l="1"/>
  <c r="I103" i="2" s="1"/>
  <c r="R102" i="2"/>
  <c r="Q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J103" i="2" l="1"/>
  <c r="I104" i="2"/>
  <c r="R103" i="2"/>
  <c r="Q104" i="2" s="1"/>
  <c r="Z103" i="2"/>
  <c r="Y104" i="2" s="1"/>
  <c r="N103" i="2"/>
  <c r="M104" i="2" s="1"/>
  <c r="P103" i="2"/>
  <c r="O104" i="2" s="1"/>
  <c r="U103" i="2"/>
  <c r="T103" i="2"/>
  <c r="S104" i="2" s="1"/>
  <c r="L103" i="2"/>
  <c r="K104" i="2" s="1"/>
  <c r="X103" i="2"/>
  <c r="W104" i="2" s="1"/>
  <c r="AA103" i="2"/>
  <c r="J104" i="2" l="1"/>
  <c r="I105" i="2"/>
  <c r="R104" i="2"/>
  <c r="Q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J105" i="2" l="1"/>
  <c r="I106" i="2" s="1"/>
  <c r="R105" i="2"/>
  <c r="Q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J106" i="2" l="1"/>
  <c r="I107" i="2" s="1"/>
  <c r="R106" i="2"/>
  <c r="Q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J107" i="2" l="1"/>
  <c r="I108" i="2" s="1"/>
  <c r="R107" i="2"/>
  <c r="Q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J108" i="2" l="1"/>
  <c r="I109" i="2" s="1"/>
  <c r="R108" i="2"/>
  <c r="Q109" i="2" s="1"/>
  <c r="Z108" i="2"/>
  <c r="Y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J109" i="2" l="1"/>
  <c r="I110" i="2"/>
  <c r="R109" i="2"/>
  <c r="Q110" i="2" s="1"/>
  <c r="Z109" i="2"/>
  <c r="Y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J110" i="2" l="1"/>
  <c r="I111" i="2"/>
  <c r="R110" i="2"/>
  <c r="Q111" i="2" s="1"/>
  <c r="Z110" i="2"/>
  <c r="Y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J111" i="2" l="1"/>
  <c r="I112" i="2" s="1"/>
  <c r="R111" i="2"/>
  <c r="Q112" i="2" s="1"/>
  <c r="Z111" i="2"/>
  <c r="Y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J112" i="2" l="1"/>
  <c r="I113" i="2" s="1"/>
  <c r="R112" i="2"/>
  <c r="Q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J113" i="2" l="1"/>
  <c r="I114" i="2" s="1"/>
  <c r="R113" i="2"/>
  <c r="Q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J114" i="2" l="1"/>
  <c r="I115" i="2"/>
  <c r="R114" i="2"/>
  <c r="Q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J115" i="2" l="1"/>
  <c r="I116" i="2" s="1"/>
  <c r="R115" i="2"/>
  <c r="Q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J116" i="2" l="1"/>
  <c r="I117" i="2"/>
  <c r="R116" i="2"/>
  <c r="Q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J117" i="2" l="1"/>
  <c r="I118" i="2" s="1"/>
  <c r="R117" i="2"/>
  <c r="Q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J118" i="2" l="1"/>
  <c r="I119" i="2"/>
  <c r="R118" i="2"/>
  <c r="Q119" i="2" s="1"/>
  <c r="Z118" i="2"/>
  <c r="Y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J119" i="2" l="1"/>
  <c r="I120" i="2" s="1"/>
  <c r="R119" i="2"/>
  <c r="Q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J120" i="2" l="1"/>
  <c r="I121" i="2" s="1"/>
  <c r="R120" i="2"/>
  <c r="Q121" i="2" s="1"/>
  <c r="Z120" i="2"/>
  <c r="Y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J121" i="2" l="1"/>
  <c r="I122" i="2" s="1"/>
  <c r="R121" i="2"/>
  <c r="Q122" i="2" s="1"/>
  <c r="Z121" i="2"/>
  <c r="Y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J122" i="2" l="1"/>
  <c r="I123" i="2" s="1"/>
  <c r="R122" i="2"/>
  <c r="Q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J123" i="2" l="1"/>
  <c r="R123" i="2"/>
  <c r="Q124" i="2" s="1"/>
  <c r="Z123" i="2"/>
  <c r="Y124" i="2" s="1"/>
  <c r="T123" i="2"/>
  <c r="S124" i="2" s="1"/>
  <c r="I124" i="2"/>
  <c r="P123" i="2"/>
  <c r="O124" i="2" s="1"/>
  <c r="U123" i="2"/>
  <c r="N123" i="2"/>
  <c r="M124" i="2" s="1"/>
  <c r="L123" i="2"/>
  <c r="K124" i="2" s="1"/>
  <c r="X123" i="2"/>
  <c r="W124" i="2" s="1"/>
  <c r="AA123" i="2"/>
  <c r="J124" i="2" l="1"/>
  <c r="I125" i="2" s="1"/>
  <c r="R124" i="2"/>
  <c r="Q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J125" i="2" l="1"/>
  <c r="I126" i="2"/>
  <c r="R125" i="2"/>
  <c r="Q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J126" i="2" l="1"/>
  <c r="I127" i="2"/>
  <c r="R126" i="2"/>
  <c r="Q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J127" i="2" l="1"/>
  <c r="I128" i="2"/>
  <c r="R127" i="2"/>
  <c r="Q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J128" i="2" l="1"/>
  <c r="I129" i="2" s="1"/>
  <c r="R128" i="2"/>
  <c r="Q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J129" i="2" l="1"/>
  <c r="I130" i="2" s="1"/>
  <c r="R129" i="2"/>
  <c r="Q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J130" i="2" l="1"/>
  <c r="I131" i="2" s="1"/>
  <c r="R130" i="2"/>
  <c r="Q131" i="2" s="1"/>
  <c r="Z130" i="2"/>
  <c r="Y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J131" i="2" l="1"/>
  <c r="I132" i="2" s="1"/>
  <c r="R131" i="2"/>
  <c r="Q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J132" i="2" l="1"/>
  <c r="I133" i="2" s="1"/>
  <c r="R132" i="2"/>
  <c r="Q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J133" i="2" l="1"/>
  <c r="I134" i="2" s="1"/>
  <c r="R133" i="2"/>
  <c r="Q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J134" i="2" l="1"/>
  <c r="I135" i="2" s="1"/>
  <c r="R134" i="2"/>
  <c r="Q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J135" i="2" l="1"/>
  <c r="I136" i="2" s="1"/>
  <c r="R135" i="2"/>
  <c r="Q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J136" i="2" l="1"/>
  <c r="R136" i="2"/>
  <c r="Z136" i="2"/>
  <c r="P136" i="2"/>
  <c r="N136" i="2"/>
  <c r="T136" i="2"/>
  <c r="U136" i="2"/>
  <c r="L136" i="2"/>
  <c r="X136" i="2"/>
  <c r="AA136" i="2"/>
  <c r="H36" i="1" l="1"/>
</calcChain>
</file>

<file path=xl/sharedStrings.xml><?xml version="1.0" encoding="utf-8"?>
<sst xmlns="http://schemas.openxmlformats.org/spreadsheetml/2006/main" count="201" uniqueCount="147">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</sst>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1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1.7348219321571817E+19</c:v>
                </c:pt>
                <c:pt idx="1">
                  <c:v>2.1363239648763228E+21</c:v>
                </c:pt>
                <c:pt idx="2">
                  <c:v>7.5755978192263014E+20</c:v>
                </c:pt>
                <c:pt idx="3">
                  <c:v>1.3608116868733434E+20</c:v>
                </c:pt>
                <c:pt idx="4">
                  <c:v>5.4391395883518648E+19</c:v>
                </c:pt>
                <c:pt idx="5">
                  <c:v>3.2965710539854201E+19</c:v>
                </c:pt>
                <c:pt idx="6">
                  <c:v>7.0407741579260994E+19</c:v>
                </c:pt>
                <c:pt idx="7">
                  <c:v>1.628750598637446E+22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023744"/>
        <c:axId val="63858560"/>
      </c:barChart>
      <c:catAx>
        <c:axId val="63023744"/>
        <c:scaling>
          <c:orientation val="minMax"/>
        </c:scaling>
        <c:delete val="0"/>
        <c:axPos val="b"/>
        <c:majorTickMark val="out"/>
        <c:minorTickMark val="none"/>
        <c:tickLblPos val="nextTo"/>
        <c:crossAx val="63858560"/>
        <c:crosses val="autoZero"/>
        <c:auto val="1"/>
        <c:lblAlgn val="ctr"/>
        <c:lblOffset val="100"/>
        <c:noMultiLvlLbl val="0"/>
      </c:catAx>
      <c:valAx>
        <c:axId val="63858560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3023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499776"/>
        <c:axId val="77996416"/>
      </c:barChart>
      <c:catAx>
        <c:axId val="75499776"/>
        <c:scaling>
          <c:orientation val="minMax"/>
        </c:scaling>
        <c:delete val="0"/>
        <c:axPos val="b"/>
        <c:majorTickMark val="out"/>
        <c:minorTickMark val="none"/>
        <c:tickLblPos val="nextTo"/>
        <c:crossAx val="77996416"/>
        <c:crosses val="autoZero"/>
        <c:auto val="1"/>
        <c:lblAlgn val="ctr"/>
        <c:lblOffset val="100"/>
        <c:noMultiLvlLbl val="0"/>
      </c:catAx>
      <c:valAx>
        <c:axId val="779964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549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19.859172278637015</c:v>
                </c:pt>
                <c:pt idx="2">
                  <c:v>20.654017744576844</c:v>
                </c:pt>
                <c:pt idx="3">
                  <c:v>21.426693472754593</c:v>
                </c:pt>
                <c:pt idx="4">
                  <c:v>22.17764266891642</c:v>
                </c:pt>
                <c:pt idx="5">
                  <c:v>22.907302681183282</c:v>
                </c:pt>
                <c:pt idx="6">
                  <c:v>23.616104988622904</c:v>
                </c:pt>
                <c:pt idx="7">
                  <c:v>24.304475194163221</c:v>
                </c:pt>
                <c:pt idx="8">
                  <c:v>24.972833021641474</c:v>
                </c:pt>
                <c:pt idx="9">
                  <c:v>25.621592316790615</c:v>
                </c:pt>
                <c:pt idx="10">
                  <c:v>26.251161051971785</c:v>
                </c:pt>
                <c:pt idx="11">
                  <c:v>26.861941334468632</c:v>
                </c:pt>
                <c:pt idx="12">
                  <c:v>27.454329418165987</c:v>
                </c:pt>
                <c:pt idx="13">
                  <c:v>28.028715718441866</c:v>
                </c:pt>
                <c:pt idx="14">
                  <c:v>28.585484830108129</c:v>
                </c:pt>
                <c:pt idx="15">
                  <c:v>29.125015548241191</c:v>
                </c:pt>
                <c:pt idx="16">
                  <c:v>29.647680891750078</c:v>
                </c:pt>
                <c:pt idx="17">
                  <c:v>30.153848129534857</c:v>
                </c:pt>
                <c:pt idx="18">
                  <c:v>30.643878809093913</c:v>
                </c:pt>
                <c:pt idx="19">
                  <c:v>31.118128787443979</c:v>
                </c:pt>
                <c:pt idx="20">
                  <c:v>31.576948264221922</c:v>
                </c:pt>
                <c:pt idx="21">
                  <c:v>32.020681816842284</c:v>
                </c:pt>
                <c:pt idx="22">
                  <c:v>32.449668437589395</c:v>
                </c:pt>
                <c:pt idx="23">
                  <c:v>32.864241572527618</c:v>
                </c:pt>
                <c:pt idx="24">
                  <c:v>33.264729162117668</c:v>
                </c:pt>
                <c:pt idx="25">
                  <c:v>33.651453683431406</c:v>
                </c:pt>
                <c:pt idx="26">
                  <c:v>34.024732193861702</c:v>
                </c:pt>
                <c:pt idx="27">
                  <c:v>34.384876376227986</c:v>
                </c:pt>
                <c:pt idx="28">
                  <c:v>34.732192585182133</c:v>
                </c:pt>
                <c:pt idx="29">
                  <c:v>35.06698189482303</c:v>
                </c:pt>
                <c:pt idx="30">
                  <c:v>35.389540147431944</c:v>
                </c:pt>
                <c:pt idx="31">
                  <c:v>35.700158003244276</c:v>
                </c:pt>
                <c:pt idx="32">
                  <c:v>35.999120991176817</c:v>
                </c:pt>
                <c:pt idx="33">
                  <c:v>36.286709560432783</c:v>
                </c:pt>
                <c:pt idx="34">
                  <c:v>36.563199132910341</c:v>
                </c:pt>
                <c:pt idx="35">
                  <c:v>36.828860156343154</c:v>
                </c:pt>
                <c:pt idx="36">
                  <c:v>37.083958158104672</c:v>
                </c:pt>
                <c:pt idx="37">
                  <c:v>37.32875379961073</c:v>
                </c:pt>
                <c:pt idx="38">
                  <c:v>37.563502931257702</c:v>
                </c:pt>
                <c:pt idx="39">
                  <c:v>37.788456647836256</c:v>
                </c:pt>
                <c:pt idx="40">
                  <c:v>38.003861344363337</c:v>
                </c:pt>
                <c:pt idx="41">
                  <c:v>38.209958772277446</c:v>
                </c:pt>
                <c:pt idx="42">
                  <c:v>38.406986095944738</c:v>
                </c:pt>
                <c:pt idx="43">
                  <c:v>38.595175949425851</c:v>
                </c:pt>
                <c:pt idx="44">
                  <c:v>38.774756493455477</c:v>
                </c:pt>
                <c:pt idx="45">
                  <c:v>38.945951472589044</c:v>
                </c:pt>
                <c:pt idx="46">
                  <c:v>39.108980272472813</c:v>
                </c:pt>
                <c:pt idx="47">
                  <c:v>39.264057977195804</c:v>
                </c:pt>
                <c:pt idx="48">
                  <c:v>39.411395426683903</c:v>
                </c:pt>
                <c:pt idx="49">
                  <c:v>39.551199274098316</c:v>
                </c:pt>
                <c:pt idx="50">
                  <c:v>39.683672043202414</c:v>
                </c:pt>
                <c:pt idx="51">
                  <c:v>39.809012185662766</c:v>
                </c:pt>
                <c:pt idx="52">
                  <c:v>39.927414138251756</c:v>
                </c:pt>
                <c:pt idx="53">
                  <c:v>40.039068379920892</c:v>
                </c:pt>
                <c:pt idx="54">
                  <c:v>40.144161488715397</c:v>
                </c:pt>
                <c:pt idx="55">
                  <c:v>40.242876198502252</c:v>
                </c:pt>
                <c:pt idx="56">
                  <c:v>40.335391455485222</c:v>
                </c:pt>
                <c:pt idx="57">
                  <c:v>40.421882474481933</c:v>
                </c:pt>
                <c:pt idx="58">
                  <c:v>40.502520794939159</c:v>
                </c:pt>
                <c:pt idx="59">
                  <c:v>40.57747433666411</c:v>
                </c:pt>
                <c:pt idx="60">
                  <c:v>40.646907455250421</c:v>
                </c:pt>
                <c:pt idx="61">
                  <c:v>40.710980997178979</c:v>
                </c:pt>
                <c:pt idx="62">
                  <c:v>40.769852354574759</c:v>
                </c:pt>
                <c:pt idx="63">
                  <c:v>40.823675519601991</c:v>
                </c:pt>
                <c:pt idx="64">
                  <c:v>40.872601138480995</c:v>
                </c:pt>
                <c:pt idx="65">
                  <c:v>40.916776565111142</c:v>
                </c:pt>
                <c:pt idx="66">
                  <c:v>40.956345914285251</c:v>
                </c:pt>
                <c:pt idx="67">
                  <c:v>40.991450114481808</c:v>
                </c:pt>
                <c:pt idx="68">
                  <c:v>41.02222696022222</c:v>
                </c:pt>
                <c:pt idx="69">
                  <c:v>41.048811163981206</c:v>
                </c:pt>
                <c:pt idx="70">
                  <c:v>41.07133440763927</c:v>
                </c:pt>
                <c:pt idx="71">
                  <c:v>41.089925393467063</c:v>
                </c:pt>
                <c:pt idx="72">
                  <c:v>41.104709894632045</c:v>
                </c:pt>
                <c:pt idx="73">
                  <c:v>41.115810805218842</c:v>
                </c:pt>
                <c:pt idx="74">
                  <c:v>41.123348189755191</c:v>
                </c:pt>
                <c:pt idx="75">
                  <c:v>41.127439332236143</c:v>
                </c:pt>
                <c:pt idx="76">
                  <c:v>41.128198784639878</c:v>
                </c:pt>
                <c:pt idx="77">
                  <c:v>41.125738414929025</c:v>
                </c:pt>
                <c:pt idx="78">
                  <c:v>41.120167454532037</c:v>
                </c:pt>
                <c:pt idx="79">
                  <c:v>41.111592545299764</c:v>
                </c:pt>
                <c:pt idx="80">
                  <c:v>41.100117785932838</c:v>
                </c:pt>
                <c:pt idx="81">
                  <c:v>41.085844777876098</c:v>
                </c:pt>
                <c:pt idx="82">
                  <c:v>41.068872670676768</c:v>
                </c:pt>
                <c:pt idx="83">
                  <c:v>41.049298206803478</c:v>
                </c:pt>
                <c:pt idx="84">
                  <c:v>41.027215765923877</c:v>
                </c:pt>
                <c:pt idx="85">
                  <c:v>41.002717408638823</c:v>
                </c:pt>
                <c:pt idx="86">
                  <c:v>40.975892919671701</c:v>
                </c:pt>
                <c:pt idx="87">
                  <c:v>40.946829850511733</c:v>
                </c:pt>
                <c:pt idx="88">
                  <c:v>40.915613561510597</c:v>
                </c:pt>
                <c:pt idx="89">
                  <c:v>40.882327263431947</c:v>
                </c:pt>
                <c:pt idx="90">
                  <c:v>40.84705205845389</c:v>
                </c:pt>
                <c:pt idx="91">
                  <c:v>40.80986698062469</c:v>
                </c:pt>
                <c:pt idx="92">
                  <c:v>40.770849035772351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23008"/>
        <c:axId val="78545664"/>
      </c:scatterChart>
      <c:valAx>
        <c:axId val="785230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78545664"/>
        <c:crosses val="autoZero"/>
        <c:crossBetween val="midCat"/>
      </c:valAx>
      <c:valAx>
        <c:axId val="78545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78523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3456.2842968609007</c:v>
                </c:pt>
                <c:pt idx="2">
                  <c:v>3450.9376391538235</c:v>
                </c:pt>
                <c:pt idx="3">
                  <c:v>3445.5432887122593</c:v>
                </c:pt>
                <c:pt idx="4">
                  <c:v>3440.1024063157743</c:v>
                </c:pt>
                <c:pt idx="5">
                  <c:v>3434.6161324215723</c:v>
                </c:pt>
                <c:pt idx="6">
                  <c:v>3429.0855875133693</c:v>
                </c:pt>
                <c:pt idx="7">
                  <c:v>3423.5118724438576</c:v>
                </c:pt>
                <c:pt idx="8">
                  <c:v>3417.8960687708941</c:v>
                </c:pt>
                <c:pt idx="9">
                  <c:v>3412.2392390875407</c:v>
                </c:pt>
                <c:pt idx="10">
                  <c:v>3406.5424273460881</c:v>
                </c:pt>
                <c:pt idx="11">
                  <c:v>3400.8066591761881</c:v>
                </c:pt>
                <c:pt idx="12">
                  <c:v>3395.0329421972142</c:v>
                </c:pt>
                <c:pt idx="13">
                  <c:v>3389.2222663249709</c:v>
                </c:pt>
                <c:pt idx="14">
                  <c:v>3383.3756040728686</c:v>
                </c:pt>
                <c:pt idx="15">
                  <c:v>3377.4939108476769</c:v>
                </c:pt>
                <c:pt idx="16">
                  <c:v>3371.5781252399661</c:v>
                </c:pt>
                <c:pt idx="17">
                  <c:v>3365.6291693093449</c:v>
                </c:pt>
                <c:pt idx="18">
                  <c:v>3359.6479488646032</c:v>
                </c:pt>
                <c:pt idx="19">
                  <c:v>3353.6353537388577</c:v>
                </c:pt>
                <c:pt idx="20">
                  <c:v>3347.5922580598058</c:v>
                </c:pt>
                <c:pt idx="21">
                  <c:v>3341.5195205151808</c:v>
                </c:pt>
                <c:pt idx="22">
                  <c:v>3335.4179846135103</c:v>
                </c:pt>
                <c:pt idx="23">
                  <c:v>3329.288478940266</c:v>
                </c:pt>
                <c:pt idx="24">
                  <c:v>3323.1318174094995</c:v>
                </c:pt>
                <c:pt idx="25">
                  <c:v>3316.9487995110517</c:v>
                </c:pt>
                <c:pt idx="26">
                  <c:v>3310.7402105534256</c:v>
                </c:pt>
                <c:pt idx="27">
                  <c:v>3304.5068219024033</c:v>
                </c:pt>
                <c:pt idx="28">
                  <c:v>3298.2493912154951</c:v>
                </c:pt>
                <c:pt idx="29">
                  <c:v>3291.9686626722992</c:v>
                </c:pt>
                <c:pt idx="30">
                  <c:v>3285.6653672008533</c:v>
                </c:pt>
                <c:pt idx="31">
                  <c:v>3279.3402227000529</c:v>
                </c:pt>
                <c:pt idx="32">
                  <c:v>3272.9939342582161</c:v>
                </c:pt>
                <c:pt idx="33">
                  <c:v>3266.6271943678657</c:v>
                </c:pt>
                <c:pt idx="34">
                  <c:v>3260.2406831368035</c:v>
                </c:pt>
                <c:pt idx="35">
                  <c:v>3253.8350684955467</c:v>
                </c:pt>
                <c:pt idx="36">
                  <c:v>3247.4110064011952</c:v>
                </c:pt>
                <c:pt idx="37">
                  <c:v>3240.9691410377986</c:v>
                </c:pt>
                <c:pt idx="38">
                  <c:v>3234.5101050132885</c:v>
                </c:pt>
                <c:pt idx="39">
                  <c:v>3228.0345195530417</c:v>
                </c:pt>
                <c:pt idx="40">
                  <c:v>3221.5429946901372</c:v>
                </c:pt>
                <c:pt idx="41">
                  <c:v>3215.0361294523668</c:v>
                </c:pt>
                <c:pt idx="42">
                  <c:v>3208.5145120460656</c:v>
                </c:pt>
                <c:pt idx="43">
                  <c:v>3201.9787200368155</c:v>
                </c:pt>
                <c:pt idx="44">
                  <c:v>3195.4293205270828</c:v>
                </c:pt>
                <c:pt idx="45">
                  <c:v>3188.8668703308476</c:v>
                </c:pt>
                <c:pt idx="46">
                  <c:v>3182.2919161452778</c:v>
                </c:pt>
                <c:pt idx="47">
                  <c:v>3175.7049947195042</c:v>
                </c:pt>
                <c:pt idx="48">
                  <c:v>3169.1066330205485</c:v>
                </c:pt>
                <c:pt idx="49">
                  <c:v>3162.4973483964582</c:v>
                </c:pt>
                <c:pt idx="50">
                  <c:v>3155.8776487366963</c:v>
                </c:pt>
                <c:pt idx="51">
                  <c:v>3149.2480326298396</c:v>
                </c:pt>
                <c:pt idx="52">
                  <c:v>3142.6089895186306</c:v>
                </c:pt>
                <c:pt idx="53">
                  <c:v>3135.9609998524334</c:v>
                </c:pt>
                <c:pt idx="54">
                  <c:v>3129.3045352371387</c:v>
                </c:pt>
                <c:pt idx="55">
                  <c:v>3122.6400585825663</c:v>
                </c:pt>
                <c:pt idx="56">
                  <c:v>3115.9680242474064</c:v>
                </c:pt>
                <c:pt idx="57">
                  <c:v>3109.288878181746</c:v>
                </c:pt>
                <c:pt idx="58">
                  <c:v>3102.6030580672241</c:v>
                </c:pt>
                <c:pt idx="59">
                  <c:v>3095.9109934548555</c:v>
                </c:pt>
                <c:pt idx="60">
                  <c:v>3089.2131059005665</c:v>
                </c:pt>
                <c:pt idx="61">
                  <c:v>3082.509809098482</c:v>
                </c:pt>
                <c:pt idx="62">
                  <c:v>3075.8015090120034</c:v>
                </c:pt>
                <c:pt idx="63">
                  <c:v>3069.0886040027176</c:v>
                </c:pt>
                <c:pt idx="64">
                  <c:v>3062.3714849571738</c:v>
                </c:pt>
                <c:pt idx="65">
                  <c:v>3055.6505354115666</c:v>
                </c:pt>
                <c:pt idx="66">
                  <c:v>3048.9261316743596</c:v>
                </c:pt>
                <c:pt idx="67">
                  <c:v>3042.198642946888</c:v>
                </c:pt>
                <c:pt idx="68">
                  <c:v>3035.4684314419742</c:v>
                </c:pt>
                <c:pt idx="69">
                  <c:v>3028.735852500592</c:v>
                </c:pt>
                <c:pt idx="70">
                  <c:v>3022.0012547066094</c:v>
                </c:pt>
                <c:pt idx="71">
                  <c:v>3015.2649799996493</c:v>
                </c:pt>
                <c:pt idx="72">
                  <c:v>3008.5273637860942</c:v>
                </c:pt>
                <c:pt idx="73">
                  <c:v>3001.7887350482702</c:v>
                </c:pt>
                <c:pt idx="74">
                  <c:v>2995.0494164518427</c:v>
                </c:pt>
                <c:pt idx="75">
                  <c:v>2988.3097244514502</c:v>
                </c:pt>
                <c:pt idx="76">
                  <c:v>2981.5699693946108</c:v>
                </c:pt>
                <c:pt idx="77">
                  <c:v>2974.8304556239264</c:v>
                </c:pt>
                <c:pt idx="78">
                  <c:v>2968.0914815776177</c:v>
                </c:pt>
                <c:pt idx="79">
                  <c:v>2961.353339888416</c:v>
                </c:pt>
                <c:pt idx="80">
                  <c:v>2954.6163174808389</c:v>
                </c:pt>
                <c:pt idx="81">
                  <c:v>2947.88069566688</c:v>
                </c:pt>
                <c:pt idx="82">
                  <c:v>2941.146750240136</c:v>
                </c:pt>
                <c:pt idx="83">
                  <c:v>2934.4147515684003</c:v>
                </c:pt>
                <c:pt idx="84">
                  <c:v>2927.6849646847472</c:v>
                </c:pt>
                <c:pt idx="85">
                  <c:v>2920.9576493771324</c:v>
                </c:pt>
                <c:pt idx="86">
                  <c:v>2914.2330602765351</c:v>
                </c:pt>
                <c:pt idx="87">
                  <c:v>2907.5114469436649</c:v>
                </c:pt>
                <c:pt idx="88">
                  <c:v>2900.7930539542585</c:v>
                </c:pt>
                <c:pt idx="89">
                  <c:v>2894.0781209829906</c:v>
                </c:pt>
                <c:pt idx="90">
                  <c:v>2887.3668828860186</c:v>
                </c:pt>
                <c:pt idx="91">
                  <c:v>2880.6595697821872</c:v>
                </c:pt>
                <c:pt idx="92">
                  <c:v>2873.9564071329141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31808"/>
        <c:axId val="84035456"/>
      </c:scatterChart>
      <c:valAx>
        <c:axId val="838318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84035456"/>
        <c:crosses val="autoZero"/>
        <c:crossBetween val="midCat"/>
      </c:valAx>
      <c:valAx>
        <c:axId val="84035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8383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1168.8582483754269</c:v>
                </c:pt>
                <c:pt idx="4">
                  <c:v>1173.5261769005106</c:v>
                </c:pt>
                <c:pt idx="5">
                  <c:v>1178.1401815217778</c:v>
                </c:pt>
                <c:pt idx="6">
                  <c:v>1182.7004760819007</c:v>
                </c:pt>
                <c:pt idx="7">
                  <c:v>1187.2072771298533</c:v>
                </c:pt>
                <c:pt idx="8">
                  <c:v>1191.6608038273801</c:v>
                </c:pt>
                <c:pt idx="9">
                  <c:v>1196.0612778574002</c:v>
                </c:pt>
                <c:pt idx="10">
                  <c:v>1200.4089233343177</c:v>
                </c:pt>
                <c:pt idx="11">
                  <c:v>1204.7039667161935</c:v>
                </c:pt>
                <c:pt idx="12">
                  <c:v>1208.9466367187501</c:v>
                </c:pt>
                <c:pt idx="13">
                  <c:v>1213.1371642311703</c:v>
                </c:pt>
                <c:pt idx="14">
                  <c:v>1217.2757822336571</c:v>
                </c:pt>
                <c:pt idx="15">
                  <c:v>1221.36272571672</c:v>
                </c:pt>
                <c:pt idx="16">
                  <c:v>1225.3982316021581</c:v>
                </c:pt>
                <c:pt idx="17">
                  <c:v>1229.3825386657036</c:v>
                </c:pt>
                <c:pt idx="18">
                  <c:v>1233.3158874612964</c:v>
                </c:pt>
                <c:pt idx="19">
                  <c:v>1237.1985202469598</c:v>
                </c:pt>
                <c:pt idx="20">
                  <c:v>1241.0306809122444</c:v>
                </c:pt>
                <c:pt idx="21">
                  <c:v>1244.8126149072132</c:v>
                </c:pt>
                <c:pt idx="22">
                  <c:v>1248.5445691729362</c:v>
                </c:pt>
                <c:pt idx="23">
                  <c:v>1252.2267920734687</c:v>
                </c:pt>
                <c:pt idx="24">
                  <c:v>1255.8595333292822</c:v>
                </c:pt>
                <c:pt idx="25">
                  <c:v>1259.4430439521229</c:v>
                </c:pt>
                <c:pt idx="26">
                  <c:v>1262.9775761812707</c:v>
                </c:pt>
                <c:pt idx="27">
                  <c:v>1266.4633834211702</c:v>
                </c:pt>
                <c:pt idx="28">
                  <c:v>1269.9007201804102</c:v>
                </c:pt>
                <c:pt idx="29">
                  <c:v>1273.2898420120252</c:v>
                </c:pt>
                <c:pt idx="30">
                  <c:v>1276.6310054550938</c:v>
                </c:pt>
                <c:pt idx="31">
                  <c:v>1279.9244679776104</c:v>
                </c:pt>
                <c:pt idx="32">
                  <c:v>1283.1704879206056</c:v>
                </c:pt>
                <c:pt idx="33">
                  <c:v>1286.3693244434921</c:v>
                </c:pt>
                <c:pt idx="34">
                  <c:v>1289.5212374706123</c:v>
                </c:pt>
                <c:pt idx="35">
                  <c:v>1292.6264876389666</c:v>
                </c:pt>
                <c:pt idx="36">
                  <c:v>1295.6853362470986</c:v>
                </c:pt>
                <c:pt idx="37">
                  <c:v>1298.6980452051162</c:v>
                </c:pt>
                <c:pt idx="38">
                  <c:v>1301.6648769858273</c:v>
                </c:pt>
                <c:pt idx="39">
                  <c:v>1304.5860945769684</c:v>
                </c:pt>
                <c:pt idx="40">
                  <c:v>1307.4619614345077</c:v>
                </c:pt>
                <c:pt idx="41">
                  <c:v>1310.2927414369985</c:v>
                </c:pt>
                <c:pt idx="42">
                  <c:v>1313.0786988409682</c:v>
                </c:pt>
                <c:pt idx="43">
                  <c:v>1315.8200982373187</c:v>
                </c:pt>
                <c:pt idx="44">
                  <c:v>1318.5172045087234</c:v>
                </c:pt>
                <c:pt idx="45">
                  <c:v>1321.1702827879976</c:v>
                </c:pt>
                <c:pt idx="46">
                  <c:v>1323.7795984174288</c:v>
                </c:pt>
                <c:pt idx="47">
                  <c:v>1326.3454169090448</c:v>
                </c:pt>
                <c:pt idx="48">
                  <c:v>1328.8680039058045</c:v>
                </c:pt>
                <c:pt idx="49">
                  <c:v>1331.3476251436925</c:v>
                </c:pt>
                <c:pt idx="50">
                  <c:v>1333.7845464147022</c:v>
                </c:pt>
                <c:pt idx="51">
                  <c:v>1336.1790335306875</c:v>
                </c:pt>
                <c:pt idx="52">
                  <c:v>1338.5313522880722</c:v>
                </c:pt>
                <c:pt idx="53">
                  <c:v>1340.8417684333938</c:v>
                </c:pt>
                <c:pt idx="54">
                  <c:v>1343.1105476296727</c:v>
                </c:pt>
                <c:pt idx="55">
                  <c:v>1345.3379554235869</c:v>
                </c:pt>
                <c:pt idx="56">
                  <c:v>1347.524257213438</c:v>
                </c:pt>
                <c:pt idx="57">
                  <c:v>1349.6697182178955</c:v>
                </c:pt>
                <c:pt idx="58">
                  <c:v>1351.7746034455015</c:v>
                </c:pt>
                <c:pt idx="59">
                  <c:v>1353.8391776649241</c:v>
                </c:pt>
                <c:pt idx="60">
                  <c:v>1355.8637053759437</c:v>
                </c:pt>
                <c:pt idx="61">
                  <c:v>1357.8484507811593</c:v>
                </c:pt>
                <c:pt idx="62">
                  <c:v>1359.7936777583998</c:v>
                </c:pt>
                <c:pt idx="63">
                  <c:v>1361.6996498338294</c:v>
                </c:pt>
                <c:pt idx="64">
                  <c:v>1363.5666301557312</c:v>
                </c:pt>
                <c:pt idx="65">
                  <c:v>1365.3948814689577</c:v>
                </c:pt>
                <c:pt idx="66">
                  <c:v>1367.1846660900349</c:v>
                </c:pt>
                <c:pt idx="67">
                  <c:v>1368.9362458829078</c:v>
                </c:pt>
                <c:pt idx="68">
                  <c:v>1370.649882235316</c:v>
                </c:pt>
                <c:pt idx="69">
                  <c:v>1372.3258360357845</c:v>
                </c:pt>
                <c:pt idx="70">
                  <c:v>1373.9643676512214</c:v>
                </c:pt>
                <c:pt idx="71">
                  <c:v>1375.5657369051091</c:v>
                </c:pt>
                <c:pt idx="72">
                  <c:v>1377.1302030562774</c:v>
                </c:pt>
                <c:pt idx="73">
                  <c:v>1378.6580247782481</c:v>
                </c:pt>
                <c:pt idx="74">
                  <c:v>1380.1494601391396</c:v>
                </c:pt>
                <c:pt idx="75">
                  <c:v>1381.604766582122</c:v>
                </c:pt>
                <c:pt idx="76">
                  <c:v>1383.0242009064098</c:v>
                </c:pt>
                <c:pt idx="77">
                  <c:v>1384.4080192487838</c:v>
                </c:pt>
                <c:pt idx="78">
                  <c:v>1385.7564770656313</c:v>
                </c:pt>
                <c:pt idx="79">
                  <c:v>1387.0698291154943</c:v>
                </c:pt>
                <c:pt idx="80">
                  <c:v>1388.3483294421167</c:v>
                </c:pt>
                <c:pt idx="81">
                  <c:v>1389.5922313579797</c:v>
                </c:pt>
                <c:pt idx="82">
                  <c:v>1390.8017874283171</c:v>
                </c:pt>
                <c:pt idx="83">
                  <c:v>1391.9772494556</c:v>
                </c:pt>
                <c:pt idx="84">
                  <c:v>1393.1188684644828</c:v>
                </c:pt>
                <c:pt idx="85">
                  <c:v>1394.2268946872007</c:v>
                </c:pt>
                <c:pt idx="86">
                  <c:v>1395.30157754941</c:v>
                </c:pt>
                <c:pt idx="87">
                  <c:v>1396.3431656564637</c:v>
                </c:pt>
                <c:pt idx="88">
                  <c:v>1397.3519067801114</c:v>
                </c:pt>
                <c:pt idx="89">
                  <c:v>1398.3280478456184</c:v>
                </c:pt>
                <c:pt idx="90">
                  <c:v>1399.2718349192915</c:v>
                </c:pt>
                <c:pt idx="91">
                  <c:v>1400.183513196409</c:v>
                </c:pt>
                <c:pt idx="92">
                  <c:v>1401.0633269895413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28960"/>
        <c:axId val="89130880"/>
      </c:scatterChart>
      <c:valAx>
        <c:axId val="8912896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89130880"/>
        <c:crosses val="autoZero"/>
        <c:crossBetween val="midCat"/>
      </c:valAx>
      <c:valAx>
        <c:axId val="8913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89128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232.52995409516313</c:v>
                </c:pt>
                <c:pt idx="5">
                  <c:v>230.47772656672367</c:v>
                </c:pt>
                <c:pt idx="6">
                  <c:v>228.49975842358148</c:v>
                </c:pt>
                <c:pt idx="7">
                  <c:v>226.59378732254442</c:v>
                </c:pt>
                <c:pt idx="8">
                  <c:v>224.75761451907456</c:v>
                </c:pt>
                <c:pt idx="9">
                  <c:v>222.98910311204205</c:v>
                </c:pt>
                <c:pt idx="10">
                  <c:v>221.28617633684809</c:v>
                </c:pt>
                <c:pt idx="11">
                  <c:v>219.64681590558266</c:v>
                </c:pt>
                <c:pt idx="12">
                  <c:v>218.06906039291806</c:v>
                </c:pt>
                <c:pt idx="13">
                  <c:v>216.55100366647611</c:v>
                </c:pt>
                <c:pt idx="14">
                  <c:v>215.09079336044124</c:v>
                </c:pt>
                <c:pt idx="15">
                  <c:v>213.68662939122629</c:v>
                </c:pt>
                <c:pt idx="16">
                  <c:v>212.3367625140298</c:v>
                </c:pt>
                <c:pt idx="17">
                  <c:v>211.03949291915694</c:v>
                </c:pt>
                <c:pt idx="18">
                  <c:v>209.79316886700622</c:v>
                </c:pt>
                <c:pt idx="19">
                  <c:v>208.59618536065537</c:v>
                </c:pt>
                <c:pt idx="20">
                  <c:v>207.44698285500877</c:v>
                </c:pt>
                <c:pt idx="21">
                  <c:v>206.34404600149756</c:v>
                </c:pt>
                <c:pt idx="22">
                  <c:v>205.28590242735169</c:v>
                </c:pt>
                <c:pt idx="23">
                  <c:v>204.27112154848993</c:v>
                </c:pt>
                <c:pt idx="24">
                  <c:v>203.29831341510049</c:v>
                </c:pt>
                <c:pt idx="25">
                  <c:v>202.36612758901046</c:v>
                </c:pt>
                <c:pt idx="26">
                  <c:v>201.47325205196722</c:v>
                </c:pt>
                <c:pt idx="27">
                  <c:v>200.61841214397899</c:v>
                </c:pt>
                <c:pt idx="28">
                  <c:v>199.80036953088563</c:v>
                </c:pt>
                <c:pt idx="29">
                  <c:v>199.01792120035356</c:v>
                </c:pt>
                <c:pt idx="30">
                  <c:v>198.26989848551065</c:v>
                </c:pt>
                <c:pt idx="31">
                  <c:v>197.55516611545917</c:v>
                </c:pt>
                <c:pt idx="32">
                  <c:v>196.87262129192536</c:v>
                </c:pt>
                <c:pt idx="33">
                  <c:v>196.22119279132505</c:v>
                </c:pt>
                <c:pt idx="34">
                  <c:v>195.59984009154476</c:v>
                </c:pt>
                <c:pt idx="35">
                  <c:v>195.00755252275641</c:v>
                </c:pt>
                <c:pt idx="36">
                  <c:v>194.44334844160346</c:v>
                </c:pt>
                <c:pt idx="37">
                  <c:v>193.90627442811402</c:v>
                </c:pt>
                <c:pt idx="38">
                  <c:v>193.39540450471455</c:v>
                </c:pt>
                <c:pt idx="39">
                  <c:v>192.90983937673477</c:v>
                </c:pt>
                <c:pt idx="40">
                  <c:v>192.44870569381177</c:v>
                </c:pt>
                <c:pt idx="41">
                  <c:v>192.01115533161698</c:v>
                </c:pt>
                <c:pt idx="42">
                  <c:v>191.59636469334615</c:v>
                </c:pt>
                <c:pt idx="43">
                  <c:v>191.20353403042773</c:v>
                </c:pt>
                <c:pt idx="44">
                  <c:v>190.83188678191996</c:v>
                </c:pt>
                <c:pt idx="45">
                  <c:v>190.48066893208181</c:v>
                </c:pt>
                <c:pt idx="46">
                  <c:v>190.14914838561708</c:v>
                </c:pt>
                <c:pt idx="47">
                  <c:v>189.83661436010476</c:v>
                </c:pt>
                <c:pt idx="48">
                  <c:v>189.54237679514208</c:v>
                </c:pt>
                <c:pt idx="49">
                  <c:v>189.26576577774011</c:v>
                </c:pt>
                <c:pt idx="50">
                  <c:v>189.00613098352414</c:v>
                </c:pt>
                <c:pt idx="51">
                  <c:v>188.76284113330331</c:v>
                </c:pt>
                <c:pt idx="52">
                  <c:v>188.53528346458666</c:v>
                </c:pt>
                <c:pt idx="53">
                  <c:v>188.32286321763371</c:v>
                </c:pt>
                <c:pt idx="54">
                  <c:v>188.12500313563933</c:v>
                </c:pt>
                <c:pt idx="55">
                  <c:v>187.94114297866383</c:v>
                </c:pt>
                <c:pt idx="56">
                  <c:v>187.77073905092973</c:v>
                </c:pt>
                <c:pt idx="57">
                  <c:v>187.61326374111738</c:v>
                </c:pt>
                <c:pt idx="58">
                  <c:v>187.46820507530137</c:v>
                </c:pt>
                <c:pt idx="59">
                  <c:v>187.33506628217987</c:v>
                </c:pt>
                <c:pt idx="60">
                  <c:v>187.21336537025857</c:v>
                </c:pt>
                <c:pt idx="61">
                  <c:v>187.10263471666028</c:v>
                </c:pt>
                <c:pt idx="62">
                  <c:v>187.00242066723985</c:v>
                </c:pt>
                <c:pt idx="63">
                  <c:v>186.91228314769387</c:v>
                </c:pt>
                <c:pt idx="64">
                  <c:v>186.8317952853622</c:v>
                </c:pt>
                <c:pt idx="65">
                  <c:v>186.76054304142727</c:v>
                </c:pt>
                <c:pt idx="66">
                  <c:v>186.69812485322507</c:v>
                </c:pt>
                <c:pt idx="67">
                  <c:v>186.64415128638973</c:v>
                </c:pt>
                <c:pt idx="68">
                  <c:v>186.5982446965611</c:v>
                </c:pt>
                <c:pt idx="69">
                  <c:v>186.5600389003923</c:v>
                </c:pt>
                <c:pt idx="70">
                  <c:v>186.5291788556014</c:v>
                </c:pt>
                <c:pt idx="71">
                  <c:v>186.50532034981876</c:v>
                </c:pt>
                <c:pt idx="72">
                  <c:v>186.48812969798774</c:v>
                </c:pt>
                <c:pt idx="73">
                  <c:v>186.47728344808394</c:v>
                </c:pt>
                <c:pt idx="74">
                  <c:v>186.47246809492401</c:v>
                </c:pt>
                <c:pt idx="75">
                  <c:v>186.47337980184187</c:v>
                </c:pt>
                <c:pt idx="76">
                  <c:v>186.47972413001574</c:v>
                </c:pt>
                <c:pt idx="77">
                  <c:v>186.49121577523596</c:v>
                </c:pt>
                <c:pt idx="78">
                  <c:v>186.50757831190887</c:v>
                </c:pt>
                <c:pt idx="79">
                  <c:v>186.52854394409809</c:v>
                </c:pt>
                <c:pt idx="80">
                  <c:v>186.55385326340954</c:v>
                </c:pt>
                <c:pt idx="81">
                  <c:v>186.58325501353227</c:v>
                </c:pt>
                <c:pt idx="82">
                  <c:v>186.61650586125234</c:v>
                </c:pt>
                <c:pt idx="83">
                  <c:v>186.65337017376163</c:v>
                </c:pt>
                <c:pt idx="84">
                  <c:v>186.69361980208888</c:v>
                </c:pt>
                <c:pt idx="85">
                  <c:v>186.73703387048459</c:v>
                </c:pt>
                <c:pt idx="86">
                  <c:v>186.78339857159642</c:v>
                </c:pt>
                <c:pt idx="87">
                  <c:v>186.83250696727592</c:v>
                </c:pt>
                <c:pt idx="88">
                  <c:v>186.88415879486195</c:v>
                </c:pt>
                <c:pt idx="89">
                  <c:v>186.93816027879043</c:v>
                </c:pt>
                <c:pt idx="90">
                  <c:v>186.9943239473842</c:v>
                </c:pt>
                <c:pt idx="91">
                  <c:v>187.05246845468059</c:v>
                </c:pt>
                <c:pt idx="92">
                  <c:v>187.11241840715863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29440"/>
        <c:axId val="110269568"/>
      </c:scatterChart>
      <c:valAx>
        <c:axId val="1100294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10269568"/>
        <c:crosses val="autoZero"/>
        <c:crossBetween val="midCat"/>
      </c:valAx>
      <c:valAx>
        <c:axId val="110269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0029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84.582404784241191</c:v>
                </c:pt>
                <c:pt idx="6">
                  <c:v>85.030836246340513</c:v>
                </c:pt>
                <c:pt idx="7">
                  <c:v>85.469344943392073</c:v>
                </c:pt>
                <c:pt idx="8">
                  <c:v>85.898237684670136</c:v>
                </c:pt>
                <c:pt idx="9">
                  <c:v>86.317812252292683</c:v>
                </c:pt>
                <c:pt idx="10">
                  <c:v>86.728357649171258</c:v>
                </c:pt>
                <c:pt idx="11">
                  <c:v>87.130154340282346</c:v>
                </c:pt>
                <c:pt idx="12">
                  <c:v>87.523474487440652</c:v>
                </c:pt>
                <c:pt idx="13">
                  <c:v>87.90858217774985</c:v>
                </c:pt>
                <c:pt idx="14">
                  <c:v>88.285733645901573</c:v>
                </c:pt>
                <c:pt idx="15">
                  <c:v>88.655177490488654</c:v>
                </c:pt>
                <c:pt idx="16">
                  <c:v>89.017154884494246</c:v>
                </c:pt>
                <c:pt idx="17">
                  <c:v>89.371899780113978</c:v>
                </c:pt>
                <c:pt idx="18">
                  <c:v>89.719639108064058</c:v>
                </c:pt>
                <c:pt idx="19">
                  <c:v>90.060592971524017</c:v>
                </c:pt>
                <c:pt idx="20">
                  <c:v>90.394974834858772</c:v>
                </c:pt>
                <c:pt idx="21">
                  <c:v>90.722991707260917</c:v>
                </c:pt>
                <c:pt idx="22">
                  <c:v>91.044844321449887</c:v>
                </c:pt>
                <c:pt idx="23">
                  <c:v>91.360727307561532</c:v>
                </c:pt>
                <c:pt idx="24">
                  <c:v>91.670829362357395</c:v>
                </c:pt>
                <c:pt idx="25">
                  <c:v>91.975333413879952</c:v>
                </c:pt>
                <c:pt idx="26">
                  <c:v>92.274416781676379</c:v>
                </c:pt>
                <c:pt idx="27">
                  <c:v>92.568251332710147</c:v>
                </c:pt>
                <c:pt idx="28">
                  <c:v>92.857003633076573</c:v>
                </c:pt>
                <c:pt idx="29">
                  <c:v>93.14083509563514</c:v>
                </c:pt>
                <c:pt idx="30">
                  <c:v>93.419902123668606</c:v>
                </c:pt>
                <c:pt idx="31">
                  <c:v>93.694356250675554</c:v>
                </c:pt>
                <c:pt idx="32">
                  <c:v>93.964344276400624</c:v>
                </c:pt>
                <c:pt idx="33">
                  <c:v>94.230008399203314</c:v>
                </c:pt>
                <c:pt idx="34">
                  <c:v>94.491486344863944</c:v>
                </c:pt>
                <c:pt idx="35">
                  <c:v>94.748911491922485</c:v>
                </c:pt>
                <c:pt idx="36">
                  <c:v>95.002412993643347</c:v>
                </c:pt>
                <c:pt idx="37">
                  <c:v>95.252115896696779</c:v>
                </c:pt>
                <c:pt idx="38">
                  <c:v>95.498141256645127</c:v>
                </c:pt>
                <c:pt idx="39">
                  <c:v>95.740606250319601</c:v>
                </c:pt>
                <c:pt idx="40">
                  <c:v>95.979624285171056</c:v>
                </c:pt>
                <c:pt idx="41">
                  <c:v>96.215305105676109</c:v>
                </c:pt>
                <c:pt idx="42">
                  <c:v>96.447754896877342</c:v>
                </c:pt>
                <c:pt idx="43">
                  <c:v>96.677076385134725</c:v>
                </c:pt>
                <c:pt idx="44">
                  <c:v>96.903368936162849</c:v>
                </c:pt>
                <c:pt idx="45">
                  <c:v>97.126728650426799</c:v>
                </c:pt>
                <c:pt idx="46">
                  <c:v>97.347248455967517</c:v>
                </c:pt>
                <c:pt idx="47">
                  <c:v>97.56501819872544</c:v>
                </c:pt>
                <c:pt idx="48">
                  <c:v>97.780124730429449</c:v>
                </c:pt>
                <c:pt idx="49">
                  <c:v>97.992651994116457</c:v>
                </c:pt>
                <c:pt idx="50">
                  <c:v>98.202681107344901</c:v>
                </c:pt>
                <c:pt idx="51">
                  <c:v>98.410290443164016</c:v>
                </c:pt>
                <c:pt idx="52">
                  <c:v>98.615555708898881</c:v>
                </c:pt>
                <c:pt idx="53">
                  <c:v>98.818550022809731</c:v>
                </c:pt>
                <c:pt idx="54">
                  <c:v>99.019343988682351</c:v>
                </c:pt>
                <c:pt idx="55">
                  <c:v>99.218005768404993</c:v>
                </c:pt>
                <c:pt idx="56">
                  <c:v>99.414601152585476</c:v>
                </c:pt>
                <c:pt idx="57">
                  <c:v>99.6091936292611</c:v>
                </c:pt>
                <c:pt idx="58">
                  <c:v>99.801844450752128</c:v>
                </c:pt>
                <c:pt idx="59">
                  <c:v>99.992612698708612</c:v>
                </c:pt>
                <c:pt idx="60">
                  <c:v>100.18155534739873</c:v>
                </c:pt>
                <c:pt idx="61">
                  <c:v>100.36872732528563</c:v>
                </c:pt>
                <c:pt idx="62">
                  <c:v>100.55418157493857</c:v>
                </c:pt>
                <c:pt idx="63">
                  <c:v>100.73796911132261</c:v>
                </c:pt>
                <c:pt idx="64">
                  <c:v>100.92013907851049</c:v>
                </c:pt>
                <c:pt idx="65">
                  <c:v>101.10073880485841</c:v>
                </c:pt>
                <c:pt idx="66">
                  <c:v>101.279813856687</c:v>
                </c:pt>
                <c:pt idx="67">
                  <c:v>101.45740809050723</c:v>
                </c:pt>
                <c:pt idx="68">
                  <c:v>101.63356370383008</c:v>
                </c:pt>
                <c:pt idx="69">
                  <c:v>101.80832128459771</c:v>
                </c:pt>
                <c:pt idx="70">
                  <c:v>101.981719859273</c:v>
                </c:pt>
                <c:pt idx="71">
                  <c:v>102.15379693962308</c:v>
                </c:pt>
                <c:pt idx="72">
                  <c:v>102.32458856823173</c:v>
                </c:pt>
                <c:pt idx="73">
                  <c:v>102.49412936277457</c:v>
                </c:pt>
                <c:pt idx="74">
                  <c:v>102.66245255908986</c:v>
                </c:pt>
                <c:pt idx="75">
                  <c:v>102.8295900530771</c:v>
                </c:pt>
                <c:pt idx="76">
                  <c:v>102.9955724414547</c:v>
                </c:pt>
                <c:pt idx="77">
                  <c:v>103.16042906140693</c:v>
                </c:pt>
                <c:pt idx="78">
                  <c:v>103.32418802914987</c:v>
                </c:pt>
                <c:pt idx="79">
                  <c:v>103.48687627744503</c:v>
                </c:pt>
                <c:pt idx="80">
                  <c:v>103.64851959208883</c:v>
                </c:pt>
                <c:pt idx="81">
                  <c:v>103.80914264740485</c:v>
                </c:pt>
                <c:pt idx="82">
                  <c:v>103.96876904076584</c:v>
                </c:pt>
                <c:pt idx="83">
                  <c:v>104.12742132617082</c:v>
                </c:pt>
                <c:pt idx="84">
                  <c:v>104.28512104690287</c:v>
                </c:pt>
                <c:pt idx="85">
                  <c:v>104.44188876729164</c:v>
                </c:pt>
                <c:pt idx="86">
                  <c:v>104.5977441036047</c:v>
                </c:pt>
                <c:pt idx="87">
                  <c:v>104.75270575409067</c:v>
                </c:pt>
                <c:pt idx="88">
                  <c:v>104.90679152819692</c:v>
                </c:pt>
                <c:pt idx="89">
                  <c:v>105.0600183749835</c:v>
                </c:pt>
                <c:pt idx="90">
                  <c:v>105.21240241075489</c:v>
                </c:pt>
                <c:pt idx="91">
                  <c:v>105.36395894593025</c:v>
                </c:pt>
                <c:pt idx="92">
                  <c:v>105.51470251117243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98560"/>
        <c:axId val="111412352"/>
      </c:scatterChart>
      <c:valAx>
        <c:axId val="11089856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11412352"/>
        <c:crosses val="autoZero"/>
        <c:crossBetween val="midCat"/>
      </c:valAx>
      <c:valAx>
        <c:axId val="111412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0898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1410759647863532"/>
                  <c:y val="-0.12052841719878346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52.572075145884575</c:v>
                </c:pt>
                <c:pt idx="6">
                  <c:v>52.633386209618394</c:v>
                </c:pt>
                <c:pt idx="7">
                  <c:v>52.685709242076655</c:v>
                </c:pt>
                <c:pt idx="8">
                  <c:v>52.729482959525278</c:v>
                </c:pt>
                <c:pt idx="9">
                  <c:v>52.765129968489596</c:v>
                </c:pt>
                <c:pt idx="10">
                  <c:v>52.793057281117669</c:v>
                </c:pt>
                <c:pt idx="11">
                  <c:v>52.813656815151624</c:v>
                </c:pt>
                <c:pt idx="12">
                  <c:v>52.82730587895086</c:v>
                </c:pt>
                <c:pt idx="13">
                  <c:v>52.834367641998348</c:v>
                </c:pt>
                <c:pt idx="14">
                  <c:v>52.835191591309012</c:v>
                </c:pt>
                <c:pt idx="15">
                  <c:v>52.830113974147409</c:v>
                </c:pt>
                <c:pt idx="16">
                  <c:v>52.819458227450276</c:v>
                </c:pt>
                <c:pt idx="17">
                  <c:v>52.803535394338375</c:v>
                </c:pt>
                <c:pt idx="18">
                  <c:v>52.78264452809114</c:v>
                </c:pt>
                <c:pt idx="19">
                  <c:v>52.757073083947049</c:v>
                </c:pt>
                <c:pt idx="20">
                  <c:v>52.727097299082331</c:v>
                </c:pt>
                <c:pt idx="21">
                  <c:v>52.692982561110639</c:v>
                </c:pt>
                <c:pt idx="22">
                  <c:v>52.65498376543659</c:v>
                </c:pt>
                <c:pt idx="23">
                  <c:v>52.613345661786589</c:v>
                </c:pt>
                <c:pt idx="24">
                  <c:v>52.568303190231212</c:v>
                </c:pt>
                <c:pt idx="25">
                  <c:v>52.520081807004445</c:v>
                </c:pt>
                <c:pt idx="26">
                  <c:v>52.468897800416485</c:v>
                </c:pt>
                <c:pt idx="27">
                  <c:v>52.414958597148264</c:v>
                </c:pt>
                <c:pt idx="28">
                  <c:v>52.358463059207722</c:v>
                </c:pt>
                <c:pt idx="29">
                  <c:v>52.299601771819916</c:v>
                </c:pt>
                <c:pt idx="30">
                  <c:v>52.238557322515206</c:v>
                </c:pt>
                <c:pt idx="31">
                  <c:v>52.175504571672391</c:v>
                </c:pt>
                <c:pt idx="32">
                  <c:v>52.110610914766184</c:v>
                </c:pt>
                <c:pt idx="33">
                  <c:v>52.04403653656145</c:v>
                </c:pt>
                <c:pt idx="34">
                  <c:v>51.975934657489589</c:v>
                </c:pt>
                <c:pt idx="35">
                  <c:v>51.906451772435908</c:v>
                </c:pt>
                <c:pt idx="36">
                  <c:v>51.8357278821601</c:v>
                </c:pt>
                <c:pt idx="37">
                  <c:v>51.76389671756575</c:v>
                </c:pt>
                <c:pt idx="38">
                  <c:v>51.691085957028612</c:v>
                </c:pt>
                <c:pt idx="39">
                  <c:v>51.617417436987317</c:v>
                </c:pt>
                <c:pt idx="40">
                  <c:v>51.543007355994462</c:v>
                </c:pt>
                <c:pt idx="41">
                  <c:v>51.467966472420308</c:v>
                </c:pt>
                <c:pt idx="42">
                  <c:v>51.392400295995863</c:v>
                </c:pt>
                <c:pt idx="43">
                  <c:v>51.316409273376735</c:v>
                </c:pt>
                <c:pt idx="44">
                  <c:v>51.240088967903986</c:v>
                </c:pt>
                <c:pt idx="45">
                  <c:v>51.163530233733141</c:v>
                </c:pt>
                <c:pt idx="46">
                  <c:v>51.086819384497673</c:v>
                </c:pt>
                <c:pt idx="47">
                  <c:v>51.01003835666841</c:v>
                </c:pt>
                <c:pt idx="48">
                  <c:v>50.933264867765786</c:v>
                </c:pt>
                <c:pt idx="49">
                  <c:v>50.856572569577267</c:v>
                </c:pt>
                <c:pt idx="50">
                  <c:v>50.780031196528029</c:v>
                </c:pt>
                <c:pt idx="51">
                  <c:v>50.703706709348566</c:v>
                </c:pt>
                <c:pt idx="52">
                  <c:v>50.627661434178911</c:v>
                </c:pt>
                <c:pt idx="53">
                  <c:v>50.551954197245045</c:v>
                </c:pt>
                <c:pt idx="54">
                  <c:v>50.476640455239263</c:v>
                </c:pt>
                <c:pt idx="55">
                  <c:v>50.401772421532335</c:v>
                </c:pt>
                <c:pt idx="56">
                  <c:v>50.327399188341843</c:v>
                </c:pt>
                <c:pt idx="57">
                  <c:v>50.253566844977215</c:v>
                </c:pt>
                <c:pt idx="58">
                  <c:v>50.180318592278745</c:v>
                </c:pt>
                <c:pt idx="59">
                  <c:v>50.1076948533644</c:v>
                </c:pt>
                <c:pt idx="60">
                  <c:v>50.035733380794916</c:v>
                </c:pt>
                <c:pt idx="61">
                  <c:v>49.96446936026453</c:v>
                </c:pt>
                <c:pt idx="62">
                  <c:v>49.893935510921636</c:v>
                </c:pt>
                <c:pt idx="63">
                  <c:v>49.824162182420537</c:v>
                </c:pt>
                <c:pt idx="64">
                  <c:v>49.755177448802655</c:v>
                </c:pt>
                <c:pt idx="65">
                  <c:v>49.687007199302606</c:v>
                </c:pt>
                <c:pt idx="66">
                  <c:v>49.619675226171886</c:v>
                </c:pt>
                <c:pt idx="67">
                  <c:v>49.553203309610161</c:v>
                </c:pt>
                <c:pt idx="68">
                  <c:v>49.48761129989159</c:v>
                </c:pt>
                <c:pt idx="69">
                  <c:v>49.422917196771039</c:v>
                </c:pt>
                <c:pt idx="70">
                  <c:v>49.359137226252585</c:v>
                </c:pt>
                <c:pt idx="71">
                  <c:v>49.296285914800379</c:v>
                </c:pt>
                <c:pt idx="72">
                  <c:v>49.234376161069505</c:v>
                </c:pt>
                <c:pt idx="73">
                  <c:v>49.173419305232322</c:v>
                </c:pt>
                <c:pt idx="74">
                  <c:v>49.113425195973491</c:v>
                </c:pt>
                <c:pt idx="75">
                  <c:v>49.054402255224865</c:v>
                </c:pt>
                <c:pt idx="76">
                  <c:v>48.996357540709177</c:v>
                </c:pt>
                <c:pt idx="77">
                  <c:v>48.939296806359692</c:v>
                </c:pt>
                <c:pt idx="78">
                  <c:v>48.883224560680745</c:v>
                </c:pt>
                <c:pt idx="79">
                  <c:v>48.828144123112502</c:v>
                </c:pt>
                <c:pt idx="80">
                  <c:v>48.774057678461119</c:v>
                </c:pt>
                <c:pt idx="81">
                  <c:v>48.720966329453972</c:v>
                </c:pt>
                <c:pt idx="82">
                  <c:v>48.668870147477641</c:v>
                </c:pt>
                <c:pt idx="83">
                  <c:v>48.617768221554847</c:v>
                </c:pt>
                <c:pt idx="84">
                  <c:v>48.56765870561474</c:v>
                </c:pt>
                <c:pt idx="85">
                  <c:v>48.518538864109438</c:v>
                </c:pt>
                <c:pt idx="86">
                  <c:v>48.47040511602809</c:v>
                </c:pt>
                <c:pt idx="87">
                  <c:v>48.423253077358346</c:v>
                </c:pt>
                <c:pt idx="88">
                  <c:v>48.377077602043471</c:v>
                </c:pt>
                <c:pt idx="89">
                  <c:v>48.331872821482136</c:v>
                </c:pt>
                <c:pt idx="90">
                  <c:v>48.287632182616335</c:v>
                </c:pt>
                <c:pt idx="91">
                  <c:v>48.244348484651681</c:v>
                </c:pt>
                <c:pt idx="92">
                  <c:v>48.202013914452969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00288"/>
        <c:axId val="114702976"/>
      </c:scatterChart>
      <c:valAx>
        <c:axId val="1147002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14702976"/>
        <c:crosses val="autoZero"/>
        <c:crossBetween val="midCat"/>
      </c:valAx>
      <c:valAx>
        <c:axId val="11470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470028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131.08653099702238</c:v>
                </c:pt>
                <c:pt idx="4">
                  <c:v>128.55869038546234</c:v>
                </c:pt>
                <c:pt idx="5">
                  <c:v>126.07974218188008</c:v>
                </c:pt>
                <c:pt idx="6">
                  <c:v>123.64874036944011</c:v>
                </c:pt>
                <c:pt idx="7">
                  <c:v>121.26475723632117</c:v>
                </c:pt>
                <c:pt idx="8">
                  <c:v>118.9268830215271</c:v>
                </c:pt>
                <c:pt idx="9">
                  <c:v>116.63422556755087</c:v>
                </c:pt>
                <c:pt idx="10">
                  <c:v>114.38590997975925</c:v>
                </c:pt>
                <c:pt idx="11">
                  <c:v>112.18107829236801</c:v>
                </c:pt>
                <c:pt idx="12">
                  <c:v>110.01888914088025</c:v>
                </c:pt>
                <c:pt idx="13">
                  <c:v>107.89851744086262</c:v>
                </c:pt>
                <c:pt idx="14">
                  <c:v>105.81915407293698</c:v>
                </c:pt>
                <c:pt idx="15">
                  <c:v>103.78000557386716</c:v>
                </c:pt>
                <c:pt idx="16">
                  <c:v>101.78029383362281</c:v>
                </c:pt>
                <c:pt idx="17">
                  <c:v>99.819255798304866</c:v>
                </c:pt>
                <c:pt idx="18">
                  <c:v>97.896143178819059</c:v>
                </c:pt>
                <c:pt idx="19">
                  <c:v>96.010222165186363</c:v>
                </c:pt>
                <c:pt idx="20">
                  <c:v>94.16077314638116</c:v>
                </c:pt>
                <c:pt idx="21">
                  <c:v>92.347090435590403</c:v>
                </c:pt>
                <c:pt idx="22">
                  <c:v>90.568482000788649</c:v>
                </c:pt>
                <c:pt idx="23">
                  <c:v>88.824269200526217</c:v>
                </c:pt>
                <c:pt idx="24">
                  <c:v>87.113786524829663</c:v>
                </c:pt>
                <c:pt idx="25">
                  <c:v>85.436381341115521</c:v>
                </c:pt>
                <c:pt idx="26">
                  <c:v>83.79141364502037</c:v>
                </c:pt>
                <c:pt idx="27">
                  <c:v>82.178255816052157</c:v>
                </c:pt>
                <c:pt idx="28">
                  <c:v>80.596292377969405</c:v>
                </c:pt>
                <c:pt idx="29">
                  <c:v>79.044919763796869</c:v>
                </c:pt>
                <c:pt idx="30">
                  <c:v>77.523546085387892</c:v>
                </c:pt>
                <c:pt idx="31">
                  <c:v>76.03159090744559</c:v>
                </c:pt>
                <c:pt idx="32">
                  <c:v>74.568485025916416</c:v>
                </c:pt>
                <c:pt idx="33">
                  <c:v>73.133670250671727</c:v>
                </c:pt>
                <c:pt idx="34">
                  <c:v>71.726599192394175</c:v>
                </c:pt>
                <c:pt idx="35">
                  <c:v>70.346735053587679</c:v>
                </c:pt>
                <c:pt idx="36">
                  <c:v>68.993551423631189</c:v>
                </c:pt>
                <c:pt idx="37">
                  <c:v>67.666532077797925</c:v>
                </c:pt>
                <c:pt idx="38">
                  <c:v>66.365170780163524</c:v>
                </c:pt>
                <c:pt idx="39">
                  <c:v>65.08897109032759</c:v>
                </c:pt>
                <c:pt idx="40">
                  <c:v>63.837446173875129</c:v>
                </c:pt>
                <c:pt idx="41">
                  <c:v>62.610118616505375</c:v>
                </c:pt>
                <c:pt idx="42">
                  <c:v>61.406520241756994</c:v>
                </c:pt>
                <c:pt idx="43">
                  <c:v>60.226191932260228</c:v>
                </c:pt>
                <c:pt idx="44">
                  <c:v>59.06868345444763</c:v>
                </c:pt>
                <c:pt idx="45">
                  <c:v>57.933553286656483</c:v>
                </c:pt>
                <c:pt idx="46">
                  <c:v>56.820368450557304</c:v>
                </c:pt>
                <c:pt idx="47">
                  <c:v>55.728704345844072</c:v>
                </c:pt>
                <c:pt idx="48">
                  <c:v>54.658144588123072</c:v>
                </c:pt>
                <c:pt idx="49">
                  <c:v>53.60828084993841</c:v>
                </c:pt>
                <c:pt idx="50">
                  <c:v>52.578712704873631</c:v>
                </c:pt>
                <c:pt idx="51">
                  <c:v>51.569047474669759</c:v>
                </c:pt>
                <c:pt idx="52">
                  <c:v>50.578900079301569</c:v>
                </c:pt>
                <c:pt idx="53">
                  <c:v>49.607892889954677</c:v>
                </c:pt>
                <c:pt idx="54">
                  <c:v>48.65565558484748</c:v>
                </c:pt>
                <c:pt idx="55">
                  <c:v>47.721825007842774</c:v>
                </c:pt>
                <c:pt idx="56">
                  <c:v>46.806045029795179</c:v>
                </c:pt>
                <c:pt idx="57">
                  <c:v>45.907966412581324</c:v>
                </c:pt>
                <c:pt idx="58">
                  <c:v>45.027246675761006</c:v>
                </c:pt>
                <c:pt idx="59">
                  <c:v>44.163549965818312</c:v>
                </c:pt>
                <c:pt idx="60">
                  <c:v>43.316546927932848</c:v>
                </c:pt>
                <c:pt idx="61">
                  <c:v>42.485914580232098</c:v>
                </c:pt>
                <c:pt idx="62">
                  <c:v>41.671336190476886</c:v>
                </c:pt>
                <c:pt idx="63">
                  <c:v>40.872501155132916</c:v>
                </c:pt>
                <c:pt idx="64">
                  <c:v>40.089104880782187</c:v>
                </c:pt>
                <c:pt idx="65">
                  <c:v>39.320848667828983</c:v>
                </c:pt>
                <c:pt idx="66">
                  <c:v>38.567439596456104</c:v>
                </c:pt>
                <c:pt idx="67">
                  <c:v>37.82859041478774</c:v>
                </c:pt>
                <c:pt idx="68">
                  <c:v>37.104019429216336</c:v>
                </c:pt>
                <c:pt idx="69">
                  <c:v>36.393450396851549</c:v>
                </c:pt>
                <c:pt idx="70">
                  <c:v>35.696612420050236</c:v>
                </c:pt>
                <c:pt idx="71">
                  <c:v>35.01323984298724</c:v>
                </c:pt>
                <c:pt idx="72">
                  <c:v>34.343072150227421</c:v>
                </c:pt>
                <c:pt idx="73">
                  <c:v>33.685853867260313</c:v>
                </c:pt>
                <c:pt idx="74">
                  <c:v>33.04133446295932</c:v>
                </c:pt>
                <c:pt idx="75">
                  <c:v>32.409268253928275</c:v>
                </c:pt>
                <c:pt idx="76">
                  <c:v>31.789414310698863</c:v>
                </c:pt>
                <c:pt idx="77">
                  <c:v>31.181536365743028</c:v>
                </c:pt>
                <c:pt idx="78">
                  <c:v>30.5854027232653</c:v>
                </c:pt>
                <c:pt idx="79">
                  <c:v>30.000786170740589</c:v>
                </c:pt>
                <c:pt idx="80">
                  <c:v>29.427463892163669</c:v>
                </c:pt>
                <c:pt idx="81">
                  <c:v>28.865217382977221</c:v>
                </c:pt>
                <c:pt idx="82">
                  <c:v>28.313832366645993</c:v>
                </c:pt>
                <c:pt idx="83">
                  <c:v>27.773098712845183</c:v>
                </c:pt>
                <c:pt idx="84">
                  <c:v>27.242810357231832</c:v>
                </c:pt>
                <c:pt idx="85">
                  <c:v>26.722765222768608</c:v>
                </c:pt>
                <c:pt idx="86">
                  <c:v>26.212765142569921</c:v>
                </c:pt>
                <c:pt idx="87">
                  <c:v>25.712615784240928</c:v>
                </c:pt>
                <c:pt idx="88">
                  <c:v>25.222126575680544</c:v>
                </c:pt>
                <c:pt idx="89">
                  <c:v>24.741110632320112</c:v>
                </c:pt>
                <c:pt idx="90">
                  <c:v>24.269384685769985</c:v>
                </c:pt>
                <c:pt idx="91">
                  <c:v>23.80676901384675</c:v>
                </c:pt>
                <c:pt idx="92">
                  <c:v>23.353087371954391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17184"/>
        <c:axId val="138753152"/>
      </c:scatterChart>
      <c:valAx>
        <c:axId val="11631718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38753152"/>
        <c:crosses val="autoZero"/>
        <c:crossBetween val="midCat"/>
      </c:valAx>
      <c:valAx>
        <c:axId val="1387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6317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25183.780093564117</c:v>
                </c:pt>
                <c:pt idx="22">
                  <c:v>25118.855699883308</c:v>
                </c:pt>
                <c:pt idx="23">
                  <c:v>25054.098682943997</c:v>
                </c:pt>
                <c:pt idx="24">
                  <c:v>24989.508611243884</c:v>
                </c:pt>
                <c:pt idx="25">
                  <c:v>24925.085054393126</c:v>
                </c:pt>
                <c:pt idx="26">
                  <c:v>24860.827583111462</c:v>
                </c:pt>
                <c:pt idx="27">
                  <c:v>24796.735769225354</c:v>
                </c:pt>
                <c:pt idx="28">
                  <c:v>24732.809185665134</c:v>
                </c:pt>
                <c:pt idx="29">
                  <c:v>24669.047406462152</c:v>
                </c:pt>
                <c:pt idx="30">
                  <c:v>24605.450006745945</c:v>
                </c:pt>
                <c:pt idx="31">
                  <c:v>24542.016562741395</c:v>
                </c:pt>
                <c:pt idx="32">
                  <c:v>24478.746651765916</c:v>
                </c:pt>
                <c:pt idx="33">
                  <c:v>24415.639852226628</c:v>
                </c:pt>
                <c:pt idx="34">
                  <c:v>24352.695743617551</c:v>
                </c:pt>
                <c:pt idx="35">
                  <c:v>24289.913906516802</c:v>
                </c:pt>
                <c:pt idx="36">
                  <c:v>24227.293922583794</c:v>
                </c:pt>
                <c:pt idx="37">
                  <c:v>24164.835374556456</c:v>
                </c:pt>
                <c:pt idx="38">
                  <c:v>24102.537846248448</c:v>
                </c:pt>
                <c:pt idx="39">
                  <c:v>24040.400922546381</c:v>
                </c:pt>
                <c:pt idx="40">
                  <c:v>23978.424189407069</c:v>
                </c:pt>
                <c:pt idx="41">
                  <c:v>23916.607233854746</c:v>
                </c:pt>
                <c:pt idx="42">
                  <c:v>23854.949643978332</c:v>
                </c:pt>
                <c:pt idx="43">
                  <c:v>23793.451008928674</c:v>
                </c:pt>
                <c:pt idx="44">
                  <c:v>23732.11091891582</c:v>
                </c:pt>
                <c:pt idx="45">
                  <c:v>23670.928965206276</c:v>
                </c:pt>
                <c:pt idx="46">
                  <c:v>23609.904740120295</c:v>
                </c:pt>
                <c:pt idx="47">
                  <c:v>23549.037837029147</c:v>
                </c:pt>
                <c:pt idx="48">
                  <c:v>23488.327850352416</c:v>
                </c:pt>
                <c:pt idx="49">
                  <c:v>23427.774375555295</c:v>
                </c:pt>
                <c:pt idx="50">
                  <c:v>23367.377009145894</c:v>
                </c:pt>
                <c:pt idx="51">
                  <c:v>23307.135348672542</c:v>
                </c:pt>
                <c:pt idx="52">
                  <c:v>23247.04899272112</c:v>
                </c:pt>
                <c:pt idx="53">
                  <c:v>23187.117540912364</c:v>
                </c:pt>
                <c:pt idx="54">
                  <c:v>23127.340593899218</c:v>
                </c:pt>
                <c:pt idx="55">
                  <c:v>23067.717753364162</c:v>
                </c:pt>
                <c:pt idx="56">
                  <c:v>23008.248622016556</c:v>
                </c:pt>
                <c:pt idx="57">
                  <c:v>22948.932803589993</c:v>
                </c:pt>
                <c:pt idx="58">
                  <c:v>22889.769902839667</c:v>
                </c:pt>
                <c:pt idx="59">
                  <c:v>22830.759525539732</c:v>
                </c:pt>
                <c:pt idx="60">
                  <c:v>22771.901278480669</c:v>
                </c:pt>
                <c:pt idx="61">
                  <c:v>22713.194769466674</c:v>
                </c:pt>
                <c:pt idx="62">
                  <c:v>22654.639607313045</c:v>
                </c:pt>
                <c:pt idx="63">
                  <c:v>22596.235401843569</c:v>
                </c:pt>
                <c:pt idx="64">
                  <c:v>22537.981763887929</c:v>
                </c:pt>
                <c:pt idx="65">
                  <c:v>22479.878305279097</c:v>
                </c:pt>
                <c:pt idx="66">
                  <c:v>22421.924638850767</c:v>
                </c:pt>
                <c:pt idx="67">
                  <c:v>22364.12037843476</c:v>
                </c:pt>
                <c:pt idx="68">
                  <c:v>22306.46513885845</c:v>
                </c:pt>
                <c:pt idx="69">
                  <c:v>22248.958535942209</c:v>
                </c:pt>
                <c:pt idx="70">
                  <c:v>22191.600186496838</c:v>
                </c:pt>
                <c:pt idx="71">
                  <c:v>22134.389708321018</c:v>
                </c:pt>
                <c:pt idx="72">
                  <c:v>22077.326720198751</c:v>
                </c:pt>
                <c:pt idx="73">
                  <c:v>22020.410841896839</c:v>
                </c:pt>
                <c:pt idx="74">
                  <c:v>21963.641694162336</c:v>
                </c:pt>
                <c:pt idx="75">
                  <c:v>21907.01889872002</c:v>
                </c:pt>
                <c:pt idx="76">
                  <c:v>21850.542078269886</c:v>
                </c:pt>
                <c:pt idx="77">
                  <c:v>21794.210856484613</c:v>
                </c:pt>
                <c:pt idx="78">
                  <c:v>21738.024858007073</c:v>
                </c:pt>
                <c:pt idx="79">
                  <c:v>21681.98370844782</c:v>
                </c:pt>
                <c:pt idx="80">
                  <c:v>21626.087034382595</c:v>
                </c:pt>
                <c:pt idx="81">
                  <c:v>21570.334463349845</c:v>
                </c:pt>
                <c:pt idx="82">
                  <c:v>21514.72562384823</c:v>
                </c:pt>
                <c:pt idx="83">
                  <c:v>21459.260145334156</c:v>
                </c:pt>
                <c:pt idx="84">
                  <c:v>21403.937658219304</c:v>
                </c:pt>
                <c:pt idx="85">
                  <c:v>21348.757793868164</c:v>
                </c:pt>
                <c:pt idx="86">
                  <c:v>21293.720184595582</c:v>
                </c:pt>
                <c:pt idx="87">
                  <c:v>21238.82446366431</c:v>
                </c:pt>
                <c:pt idx="88">
                  <c:v>21184.070265282557</c:v>
                </c:pt>
                <c:pt idx="89">
                  <c:v>21129.457224601556</c:v>
                </c:pt>
                <c:pt idx="90">
                  <c:v>21074.984977713135</c:v>
                </c:pt>
                <c:pt idx="91">
                  <c:v>21020.653161647286</c:v>
                </c:pt>
                <c:pt idx="92">
                  <c:v>20966.461414369747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46528"/>
        <c:axId val="162537472"/>
      </c:scatterChart>
      <c:valAx>
        <c:axId val="15584652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2537472"/>
        <c:crosses val="autoZero"/>
        <c:crossBetween val="midCat"/>
      </c:valAx>
      <c:valAx>
        <c:axId val="162537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5846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5009.5696230415724</c:v>
                </c:pt>
                <c:pt idx="2">
                  <c:v>5008.0983459541303</c:v>
                </c:pt>
                <c:pt idx="3">
                  <c:v>5006.5621492794935</c:v>
                </c:pt>
                <c:pt idx="4">
                  <c:v>5004.961235139871</c:v>
                </c:pt>
                <c:pt idx="5">
                  <c:v>5003.2958231213834</c:v>
                </c:pt>
                <c:pt idx="6">
                  <c:v>5001.5661494634323</c:v>
                </c:pt>
                <c:pt idx="7">
                  <c:v>4999.7724662758874</c:v>
                </c:pt>
                <c:pt idx="8">
                  <c:v>4997.9150407831848</c:v>
                </c:pt>
                <c:pt idx="9">
                  <c:v>4995.9941545945558</c:v>
                </c:pt>
                <c:pt idx="10">
                  <c:v>4994.0101029995139</c:v>
                </c:pt>
                <c:pt idx="11">
                  <c:v>4991.9631942878668</c:v>
                </c:pt>
                <c:pt idx="12">
                  <c:v>4989.8537490934395</c:v>
                </c:pt>
                <c:pt idx="13">
                  <c:v>4987.6820997608074</c:v>
                </c:pt>
                <c:pt idx="14">
                  <c:v>4985.4485897342865</c:v>
                </c:pt>
                <c:pt idx="15">
                  <c:v>4983.1535729684992</c:v>
                </c:pt>
                <c:pt idx="16">
                  <c:v>4980.7974133598491</c:v>
                </c:pt>
                <c:pt idx="17">
                  <c:v>4978.3804841981928</c:v>
                </c:pt>
                <c:pt idx="18">
                  <c:v>4975.9031676381546</c:v>
                </c:pt>
                <c:pt idx="19">
                  <c:v>4973.3658541893874</c:v>
                </c:pt>
                <c:pt idx="20">
                  <c:v>4970.7689422252224</c:v>
                </c:pt>
                <c:pt idx="21">
                  <c:v>4968.1128375091048</c:v>
                </c:pt>
                <c:pt idx="22">
                  <c:v>4965.3979527382744</c:v>
                </c:pt>
                <c:pt idx="23">
                  <c:v>4962.6247071040998</c:v>
                </c:pt>
                <c:pt idx="24">
                  <c:v>4959.7935258685893</c:v>
                </c:pt>
                <c:pt idx="25">
                  <c:v>4956.9048399565008</c:v>
                </c:pt>
                <c:pt idx="26">
                  <c:v>4953.9590855626193</c:v>
                </c:pt>
                <c:pt idx="27">
                  <c:v>4950.9567037736388</c:v>
                </c:pt>
                <c:pt idx="28">
                  <c:v>4947.8981402042564</c:v>
                </c:pt>
                <c:pt idx="29">
                  <c:v>4944.7838446469559</c:v>
                </c:pt>
                <c:pt idx="30">
                  <c:v>4941.6142707350737</c:v>
                </c:pt>
                <c:pt idx="31">
                  <c:v>4938.3898756187155</c:v>
                </c:pt>
                <c:pt idx="32">
                  <c:v>4935.111119653091</c:v>
                </c:pt>
                <c:pt idx="33">
                  <c:v>4931.77846609888</c:v>
                </c:pt>
                <c:pt idx="34">
                  <c:v>4928.3923808342242</c:v>
                </c:pt>
                <c:pt idx="35">
                  <c:v>4924.953332077971</c:v>
                </c:pt>
                <c:pt idx="36">
                  <c:v>4921.4617901238053</c:v>
                </c:pt>
                <c:pt idx="37">
                  <c:v>4917.9182270849005</c:v>
                </c:pt>
                <c:pt idx="38">
                  <c:v>4914.3231166487622</c:v>
                </c:pt>
                <c:pt idx="39">
                  <c:v>4910.6769338418871</c:v>
                </c:pt>
                <c:pt idx="40">
                  <c:v>4906.980154803985</c:v>
                </c:pt>
                <c:pt idx="41">
                  <c:v>4903.2332565713559</c:v>
                </c:pt>
                <c:pt idx="42">
                  <c:v>4899.4367168691979</c:v>
                </c:pt>
                <c:pt idx="43">
                  <c:v>4895.591013912499</c:v>
                </c:pt>
                <c:pt idx="44">
                  <c:v>4891.6966262152491</c:v>
                </c:pt>
                <c:pt idx="45">
                  <c:v>4887.7540324076772</c:v>
                </c:pt>
                <c:pt idx="46">
                  <c:v>4883.7637110612623</c:v>
                </c:pt>
                <c:pt idx="47">
                  <c:v>4879.7261405212448</c:v>
                </c:pt>
                <c:pt idx="48">
                  <c:v>4875.6417987463747</c:v>
                </c:pt>
                <c:pt idx="49">
                  <c:v>4871.5111631556829</c:v>
                </c:pt>
                <c:pt idx="50">
                  <c:v>4867.3347104819977</c:v>
                </c:pt>
                <c:pt idx="51">
                  <c:v>4863.1129166320061</c:v>
                </c:pt>
                <c:pt idx="52">
                  <c:v>4858.8462565526179</c:v>
                </c:pt>
                <c:pt idx="53">
                  <c:v>4854.5352041034366</c:v>
                </c:pt>
                <c:pt idx="54">
                  <c:v>4850.1802319350882</c:v>
                </c:pt>
                <c:pt idx="55">
                  <c:v>4845.7818113732583</c:v>
                </c:pt>
                <c:pt idx="56">
                  <c:v>4841.3404123081864</c:v>
                </c:pt>
                <c:pt idx="57">
                  <c:v>4836.8565030894797</c:v>
                </c:pt>
                <c:pt idx="58">
                  <c:v>4832.3305504259979</c:v>
                </c:pt>
                <c:pt idx="59">
                  <c:v>4827.7630192906963</c:v>
                </c:pt>
                <c:pt idx="60">
                  <c:v>4823.1543728302131</c:v>
                </c:pt>
                <c:pt idx="61">
                  <c:v>4818.5050722790302</c:v>
                </c:pt>
                <c:pt idx="62">
                  <c:v>4813.8155768780771</c:v>
                </c:pt>
                <c:pt idx="63">
                  <c:v>4809.0863437975877</c:v>
                </c:pt>
                <c:pt idx="64">
                  <c:v>4804.3178280640614</c:v>
                </c:pt>
                <c:pt idx="65">
                  <c:v>4799.5104824912232</c:v>
                </c:pt>
                <c:pt idx="66">
                  <c:v>4794.6647576147634</c:v>
                </c:pt>
                <c:pt idx="67">
                  <c:v>4789.7811016307851</c:v>
                </c:pt>
                <c:pt idx="68">
                  <c:v>4784.8599603377952</c:v>
                </c:pt>
                <c:pt idx="69">
                  <c:v>4779.9017770821183</c:v>
                </c:pt>
                <c:pt idx="70">
                  <c:v>4774.9069927065975</c:v>
                </c:pt>
                <c:pt idx="71">
                  <c:v>4769.8760455024685</c:v>
                </c:pt>
                <c:pt idx="72">
                  <c:v>4764.8093711642914</c:v>
                </c:pt>
                <c:pt idx="73">
                  <c:v>4759.7074027478275</c:v>
                </c:pt>
                <c:pt idx="74">
                  <c:v>4754.5705706307244</c:v>
                </c:pt>
                <c:pt idx="75">
                  <c:v>4749.399302475952</c:v>
                </c:pt>
                <c:pt idx="76">
                  <c:v>4744.1940231978406</c:v>
                </c:pt>
                <c:pt idx="77">
                  <c:v>4738.9551549306416</c:v>
                </c:pt>
                <c:pt idx="78">
                  <c:v>4733.6831169995212</c:v>
                </c:pt>
                <c:pt idx="79">
                  <c:v>4728.3783258938656</c:v>
                </c:pt>
                <c:pt idx="80">
                  <c:v>4723.0411952428467</c:v>
                </c:pt>
                <c:pt idx="81">
                  <c:v>4717.6721357931265</c:v>
                </c:pt>
                <c:pt idx="82">
                  <c:v>4712.2715553886255</c:v>
                </c:pt>
                <c:pt idx="83">
                  <c:v>4706.8398589522913</c:v>
                </c:pt>
                <c:pt idx="84">
                  <c:v>4701.3774484697597</c:v>
                </c:pt>
                <c:pt idx="85">
                  <c:v>4695.8847229748581</c:v>
                </c:pt>
                <c:pt idx="86">
                  <c:v>4690.3620785368457</c:v>
                </c:pt>
                <c:pt idx="87">
                  <c:v>4684.8099082493645</c:v>
                </c:pt>
                <c:pt idx="88">
                  <c:v>4679.2286022209828</c:v>
                </c:pt>
                <c:pt idx="89">
                  <c:v>4673.6185475672974</c:v>
                </c:pt>
                <c:pt idx="90">
                  <c:v>4667.9801284045197</c:v>
                </c:pt>
                <c:pt idx="91">
                  <c:v>4662.3137258444831</c:v>
                </c:pt>
                <c:pt idx="92">
                  <c:v>4656.6197179910123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974720"/>
        <c:axId val="221612288"/>
      </c:scatterChart>
      <c:valAx>
        <c:axId val="16297472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221612288"/>
        <c:crosses val="autoZero"/>
        <c:crossBetween val="midCat"/>
      </c:valAx>
      <c:valAx>
        <c:axId val="221612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29747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19.859172278637015</c:v>
                </c:pt>
                <c:pt idx="2">
                  <c:v>20.654017744576844</c:v>
                </c:pt>
                <c:pt idx="3">
                  <c:v>21.426693472754593</c:v>
                </c:pt>
                <c:pt idx="4">
                  <c:v>22.17764266891642</c:v>
                </c:pt>
                <c:pt idx="5">
                  <c:v>22.907302681183282</c:v>
                </c:pt>
                <c:pt idx="6">
                  <c:v>23.616104988622904</c:v>
                </c:pt>
                <c:pt idx="7">
                  <c:v>24.304475194163221</c:v>
                </c:pt>
                <c:pt idx="8">
                  <c:v>24.972833021641474</c:v>
                </c:pt>
                <c:pt idx="9">
                  <c:v>25.621592316790615</c:v>
                </c:pt>
                <c:pt idx="10">
                  <c:v>26.251161051971785</c:v>
                </c:pt>
                <c:pt idx="11">
                  <c:v>26.861941334468632</c:v>
                </c:pt>
                <c:pt idx="12">
                  <c:v>27.454329418165987</c:v>
                </c:pt>
                <c:pt idx="13">
                  <c:v>28.028715718441866</c:v>
                </c:pt>
                <c:pt idx="14">
                  <c:v>28.585484830108129</c:v>
                </c:pt>
                <c:pt idx="15">
                  <c:v>29.125015548241191</c:v>
                </c:pt>
                <c:pt idx="16">
                  <c:v>29.647680891750078</c:v>
                </c:pt>
                <c:pt idx="17">
                  <c:v>30.153848129534857</c:v>
                </c:pt>
                <c:pt idx="18">
                  <c:v>30.643878809093913</c:v>
                </c:pt>
                <c:pt idx="19">
                  <c:v>31.118128787443979</c:v>
                </c:pt>
                <c:pt idx="20">
                  <c:v>31.576948264221922</c:v>
                </c:pt>
                <c:pt idx="21">
                  <c:v>32.020681816842284</c:v>
                </c:pt>
                <c:pt idx="22">
                  <c:v>32.449668437589395</c:v>
                </c:pt>
                <c:pt idx="23">
                  <c:v>32.864241572527618</c:v>
                </c:pt>
                <c:pt idx="24">
                  <c:v>33.264729162117668</c:v>
                </c:pt>
                <c:pt idx="25">
                  <c:v>33.651453683431406</c:v>
                </c:pt>
                <c:pt idx="26">
                  <c:v>34.024732193861702</c:v>
                </c:pt>
                <c:pt idx="27">
                  <c:v>34.384876376227986</c:v>
                </c:pt>
                <c:pt idx="28">
                  <c:v>34.732192585182133</c:v>
                </c:pt>
                <c:pt idx="29">
                  <c:v>35.06698189482303</c:v>
                </c:pt>
                <c:pt idx="30">
                  <c:v>35.389540147431944</c:v>
                </c:pt>
                <c:pt idx="31">
                  <c:v>35.700158003244276</c:v>
                </c:pt>
                <c:pt idx="32">
                  <c:v>35.999120991176817</c:v>
                </c:pt>
                <c:pt idx="33">
                  <c:v>36.286709560432783</c:v>
                </c:pt>
                <c:pt idx="34">
                  <c:v>36.563199132910341</c:v>
                </c:pt>
                <c:pt idx="35">
                  <c:v>36.828860156343154</c:v>
                </c:pt>
                <c:pt idx="36">
                  <c:v>37.083958158104672</c:v>
                </c:pt>
                <c:pt idx="37">
                  <c:v>37.32875379961073</c:v>
                </c:pt>
                <c:pt idx="38">
                  <c:v>37.563502931257702</c:v>
                </c:pt>
                <c:pt idx="39">
                  <c:v>37.788456647836256</c:v>
                </c:pt>
                <c:pt idx="40">
                  <c:v>38.003861344363337</c:v>
                </c:pt>
                <c:pt idx="41">
                  <c:v>38.209958772277446</c:v>
                </c:pt>
                <c:pt idx="42">
                  <c:v>38.406986095944738</c:v>
                </c:pt>
                <c:pt idx="43">
                  <c:v>38.595175949425851</c:v>
                </c:pt>
                <c:pt idx="44">
                  <c:v>38.774756493455477</c:v>
                </c:pt>
                <c:pt idx="45">
                  <c:v>38.945951472589044</c:v>
                </c:pt>
                <c:pt idx="46">
                  <c:v>39.108980272472813</c:v>
                </c:pt>
                <c:pt idx="47">
                  <c:v>39.264057977195804</c:v>
                </c:pt>
                <c:pt idx="48">
                  <c:v>39.411395426683903</c:v>
                </c:pt>
                <c:pt idx="49">
                  <c:v>39.551199274098316</c:v>
                </c:pt>
                <c:pt idx="50">
                  <c:v>39.683672043202414</c:v>
                </c:pt>
                <c:pt idx="51">
                  <c:v>39.809012185662766</c:v>
                </c:pt>
                <c:pt idx="52">
                  <c:v>39.927414138251756</c:v>
                </c:pt>
                <c:pt idx="53">
                  <c:v>40.039068379920892</c:v>
                </c:pt>
                <c:pt idx="54">
                  <c:v>40.144161488715397</c:v>
                </c:pt>
                <c:pt idx="55">
                  <c:v>40.242876198502252</c:v>
                </c:pt>
                <c:pt idx="56">
                  <c:v>40.335391455485222</c:v>
                </c:pt>
                <c:pt idx="57">
                  <c:v>40.421882474481933</c:v>
                </c:pt>
                <c:pt idx="58">
                  <c:v>40.502520794939159</c:v>
                </c:pt>
                <c:pt idx="59">
                  <c:v>40.57747433666411</c:v>
                </c:pt>
                <c:pt idx="60">
                  <c:v>40.646907455250421</c:v>
                </c:pt>
                <c:pt idx="61">
                  <c:v>40.710980997178979</c:v>
                </c:pt>
                <c:pt idx="62">
                  <c:v>40.769852354574759</c:v>
                </c:pt>
                <c:pt idx="63">
                  <c:v>40.823675519601991</c:v>
                </c:pt>
                <c:pt idx="64">
                  <c:v>40.872601138480995</c:v>
                </c:pt>
                <c:pt idx="65">
                  <c:v>40.916776565111142</c:v>
                </c:pt>
                <c:pt idx="66">
                  <c:v>40.956345914285251</c:v>
                </c:pt>
                <c:pt idx="67">
                  <c:v>40.991450114481808</c:v>
                </c:pt>
                <c:pt idx="68">
                  <c:v>41.02222696022222</c:v>
                </c:pt>
                <c:pt idx="69">
                  <c:v>41.048811163981206</c:v>
                </c:pt>
                <c:pt idx="70">
                  <c:v>41.07133440763927</c:v>
                </c:pt>
                <c:pt idx="71">
                  <c:v>41.089925393467063</c:v>
                </c:pt>
                <c:pt idx="72">
                  <c:v>41.104709894632045</c:v>
                </c:pt>
                <c:pt idx="73">
                  <c:v>41.115810805218842</c:v>
                </c:pt>
                <c:pt idx="74">
                  <c:v>41.123348189755191</c:v>
                </c:pt>
                <c:pt idx="75">
                  <c:v>41.127439332236143</c:v>
                </c:pt>
                <c:pt idx="76">
                  <c:v>41.128198784639878</c:v>
                </c:pt>
                <c:pt idx="77">
                  <c:v>41.125738414929025</c:v>
                </c:pt>
                <c:pt idx="78">
                  <c:v>41.120167454532037</c:v>
                </c:pt>
                <c:pt idx="79">
                  <c:v>41.111592545299764</c:v>
                </c:pt>
                <c:pt idx="80">
                  <c:v>41.100117785932838</c:v>
                </c:pt>
                <c:pt idx="81">
                  <c:v>41.085844777876098</c:v>
                </c:pt>
                <c:pt idx="82">
                  <c:v>41.068872670676768</c:v>
                </c:pt>
                <c:pt idx="83">
                  <c:v>41.049298206803478</c:v>
                </c:pt>
                <c:pt idx="84">
                  <c:v>41.027215765923877</c:v>
                </c:pt>
                <c:pt idx="85">
                  <c:v>41.002717408638823</c:v>
                </c:pt>
                <c:pt idx="86">
                  <c:v>40.975892919671701</c:v>
                </c:pt>
                <c:pt idx="87">
                  <c:v>40.946829850511733</c:v>
                </c:pt>
                <c:pt idx="88">
                  <c:v>40.915613561510597</c:v>
                </c:pt>
                <c:pt idx="89">
                  <c:v>40.882327263431947</c:v>
                </c:pt>
                <c:pt idx="90">
                  <c:v>40.84705205845389</c:v>
                </c:pt>
                <c:pt idx="91">
                  <c:v>40.80986698062469</c:v>
                </c:pt>
                <c:pt idx="92">
                  <c:v>40.770849035772351</c:v>
                </c:pt>
                <c:pt idx="93">
                  <c:v>40.730073240869025</c:v>
                </c:pt>
                <c:pt idx="94">
                  <c:v>40.6876126628515</c:v>
                </c:pt>
                <c:pt idx="95">
                  <c:v>40.643538456899172</c:v>
                </c:pt>
                <c:pt idx="96">
                  <c:v>40.597919904171349</c:v>
                </c:pt>
                <c:pt idx="97">
                  <c:v>40.550824449005816</c:v>
                </c:pt>
                <c:pt idx="98">
                  <c:v>40.502317735580931</c:v>
                </c:pt>
                <c:pt idx="99">
                  <c:v>40.45246364404364</c:v>
                </c:pt>
                <c:pt idx="100">
                  <c:v>40.401324326106142</c:v>
                </c:pt>
                <c:pt idx="101">
                  <c:v>40.348960240113961</c:v>
                </c:pt>
                <c:pt idx="102">
                  <c:v>40.295430185588508</c:v>
                </c:pt>
                <c:pt idx="103">
                  <c:v>40.240791337247344</c:v>
                </c:pt>
                <c:pt idx="104">
                  <c:v>40.185099278505483</c:v>
                </c:pt>
                <c:pt idx="105">
                  <c:v>40.128408034461266</c:v>
                </c:pt>
                <c:pt idx="106">
                  <c:v>40.070770104370474</c:v>
                </c:pt>
                <c:pt idx="107">
                  <c:v>40.012236493612491</c:v>
                </c:pt>
                <c:pt idx="108">
                  <c:v>39.952856745152438</c:v>
                </c:pt>
                <c:pt idx="109">
                  <c:v>39.892678970503326</c:v>
                </c:pt>
                <c:pt idx="110">
                  <c:v>39.831749880192362</c:v>
                </c:pt>
                <c:pt idx="111">
                  <c:v>39.770114813735738</c:v>
                </c:pt>
                <c:pt idx="112">
                  <c:v>39.70781776912618</c:v>
                </c:pt>
                <c:pt idx="113">
                  <c:v>39.644901431837759</c:v>
                </c:pt>
                <c:pt idx="114">
                  <c:v>39.581407203352434</c:v>
                </c:pt>
                <c:pt idx="115">
                  <c:v>39.517375229213016</c:v>
                </c:pt>
                <c:pt idx="116">
                  <c:v>39.452844426607122</c:v>
                </c:pt>
                <c:pt idx="117">
                  <c:v>39.387852511486919</c:v>
                </c:pt>
                <c:pt idx="118">
                  <c:v>39.322436025229443</c:v>
                </c:pt>
                <c:pt idx="119">
                  <c:v>39.25663036084228</c:v>
                </c:pt>
                <c:pt idx="120">
                  <c:v>39.190469788719597</c:v>
                </c:pt>
                <c:pt idx="121">
                  <c:v>39.123987481953343</c:v>
                </c:pt>
                <c:pt idx="122">
                  <c:v>39.057215541204648</c:v>
                </c:pt>
                <c:pt idx="123">
                  <c:v>38.990185019140426</c:v>
                </c:pt>
                <c:pt idx="124">
                  <c:v>38.922925944440145</c:v>
                </c:pt>
                <c:pt idx="125">
                  <c:v>38.855467345377882</c:v>
                </c:pt>
                <c:pt idx="126">
                  <c:v>38.787837272984689</c:v>
                </c:pt>
                <c:pt idx="127">
                  <c:v>38.720062823796347</c:v>
                </c:pt>
                <c:pt idx="128">
                  <c:v>38.652170162191616</c:v>
                </c:pt>
                <c:pt idx="129">
                  <c:v>38.584184542326099</c:v>
                </c:pt>
                <c:pt idx="130">
                  <c:v>38.516130329666751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3450.9376391538235</c:v>
                </c:pt>
                <c:pt idx="3">
                  <c:v>3445.5432887122593</c:v>
                </c:pt>
                <c:pt idx="4">
                  <c:v>3440.1024063157743</c:v>
                </c:pt>
                <c:pt idx="5">
                  <c:v>3434.6161324215723</c:v>
                </c:pt>
                <c:pt idx="6">
                  <c:v>3429.0855875133693</c:v>
                </c:pt>
                <c:pt idx="7">
                  <c:v>3423.5118724438576</c:v>
                </c:pt>
                <c:pt idx="8">
                  <c:v>3417.8960687708941</c:v>
                </c:pt>
                <c:pt idx="9">
                  <c:v>3412.2392390875407</c:v>
                </c:pt>
                <c:pt idx="10">
                  <c:v>3406.5424273460881</c:v>
                </c:pt>
                <c:pt idx="11">
                  <c:v>3400.8066591761881</c:v>
                </c:pt>
                <c:pt idx="12">
                  <c:v>3395.0329421972142</c:v>
                </c:pt>
                <c:pt idx="13">
                  <c:v>3389.2222663249709</c:v>
                </c:pt>
                <c:pt idx="14">
                  <c:v>3383.3756040728686</c:v>
                </c:pt>
                <c:pt idx="15">
                  <c:v>3377.4939108476769</c:v>
                </c:pt>
                <c:pt idx="16">
                  <c:v>3371.5781252399661</c:v>
                </c:pt>
                <c:pt idx="17">
                  <c:v>3365.6291693093449</c:v>
                </c:pt>
                <c:pt idx="18">
                  <c:v>3359.6479488646032</c:v>
                </c:pt>
                <c:pt idx="19">
                  <c:v>3353.6353537388577</c:v>
                </c:pt>
                <c:pt idx="20">
                  <c:v>3347.5922580598058</c:v>
                </c:pt>
                <c:pt idx="21">
                  <c:v>3341.5195205151808</c:v>
                </c:pt>
                <c:pt idx="22">
                  <c:v>3335.4179846135103</c:v>
                </c:pt>
                <c:pt idx="23">
                  <c:v>3329.288478940266</c:v>
                </c:pt>
                <c:pt idx="24">
                  <c:v>3323.1318174094995</c:v>
                </c:pt>
                <c:pt idx="25">
                  <c:v>3316.9487995110517</c:v>
                </c:pt>
                <c:pt idx="26">
                  <c:v>3310.7402105534256</c:v>
                </c:pt>
                <c:pt idx="27">
                  <c:v>3304.5068219024033</c:v>
                </c:pt>
                <c:pt idx="28">
                  <c:v>3298.2493912154951</c:v>
                </c:pt>
                <c:pt idx="29">
                  <c:v>3291.9686626722992</c:v>
                </c:pt>
                <c:pt idx="30">
                  <c:v>3285.6653672008533</c:v>
                </c:pt>
                <c:pt idx="31">
                  <c:v>3279.3402227000529</c:v>
                </c:pt>
                <c:pt idx="32">
                  <c:v>3272.9939342582161</c:v>
                </c:pt>
                <c:pt idx="33">
                  <c:v>3266.6271943678657</c:v>
                </c:pt>
                <c:pt idx="34">
                  <c:v>3260.2406831368035</c:v>
                </c:pt>
                <c:pt idx="35">
                  <c:v>3253.8350684955467</c:v>
                </c:pt>
                <c:pt idx="36">
                  <c:v>3247.4110064011952</c:v>
                </c:pt>
                <c:pt idx="37">
                  <c:v>3240.9691410377986</c:v>
                </c:pt>
                <c:pt idx="38">
                  <c:v>3234.5101050132885</c:v>
                </c:pt>
                <c:pt idx="39">
                  <c:v>3228.0345195530417</c:v>
                </c:pt>
                <c:pt idx="40">
                  <c:v>3221.5429946901372</c:v>
                </c:pt>
                <c:pt idx="41">
                  <c:v>3215.0361294523668</c:v>
                </c:pt>
                <c:pt idx="42">
                  <c:v>3208.5145120460656</c:v>
                </c:pt>
                <c:pt idx="43">
                  <c:v>3201.9787200368155</c:v>
                </c:pt>
                <c:pt idx="44">
                  <c:v>3195.4293205270828</c:v>
                </c:pt>
                <c:pt idx="45">
                  <c:v>3188.8668703308476</c:v>
                </c:pt>
                <c:pt idx="46">
                  <c:v>3182.2919161452778</c:v>
                </c:pt>
                <c:pt idx="47">
                  <c:v>3175.7049947195042</c:v>
                </c:pt>
                <c:pt idx="48">
                  <c:v>3169.1066330205485</c:v>
                </c:pt>
                <c:pt idx="49">
                  <c:v>3162.4973483964582</c:v>
                </c:pt>
                <c:pt idx="50">
                  <c:v>3155.8776487366963</c:v>
                </c:pt>
                <c:pt idx="51">
                  <c:v>3149.2480326298396</c:v>
                </c:pt>
                <c:pt idx="52">
                  <c:v>3142.6089895186306</c:v>
                </c:pt>
                <c:pt idx="53">
                  <c:v>3135.9609998524334</c:v>
                </c:pt>
                <c:pt idx="54">
                  <c:v>3129.3045352371387</c:v>
                </c:pt>
                <c:pt idx="55">
                  <c:v>3122.6400585825663</c:v>
                </c:pt>
                <c:pt idx="56">
                  <c:v>3115.9680242474064</c:v>
                </c:pt>
                <c:pt idx="57">
                  <c:v>3109.288878181746</c:v>
                </c:pt>
                <c:pt idx="58">
                  <c:v>3102.6030580672241</c:v>
                </c:pt>
                <c:pt idx="59">
                  <c:v>3095.9109934548555</c:v>
                </c:pt>
                <c:pt idx="60">
                  <c:v>3089.2131059005665</c:v>
                </c:pt>
                <c:pt idx="61">
                  <c:v>3082.509809098482</c:v>
                </c:pt>
                <c:pt idx="62">
                  <c:v>3075.8015090120034</c:v>
                </c:pt>
                <c:pt idx="63">
                  <c:v>3069.0886040027176</c:v>
                </c:pt>
                <c:pt idx="64">
                  <c:v>3062.3714849571738</c:v>
                </c:pt>
                <c:pt idx="65">
                  <c:v>3055.6505354115666</c:v>
                </c:pt>
                <c:pt idx="66">
                  <c:v>3048.9261316743596</c:v>
                </c:pt>
                <c:pt idx="67">
                  <c:v>3042.198642946888</c:v>
                </c:pt>
                <c:pt idx="68">
                  <c:v>3035.4684314419742</c:v>
                </c:pt>
                <c:pt idx="69">
                  <c:v>3028.735852500592</c:v>
                </c:pt>
                <c:pt idx="70">
                  <c:v>3022.0012547066094</c:v>
                </c:pt>
                <c:pt idx="71">
                  <c:v>3015.2649799996493</c:v>
                </c:pt>
                <c:pt idx="72">
                  <c:v>3008.5273637860942</c:v>
                </c:pt>
                <c:pt idx="73">
                  <c:v>3001.7887350482702</c:v>
                </c:pt>
                <c:pt idx="74">
                  <c:v>2995.0494164518427</c:v>
                </c:pt>
                <c:pt idx="75">
                  <c:v>2988.3097244514502</c:v>
                </c:pt>
                <c:pt idx="76">
                  <c:v>2981.5699693946108</c:v>
                </c:pt>
                <c:pt idx="77">
                  <c:v>2974.8304556239264</c:v>
                </c:pt>
                <c:pt idx="78">
                  <c:v>2968.0914815776177</c:v>
                </c:pt>
                <c:pt idx="79">
                  <c:v>2961.353339888416</c:v>
                </c:pt>
                <c:pt idx="80">
                  <c:v>2954.6163174808389</c:v>
                </c:pt>
                <c:pt idx="81">
                  <c:v>2947.88069566688</c:v>
                </c:pt>
                <c:pt idx="82">
                  <c:v>2941.146750240136</c:v>
                </c:pt>
                <c:pt idx="83">
                  <c:v>2934.4147515684003</c:v>
                </c:pt>
                <c:pt idx="84">
                  <c:v>2927.6849646847472</c:v>
                </c:pt>
                <c:pt idx="85">
                  <c:v>2920.9576493771324</c:v>
                </c:pt>
                <c:pt idx="86">
                  <c:v>2914.2330602765351</c:v>
                </c:pt>
                <c:pt idx="87">
                  <c:v>2907.5114469436649</c:v>
                </c:pt>
                <c:pt idx="88">
                  <c:v>2900.7930539542585</c:v>
                </c:pt>
                <c:pt idx="89">
                  <c:v>2894.0781209829906</c:v>
                </c:pt>
                <c:pt idx="90">
                  <c:v>2887.3668828860186</c:v>
                </c:pt>
                <c:pt idx="91">
                  <c:v>2880.6595697821872</c:v>
                </c:pt>
                <c:pt idx="92">
                  <c:v>2873.9564071329141</c:v>
                </c:pt>
                <c:pt idx="93">
                  <c:v>2867.2576158207776</c:v>
                </c:pt>
                <c:pt idx="94">
                  <c:v>2860.5634122268284</c:v>
                </c:pt>
                <c:pt idx="95">
                  <c:v>2853.8740083066473</c:v>
                </c:pt>
                <c:pt idx="96">
                  <c:v>2847.1896116651674</c:v>
                </c:pt>
                <c:pt idx="97">
                  <c:v>2840.5104256302834</c:v>
                </c:pt>
                <c:pt idx="98">
                  <c:v>2833.8366493252661</c:v>
                </c:pt>
                <c:pt idx="99">
                  <c:v>2827.1684777400028</c:v>
                </c:pt>
                <c:pt idx="100">
                  <c:v>2820.5061018010838</c:v>
                </c:pt>
                <c:pt idx="101">
                  <c:v>2813.8497084407495</c:v>
                </c:pt>
                <c:pt idx="102">
                  <c:v>2807.1994806647226</c:v>
                </c:pt>
                <c:pt idx="103">
                  <c:v>2800.5555976189394</c:v>
                </c:pt>
                <c:pt idx="104">
                  <c:v>2793.9182346551993</c:v>
                </c:pt>
                <c:pt idx="105">
                  <c:v>2787.287563395751</c:v>
                </c:pt>
                <c:pt idx="106">
                  <c:v>2780.6637517968325</c:v>
                </c:pt>
                <c:pt idx="107">
                  <c:v>2774.046964211178</c:v>
                </c:pt>
                <c:pt idx="108">
                  <c:v>2767.4373614495166</c:v>
                </c:pt>
                <c:pt idx="109">
                  <c:v>2760.8351008410714</c:v>
                </c:pt>
                <c:pt idx="110">
                  <c:v>2754.2403362930768</c:v>
                </c:pt>
                <c:pt idx="111">
                  <c:v>2747.653218349335</c:v>
                </c:pt>
                <c:pt idx="112">
                  <c:v>2741.0738942478201</c:v>
                </c:pt>
                <c:pt idx="113">
                  <c:v>2734.50250797735</c:v>
                </c:pt>
                <c:pt idx="114">
                  <c:v>2727.9392003333382</c:v>
                </c:pt>
                <c:pt idx="115">
                  <c:v>2721.3841089726438</c:v>
                </c:pt>
                <c:pt idx="116">
                  <c:v>2714.8373684675298</c:v>
                </c:pt>
                <c:pt idx="117">
                  <c:v>2708.2991103587474</c:v>
                </c:pt>
                <c:pt idx="118">
                  <c:v>2701.7694632077591</c:v>
                </c:pt>
                <c:pt idx="119">
                  <c:v>2695.2485526481155</c:v>
                </c:pt>
                <c:pt idx="120">
                  <c:v>2688.7365014359957</c:v>
                </c:pt>
                <c:pt idx="121">
                  <c:v>2682.2334294999309</c:v>
                </c:pt>
                <c:pt idx="122">
                  <c:v>2675.7394539897186</c:v>
                </c:pt>
                <c:pt idx="123">
                  <c:v>2669.2546893245421</c:v>
                </c:pt>
                <c:pt idx="124">
                  <c:v>2662.7792472403107</c:v>
                </c:pt>
                <c:pt idx="125">
                  <c:v>2656.3132368362294</c:v>
                </c:pt>
                <c:pt idx="126">
                  <c:v>2649.8567646206116</c:v>
                </c:pt>
                <c:pt idx="127">
                  <c:v>2643.4099345559475</c:v>
                </c:pt>
                <c:pt idx="128">
                  <c:v>2636.9728481032407</c:v>
                </c:pt>
                <c:pt idx="129">
                  <c:v>2630.5456042656219</c:v>
                </c:pt>
                <c:pt idx="130">
                  <c:v>2624.1282996312534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1168.8582483754269</c:v>
                </c:pt>
                <c:pt idx="4">
                  <c:v>1173.5261769005106</c:v>
                </c:pt>
                <c:pt idx="5">
                  <c:v>1178.1401815217778</c:v>
                </c:pt>
                <c:pt idx="6">
                  <c:v>1182.7004760819007</c:v>
                </c:pt>
                <c:pt idx="7">
                  <c:v>1187.2072771298533</c:v>
                </c:pt>
                <c:pt idx="8">
                  <c:v>1191.6608038273801</c:v>
                </c:pt>
                <c:pt idx="9">
                  <c:v>1196.0612778574002</c:v>
                </c:pt>
                <c:pt idx="10">
                  <c:v>1200.4089233343177</c:v>
                </c:pt>
                <c:pt idx="11">
                  <c:v>1204.7039667161935</c:v>
                </c:pt>
                <c:pt idx="12">
                  <c:v>1208.9466367187501</c:v>
                </c:pt>
                <c:pt idx="13">
                  <c:v>1213.1371642311703</c:v>
                </c:pt>
                <c:pt idx="14">
                  <c:v>1217.2757822336571</c:v>
                </c:pt>
                <c:pt idx="15">
                  <c:v>1221.36272571672</c:v>
                </c:pt>
                <c:pt idx="16">
                  <c:v>1225.3982316021581</c:v>
                </c:pt>
                <c:pt idx="17">
                  <c:v>1229.3825386657036</c:v>
                </c:pt>
                <c:pt idx="18">
                  <c:v>1233.3158874612964</c:v>
                </c:pt>
                <c:pt idx="19">
                  <c:v>1237.1985202469598</c:v>
                </c:pt>
                <c:pt idx="20">
                  <c:v>1241.0306809122444</c:v>
                </c:pt>
                <c:pt idx="21">
                  <c:v>1244.8126149072132</c:v>
                </c:pt>
                <c:pt idx="22">
                  <c:v>1248.5445691729362</c:v>
                </c:pt>
                <c:pt idx="23">
                  <c:v>1252.2267920734687</c:v>
                </c:pt>
                <c:pt idx="24">
                  <c:v>1255.8595333292822</c:v>
                </c:pt>
                <c:pt idx="25">
                  <c:v>1259.4430439521229</c:v>
                </c:pt>
                <c:pt idx="26">
                  <c:v>1262.9775761812707</c:v>
                </c:pt>
                <c:pt idx="27">
                  <c:v>1266.4633834211702</c:v>
                </c:pt>
                <c:pt idx="28">
                  <c:v>1269.9007201804102</c:v>
                </c:pt>
                <c:pt idx="29">
                  <c:v>1273.2898420120252</c:v>
                </c:pt>
                <c:pt idx="30">
                  <c:v>1276.6310054550938</c:v>
                </c:pt>
                <c:pt idx="31">
                  <c:v>1279.9244679776104</c:v>
                </c:pt>
                <c:pt idx="32">
                  <c:v>1283.1704879206056</c:v>
                </c:pt>
                <c:pt idx="33">
                  <c:v>1286.3693244434921</c:v>
                </c:pt>
                <c:pt idx="34">
                  <c:v>1289.5212374706123</c:v>
                </c:pt>
                <c:pt idx="35">
                  <c:v>1292.6264876389666</c:v>
                </c:pt>
                <c:pt idx="36">
                  <c:v>1295.6853362470986</c:v>
                </c:pt>
                <c:pt idx="37">
                  <c:v>1298.6980452051162</c:v>
                </c:pt>
                <c:pt idx="38">
                  <c:v>1301.6648769858273</c:v>
                </c:pt>
                <c:pt idx="39">
                  <c:v>1304.5860945769684</c:v>
                </c:pt>
                <c:pt idx="40">
                  <c:v>1307.4619614345077</c:v>
                </c:pt>
                <c:pt idx="41">
                  <c:v>1310.2927414369985</c:v>
                </c:pt>
                <c:pt idx="42">
                  <c:v>1313.0786988409682</c:v>
                </c:pt>
                <c:pt idx="43">
                  <c:v>1315.8200982373187</c:v>
                </c:pt>
                <c:pt idx="44">
                  <c:v>1318.5172045087234</c:v>
                </c:pt>
                <c:pt idx="45">
                  <c:v>1321.1702827879976</c:v>
                </c:pt>
                <c:pt idx="46">
                  <c:v>1323.7795984174288</c:v>
                </c:pt>
                <c:pt idx="47">
                  <c:v>1326.3454169090448</c:v>
                </c:pt>
                <c:pt idx="48">
                  <c:v>1328.8680039058045</c:v>
                </c:pt>
                <c:pt idx="49">
                  <c:v>1331.3476251436925</c:v>
                </c:pt>
                <c:pt idx="50">
                  <c:v>1333.7845464147022</c:v>
                </c:pt>
                <c:pt idx="51">
                  <c:v>1336.1790335306875</c:v>
                </c:pt>
                <c:pt idx="52">
                  <c:v>1338.5313522880722</c:v>
                </c:pt>
                <c:pt idx="53">
                  <c:v>1340.8417684333938</c:v>
                </c:pt>
                <c:pt idx="54">
                  <c:v>1343.1105476296727</c:v>
                </c:pt>
                <c:pt idx="55">
                  <c:v>1345.3379554235869</c:v>
                </c:pt>
                <c:pt idx="56">
                  <c:v>1347.524257213438</c:v>
                </c:pt>
                <c:pt idx="57">
                  <c:v>1349.6697182178955</c:v>
                </c:pt>
                <c:pt idx="58">
                  <c:v>1351.7746034455015</c:v>
                </c:pt>
                <c:pt idx="59">
                  <c:v>1353.8391776649241</c:v>
                </c:pt>
                <c:pt idx="60">
                  <c:v>1355.8637053759437</c:v>
                </c:pt>
                <c:pt idx="61">
                  <c:v>1357.8484507811593</c:v>
                </c:pt>
                <c:pt idx="62">
                  <c:v>1359.7936777583998</c:v>
                </c:pt>
                <c:pt idx="63">
                  <c:v>1361.6996498338294</c:v>
                </c:pt>
                <c:pt idx="64">
                  <c:v>1363.5666301557312</c:v>
                </c:pt>
                <c:pt idx="65">
                  <c:v>1365.3948814689577</c:v>
                </c:pt>
                <c:pt idx="66">
                  <c:v>1367.1846660900349</c:v>
                </c:pt>
                <c:pt idx="67">
                  <c:v>1368.9362458829078</c:v>
                </c:pt>
                <c:pt idx="68">
                  <c:v>1370.649882235316</c:v>
                </c:pt>
                <c:pt idx="69">
                  <c:v>1372.3258360357845</c:v>
                </c:pt>
                <c:pt idx="70">
                  <c:v>1373.9643676512214</c:v>
                </c:pt>
                <c:pt idx="71">
                  <c:v>1375.5657369051091</c:v>
                </c:pt>
                <c:pt idx="72">
                  <c:v>1377.1302030562774</c:v>
                </c:pt>
                <c:pt idx="73">
                  <c:v>1378.6580247782481</c:v>
                </c:pt>
                <c:pt idx="74">
                  <c:v>1380.1494601391396</c:v>
                </c:pt>
                <c:pt idx="75">
                  <c:v>1381.604766582122</c:v>
                </c:pt>
                <c:pt idx="76">
                  <c:v>1383.0242009064098</c:v>
                </c:pt>
                <c:pt idx="77">
                  <c:v>1384.4080192487838</c:v>
                </c:pt>
                <c:pt idx="78">
                  <c:v>1385.7564770656313</c:v>
                </c:pt>
                <c:pt idx="79">
                  <c:v>1387.0698291154943</c:v>
                </c:pt>
                <c:pt idx="80">
                  <c:v>1388.3483294421167</c:v>
                </c:pt>
                <c:pt idx="81">
                  <c:v>1389.5922313579797</c:v>
                </c:pt>
                <c:pt idx="82">
                  <c:v>1390.8017874283171</c:v>
                </c:pt>
                <c:pt idx="83">
                  <c:v>1391.9772494556</c:v>
                </c:pt>
                <c:pt idx="84">
                  <c:v>1393.1188684644828</c:v>
                </c:pt>
                <c:pt idx="85">
                  <c:v>1394.2268946872007</c:v>
                </c:pt>
                <c:pt idx="86">
                  <c:v>1395.30157754941</c:v>
                </c:pt>
                <c:pt idx="87">
                  <c:v>1396.3431656564637</c:v>
                </c:pt>
                <c:pt idx="88">
                  <c:v>1397.3519067801114</c:v>
                </c:pt>
                <c:pt idx="89">
                  <c:v>1398.3280478456184</c:v>
                </c:pt>
                <c:pt idx="90">
                  <c:v>1399.2718349192915</c:v>
                </c:pt>
                <c:pt idx="91">
                  <c:v>1400.183513196409</c:v>
                </c:pt>
                <c:pt idx="92">
                  <c:v>1401.0633269895413</c:v>
                </c:pt>
                <c:pt idx="93">
                  <c:v>1401.911519717258</c:v>
                </c:pt>
                <c:pt idx="94">
                  <c:v>1402.7283338932125</c:v>
                </c:pt>
                <c:pt idx="95">
                  <c:v>1403.5140111155972</c:v>
                </c:pt>
                <c:pt idx="96">
                  <c:v>1404.268792056961</c:v>
                </c:pt>
                <c:pt idx="97">
                  <c:v>1404.9929164543819</c:v>
                </c:pt>
                <c:pt idx="98">
                  <c:v>1405.6866230999894</c:v>
                </c:pt>
                <c:pt idx="99">
                  <c:v>1406.3501498318276</c:v>
                </c:pt>
                <c:pt idx="100">
                  <c:v>1406.9837335250515</c:v>
                </c:pt>
                <c:pt idx="101">
                  <c:v>1407.5876100834544</c:v>
                </c:pt>
                <c:pt idx="102">
                  <c:v>1408.1620144313122</c:v>
                </c:pt>
                <c:pt idx="103">
                  <c:v>1408.7071805055464</c:v>
                </c:pt>
                <c:pt idx="104">
                  <c:v>1409.2233412481921</c:v>
                </c:pt>
                <c:pt idx="105">
                  <c:v>1409.7107285991704</c:v>
                </c:pt>
                <c:pt idx="106">
                  <c:v>1410.169573489354</c:v>
                </c:pt>
                <c:pt idx="107">
                  <c:v>1410.6001058339255</c:v>
                </c:pt>
                <c:pt idx="108">
                  <c:v>1411.0025545260166</c:v>
                </c:pt>
                <c:pt idx="109">
                  <c:v>1411.3771474306275</c:v>
                </c:pt>
                <c:pt idx="110">
                  <c:v>1411.7241113788157</c:v>
                </c:pt>
                <c:pt idx="111">
                  <c:v>1412.0436721621547</c:v>
                </c:pt>
                <c:pt idx="112">
                  <c:v>1412.3360545274504</c:v>
                </c:pt>
                <c:pt idx="113">
                  <c:v>1412.6014821717149</c:v>
                </c:pt>
                <c:pt idx="114">
                  <c:v>1412.8401777373897</c:v>
                </c:pt>
                <c:pt idx="115">
                  <c:v>1413.052362807814</c:v>
                </c:pt>
                <c:pt idx="116">
                  <c:v>1413.2382579029324</c:v>
                </c:pt>
                <c:pt idx="117">
                  <c:v>1413.3980824752375</c:v>
                </c:pt>
                <c:pt idx="118">
                  <c:v>1413.5320549059418</c:v>
                </c:pt>
                <c:pt idx="119">
                  <c:v>1413.6403925013744</c:v>
                </c:pt>
                <c:pt idx="120">
                  <c:v>1413.7233114895985</c:v>
                </c:pt>
                <c:pt idx="121">
                  <c:v>1413.781027017242</c:v>
                </c:pt>
                <c:pt idx="122">
                  <c:v>1413.8137531465409</c:v>
                </c:pt>
                <c:pt idx="123">
                  <c:v>1413.8217028525876</c:v>
                </c:pt>
                <c:pt idx="124">
                  <c:v>1413.8050880207807</c:v>
                </c:pt>
                <c:pt idx="125">
                  <c:v>1413.764119444472</c:v>
                </c:pt>
                <c:pt idx="126">
                  <c:v>1413.699006822807</c:v>
                </c:pt>
                <c:pt idx="127">
                  <c:v>1413.6099587587526</c:v>
                </c:pt>
                <c:pt idx="128">
                  <c:v>1413.4971827573108</c:v>
                </c:pt>
                <c:pt idx="129">
                  <c:v>1413.3608852239117</c:v>
                </c:pt>
                <c:pt idx="130">
                  <c:v>1413.201271462983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232.52995409516313</c:v>
                </c:pt>
                <c:pt idx="5">
                  <c:v>230.47772656672367</c:v>
                </c:pt>
                <c:pt idx="6">
                  <c:v>228.49975842358148</c:v>
                </c:pt>
                <c:pt idx="7">
                  <c:v>226.59378732254442</c:v>
                </c:pt>
                <c:pt idx="8">
                  <c:v>224.75761451907456</c:v>
                </c:pt>
                <c:pt idx="9">
                  <c:v>222.98910311204205</c:v>
                </c:pt>
                <c:pt idx="10">
                  <c:v>221.28617633684809</c:v>
                </c:pt>
                <c:pt idx="11">
                  <c:v>219.64681590558266</c:v>
                </c:pt>
                <c:pt idx="12">
                  <c:v>218.06906039291806</c:v>
                </c:pt>
                <c:pt idx="13">
                  <c:v>216.55100366647611</c:v>
                </c:pt>
                <c:pt idx="14">
                  <c:v>215.09079336044124</c:v>
                </c:pt>
                <c:pt idx="15">
                  <c:v>213.68662939122629</c:v>
                </c:pt>
                <c:pt idx="16">
                  <c:v>212.3367625140298</c:v>
                </c:pt>
                <c:pt idx="17">
                  <c:v>211.03949291915694</c:v>
                </c:pt>
                <c:pt idx="18">
                  <c:v>209.79316886700622</c:v>
                </c:pt>
                <c:pt idx="19">
                  <c:v>208.59618536065537</c:v>
                </c:pt>
                <c:pt idx="20">
                  <c:v>207.44698285500877</c:v>
                </c:pt>
                <c:pt idx="21">
                  <c:v>206.34404600149756</c:v>
                </c:pt>
                <c:pt idx="22">
                  <c:v>205.28590242735169</c:v>
                </c:pt>
                <c:pt idx="23">
                  <c:v>204.27112154848993</c:v>
                </c:pt>
                <c:pt idx="24">
                  <c:v>203.29831341510049</c:v>
                </c:pt>
                <c:pt idx="25">
                  <c:v>202.36612758901046</c:v>
                </c:pt>
                <c:pt idx="26">
                  <c:v>201.47325205196722</c:v>
                </c:pt>
                <c:pt idx="27">
                  <c:v>200.61841214397899</c:v>
                </c:pt>
                <c:pt idx="28">
                  <c:v>199.80036953088563</c:v>
                </c:pt>
                <c:pt idx="29">
                  <c:v>199.01792120035356</c:v>
                </c:pt>
                <c:pt idx="30">
                  <c:v>198.26989848551065</c:v>
                </c:pt>
                <c:pt idx="31">
                  <c:v>197.55516611545917</c:v>
                </c:pt>
                <c:pt idx="32">
                  <c:v>196.87262129192536</c:v>
                </c:pt>
                <c:pt idx="33">
                  <c:v>196.22119279132505</c:v>
                </c:pt>
                <c:pt idx="34">
                  <c:v>195.59984009154476</c:v>
                </c:pt>
                <c:pt idx="35">
                  <c:v>195.00755252275641</c:v>
                </c:pt>
                <c:pt idx="36">
                  <c:v>194.44334844160346</c:v>
                </c:pt>
                <c:pt idx="37">
                  <c:v>193.90627442811402</c:v>
                </c:pt>
                <c:pt idx="38">
                  <c:v>193.39540450471455</c:v>
                </c:pt>
                <c:pt idx="39">
                  <c:v>192.90983937673477</c:v>
                </c:pt>
                <c:pt idx="40">
                  <c:v>192.44870569381177</c:v>
                </c:pt>
                <c:pt idx="41">
                  <c:v>192.01115533161698</c:v>
                </c:pt>
                <c:pt idx="42">
                  <c:v>191.59636469334615</c:v>
                </c:pt>
                <c:pt idx="43">
                  <c:v>191.20353403042773</c:v>
                </c:pt>
                <c:pt idx="44">
                  <c:v>190.83188678191996</c:v>
                </c:pt>
                <c:pt idx="45">
                  <c:v>190.48066893208181</c:v>
                </c:pt>
                <c:pt idx="46">
                  <c:v>190.14914838561708</c:v>
                </c:pt>
                <c:pt idx="47">
                  <c:v>189.83661436010476</c:v>
                </c:pt>
                <c:pt idx="48">
                  <c:v>189.54237679514208</c:v>
                </c:pt>
                <c:pt idx="49">
                  <c:v>189.26576577774011</c:v>
                </c:pt>
                <c:pt idx="50">
                  <c:v>189.00613098352414</c:v>
                </c:pt>
                <c:pt idx="51">
                  <c:v>188.76284113330331</c:v>
                </c:pt>
                <c:pt idx="52">
                  <c:v>188.53528346458666</c:v>
                </c:pt>
                <c:pt idx="53">
                  <c:v>188.32286321763371</c:v>
                </c:pt>
                <c:pt idx="54">
                  <c:v>188.12500313563933</c:v>
                </c:pt>
                <c:pt idx="55">
                  <c:v>187.94114297866383</c:v>
                </c:pt>
                <c:pt idx="56">
                  <c:v>187.77073905092973</c:v>
                </c:pt>
                <c:pt idx="57">
                  <c:v>187.61326374111738</c:v>
                </c:pt>
                <c:pt idx="58">
                  <c:v>187.46820507530137</c:v>
                </c:pt>
                <c:pt idx="59">
                  <c:v>187.33506628217987</c:v>
                </c:pt>
                <c:pt idx="60">
                  <c:v>187.21336537025857</c:v>
                </c:pt>
                <c:pt idx="61">
                  <c:v>187.10263471666028</c:v>
                </c:pt>
                <c:pt idx="62">
                  <c:v>187.00242066723985</c:v>
                </c:pt>
                <c:pt idx="63">
                  <c:v>186.91228314769387</c:v>
                </c:pt>
                <c:pt idx="64">
                  <c:v>186.8317952853622</c:v>
                </c:pt>
                <c:pt idx="65">
                  <c:v>186.76054304142727</c:v>
                </c:pt>
                <c:pt idx="66">
                  <c:v>186.69812485322507</c:v>
                </c:pt>
                <c:pt idx="67">
                  <c:v>186.64415128638973</c:v>
                </c:pt>
                <c:pt idx="68">
                  <c:v>186.5982446965611</c:v>
                </c:pt>
                <c:pt idx="69">
                  <c:v>186.5600389003923</c:v>
                </c:pt>
                <c:pt idx="70">
                  <c:v>186.5291788556014</c:v>
                </c:pt>
                <c:pt idx="71">
                  <c:v>186.50532034981876</c:v>
                </c:pt>
                <c:pt idx="72">
                  <c:v>186.48812969798774</c:v>
                </c:pt>
                <c:pt idx="73">
                  <c:v>186.47728344808394</c:v>
                </c:pt>
                <c:pt idx="74">
                  <c:v>186.47246809492401</c:v>
                </c:pt>
                <c:pt idx="75">
                  <c:v>186.47337980184187</c:v>
                </c:pt>
                <c:pt idx="76">
                  <c:v>186.47972413001574</c:v>
                </c:pt>
                <c:pt idx="77">
                  <c:v>186.49121577523596</c:v>
                </c:pt>
                <c:pt idx="78">
                  <c:v>186.50757831190887</c:v>
                </c:pt>
                <c:pt idx="79">
                  <c:v>186.52854394409809</c:v>
                </c:pt>
                <c:pt idx="80">
                  <c:v>186.55385326340954</c:v>
                </c:pt>
                <c:pt idx="81">
                  <c:v>186.58325501353227</c:v>
                </c:pt>
                <c:pt idx="82">
                  <c:v>186.61650586125234</c:v>
                </c:pt>
                <c:pt idx="83">
                  <c:v>186.65337017376163</c:v>
                </c:pt>
                <c:pt idx="84">
                  <c:v>186.69361980208888</c:v>
                </c:pt>
                <c:pt idx="85">
                  <c:v>186.73703387048459</c:v>
                </c:pt>
                <c:pt idx="86">
                  <c:v>186.78339857159642</c:v>
                </c:pt>
                <c:pt idx="87">
                  <c:v>186.83250696727592</c:v>
                </c:pt>
                <c:pt idx="88">
                  <c:v>186.88415879486195</c:v>
                </c:pt>
                <c:pt idx="89">
                  <c:v>186.93816027879043</c:v>
                </c:pt>
                <c:pt idx="90">
                  <c:v>186.9943239473842</c:v>
                </c:pt>
                <c:pt idx="91">
                  <c:v>187.05246845468059</c:v>
                </c:pt>
                <c:pt idx="92">
                  <c:v>187.11241840715863</c:v>
                </c:pt>
                <c:pt idx="93">
                  <c:v>187.17400419523122</c:v>
                </c:pt>
                <c:pt idx="94">
                  <c:v>187.23706182937156</c:v>
                </c:pt>
                <c:pt idx="95">
                  <c:v>187.30143278074652</c:v>
                </c:pt>
                <c:pt idx="96">
                  <c:v>187.36696382623353</c:v>
                </c:pt>
                <c:pt idx="97">
                  <c:v>187.43350689770023</c:v>
                </c:pt>
                <c:pt idx="98">
                  <c:v>187.50091893543046</c:v>
                </c:pt>
                <c:pt idx="99">
                  <c:v>187.56906174558242</c:v>
                </c:pt>
                <c:pt idx="100">
                  <c:v>187.63780186156842</c:v>
                </c:pt>
                <c:pt idx="101">
                  <c:v>187.70701040924897</c:v>
                </c:pt>
                <c:pt idx="102">
                  <c:v>187.77656297583613</c:v>
                </c:pt>
                <c:pt idx="103">
                  <c:v>187.84633948240466</c:v>
                </c:pt>
                <c:pt idx="104">
                  <c:v>187.91622405991197</c:v>
                </c:pt>
                <c:pt idx="105">
                  <c:v>187.9861049286306</c:v>
                </c:pt>
                <c:pt idx="106">
                  <c:v>188.05587428089967</c:v>
                </c:pt>
                <c:pt idx="107">
                  <c:v>188.12542816710439</c:v>
                </c:pt>
                <c:pt idx="108">
                  <c:v>188.19466638479497</c:v>
                </c:pt>
                <c:pt idx="109">
                  <c:v>188.26349237085898</c:v>
                </c:pt>
                <c:pt idx="110">
                  <c:v>188.33181309666344</c:v>
                </c:pt>
                <c:pt idx="111">
                  <c:v>188.3995389660852</c:v>
                </c:pt>
                <c:pt idx="112">
                  <c:v>188.46658371635047</c:v>
                </c:pt>
                <c:pt idx="113">
                  <c:v>188.53286432160664</c:v>
                </c:pt>
                <c:pt idx="114">
                  <c:v>188.59830089915121</c:v>
                </c:pt>
                <c:pt idx="115">
                  <c:v>188.66281661824542</c:v>
                </c:pt>
                <c:pt idx="116">
                  <c:v>188.72633761144141</c:v>
                </c:pt>
                <c:pt idx="117">
                  <c:v>188.78879288835438</c:v>
                </c:pt>
                <c:pt idx="118">
                  <c:v>188.85011425181236</c:v>
                </c:pt>
                <c:pt idx="119">
                  <c:v>188.91023621631896</c:v>
                </c:pt>
                <c:pt idx="120">
                  <c:v>188.9690959287654</c:v>
                </c:pt>
                <c:pt idx="121">
                  <c:v>189.02663309133015</c:v>
                </c:pt>
                <c:pt idx="122">
                  <c:v>189.08278988650684</c:v>
                </c:pt>
                <c:pt idx="123">
                  <c:v>189.13751090420135</c:v>
                </c:pt>
                <c:pt idx="124">
                  <c:v>189.1907430708421</c:v>
                </c:pt>
                <c:pt idx="125">
                  <c:v>189.24243558044807</c:v>
                </c:pt>
                <c:pt idx="126">
                  <c:v>189.29253982760116</c:v>
                </c:pt>
                <c:pt idx="127">
                  <c:v>189.34100934227047</c:v>
                </c:pt>
                <c:pt idx="128">
                  <c:v>189.38779972643817</c:v>
                </c:pt>
                <c:pt idx="129">
                  <c:v>189.43286859247749</c:v>
                </c:pt>
                <c:pt idx="130">
                  <c:v>189.47617550323466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84.582404784241191</c:v>
                </c:pt>
                <c:pt idx="6">
                  <c:v>85.030836246340513</c:v>
                </c:pt>
                <c:pt idx="7">
                  <c:v>85.469344943392073</c:v>
                </c:pt>
                <c:pt idx="8">
                  <c:v>85.898237684670136</c:v>
                </c:pt>
                <c:pt idx="9">
                  <c:v>86.317812252292683</c:v>
                </c:pt>
                <c:pt idx="10">
                  <c:v>86.728357649171258</c:v>
                </c:pt>
                <c:pt idx="11">
                  <c:v>87.130154340282346</c:v>
                </c:pt>
                <c:pt idx="12">
                  <c:v>87.523474487440652</c:v>
                </c:pt>
                <c:pt idx="13">
                  <c:v>87.90858217774985</c:v>
                </c:pt>
                <c:pt idx="14">
                  <c:v>88.285733645901573</c:v>
                </c:pt>
                <c:pt idx="15">
                  <c:v>88.655177490488654</c:v>
                </c:pt>
                <c:pt idx="16">
                  <c:v>89.017154884494246</c:v>
                </c:pt>
                <c:pt idx="17">
                  <c:v>89.371899780113978</c:v>
                </c:pt>
                <c:pt idx="18">
                  <c:v>89.719639108064058</c:v>
                </c:pt>
                <c:pt idx="19">
                  <c:v>90.060592971524017</c:v>
                </c:pt>
                <c:pt idx="20">
                  <c:v>90.394974834858772</c:v>
                </c:pt>
                <c:pt idx="21">
                  <c:v>90.722991707260917</c:v>
                </c:pt>
                <c:pt idx="22">
                  <c:v>91.044844321449887</c:v>
                </c:pt>
                <c:pt idx="23">
                  <c:v>91.360727307561532</c:v>
                </c:pt>
                <c:pt idx="24">
                  <c:v>91.670829362357395</c:v>
                </c:pt>
                <c:pt idx="25">
                  <c:v>91.975333413879952</c:v>
                </c:pt>
                <c:pt idx="26">
                  <c:v>92.274416781676379</c:v>
                </c:pt>
                <c:pt idx="27">
                  <c:v>92.568251332710147</c:v>
                </c:pt>
                <c:pt idx="28">
                  <c:v>92.857003633076573</c:v>
                </c:pt>
                <c:pt idx="29">
                  <c:v>93.14083509563514</c:v>
                </c:pt>
                <c:pt idx="30">
                  <c:v>93.419902123668606</c:v>
                </c:pt>
                <c:pt idx="31">
                  <c:v>93.694356250675554</c:v>
                </c:pt>
                <c:pt idx="32">
                  <c:v>93.964344276400624</c:v>
                </c:pt>
                <c:pt idx="33">
                  <c:v>94.230008399203314</c:v>
                </c:pt>
                <c:pt idx="34">
                  <c:v>94.491486344863944</c:v>
                </c:pt>
                <c:pt idx="35">
                  <c:v>94.748911491922485</c:v>
                </c:pt>
                <c:pt idx="36">
                  <c:v>95.002412993643347</c:v>
                </c:pt>
                <c:pt idx="37">
                  <c:v>95.252115896696779</c:v>
                </c:pt>
                <c:pt idx="38">
                  <c:v>95.498141256645127</c:v>
                </c:pt>
                <c:pt idx="39">
                  <c:v>95.740606250319601</c:v>
                </c:pt>
                <c:pt idx="40">
                  <c:v>95.979624285171056</c:v>
                </c:pt>
                <c:pt idx="41">
                  <c:v>96.215305105676109</c:v>
                </c:pt>
                <c:pt idx="42">
                  <c:v>96.447754896877342</c:v>
                </c:pt>
                <c:pt idx="43">
                  <c:v>96.677076385134725</c:v>
                </c:pt>
                <c:pt idx="44">
                  <c:v>96.903368936162849</c:v>
                </c:pt>
                <c:pt idx="45">
                  <c:v>97.126728650426799</c:v>
                </c:pt>
                <c:pt idx="46">
                  <c:v>97.347248455967517</c:v>
                </c:pt>
                <c:pt idx="47">
                  <c:v>97.56501819872544</c:v>
                </c:pt>
                <c:pt idx="48">
                  <c:v>97.780124730429449</c:v>
                </c:pt>
                <c:pt idx="49">
                  <c:v>97.992651994116457</c:v>
                </c:pt>
                <c:pt idx="50">
                  <c:v>98.202681107344901</c:v>
                </c:pt>
                <c:pt idx="51">
                  <c:v>98.410290443164016</c:v>
                </c:pt>
                <c:pt idx="52">
                  <c:v>98.615555708898881</c:v>
                </c:pt>
                <c:pt idx="53">
                  <c:v>98.818550022809731</c:v>
                </c:pt>
                <c:pt idx="54">
                  <c:v>99.019343988682351</c:v>
                </c:pt>
                <c:pt idx="55">
                  <c:v>99.218005768404993</c:v>
                </c:pt>
                <c:pt idx="56">
                  <c:v>99.414601152585476</c:v>
                </c:pt>
                <c:pt idx="57">
                  <c:v>99.6091936292611</c:v>
                </c:pt>
                <c:pt idx="58">
                  <c:v>99.801844450752128</c:v>
                </c:pt>
                <c:pt idx="59">
                  <c:v>99.992612698708612</c:v>
                </c:pt>
                <c:pt idx="60">
                  <c:v>100.18155534739873</c:v>
                </c:pt>
                <c:pt idx="61">
                  <c:v>100.36872732528563</c:v>
                </c:pt>
                <c:pt idx="62">
                  <c:v>100.55418157493857</c:v>
                </c:pt>
                <c:pt idx="63">
                  <c:v>100.73796911132261</c:v>
                </c:pt>
                <c:pt idx="64">
                  <c:v>100.92013907851049</c:v>
                </c:pt>
                <c:pt idx="65">
                  <c:v>101.10073880485841</c:v>
                </c:pt>
                <c:pt idx="66">
                  <c:v>101.279813856687</c:v>
                </c:pt>
                <c:pt idx="67">
                  <c:v>101.45740809050723</c:v>
                </c:pt>
                <c:pt idx="68">
                  <c:v>101.63356370383008</c:v>
                </c:pt>
                <c:pt idx="69">
                  <c:v>101.80832128459771</c:v>
                </c:pt>
                <c:pt idx="70">
                  <c:v>101.981719859273</c:v>
                </c:pt>
                <c:pt idx="71">
                  <c:v>102.15379693962308</c:v>
                </c:pt>
                <c:pt idx="72">
                  <c:v>102.32458856823173</c:v>
                </c:pt>
                <c:pt idx="73">
                  <c:v>102.49412936277457</c:v>
                </c:pt>
                <c:pt idx="74">
                  <c:v>102.66245255908986</c:v>
                </c:pt>
                <c:pt idx="75">
                  <c:v>102.8295900530771</c:v>
                </c:pt>
                <c:pt idx="76">
                  <c:v>102.9955724414547</c:v>
                </c:pt>
                <c:pt idx="77">
                  <c:v>103.16042906140693</c:v>
                </c:pt>
                <c:pt idx="78">
                  <c:v>103.32418802914987</c:v>
                </c:pt>
                <c:pt idx="79">
                  <c:v>103.48687627744503</c:v>
                </c:pt>
                <c:pt idx="80">
                  <c:v>103.64851959208883</c:v>
                </c:pt>
                <c:pt idx="81">
                  <c:v>103.80914264740485</c:v>
                </c:pt>
                <c:pt idx="82">
                  <c:v>103.96876904076584</c:v>
                </c:pt>
                <c:pt idx="83">
                  <c:v>104.12742132617082</c:v>
                </c:pt>
                <c:pt idx="84">
                  <c:v>104.28512104690287</c:v>
                </c:pt>
                <c:pt idx="85">
                  <c:v>104.44188876729164</c:v>
                </c:pt>
                <c:pt idx="86">
                  <c:v>104.5977441036047</c:v>
                </c:pt>
                <c:pt idx="87">
                  <c:v>104.75270575409067</c:v>
                </c:pt>
                <c:pt idx="88">
                  <c:v>104.90679152819692</c:v>
                </c:pt>
                <c:pt idx="89">
                  <c:v>105.0600183749835</c:v>
                </c:pt>
                <c:pt idx="90">
                  <c:v>105.21240241075489</c:v>
                </c:pt>
                <c:pt idx="91">
                  <c:v>105.36395894593025</c:v>
                </c:pt>
                <c:pt idx="92">
                  <c:v>105.51470251117243</c:v>
                </c:pt>
                <c:pt idx="93">
                  <c:v>105.66464688279545</c:v>
                </c:pt>
                <c:pt idx="94">
                  <c:v>105.81380510746959</c:v>
                </c:pt>
                <c:pt idx="95">
                  <c:v>105.96218952624277</c:v>
                </c:pt>
                <c:pt idx="96">
                  <c:v>106.10981179789638</c:v>
                </c:pt>
                <c:pt idx="97">
                  <c:v>106.25668292165329</c:v>
                </c:pt>
                <c:pt idx="98">
                  <c:v>106.4028132592551</c:v>
                </c:pt>
                <c:pt idx="99">
                  <c:v>106.54821255642554</c:v>
                </c:pt>
                <c:pt idx="100">
                  <c:v>106.69288996373631</c:v>
                </c:pt>
                <c:pt idx="101">
                  <c:v>106.83685405689108</c:v>
                </c:pt>
                <c:pt idx="102">
                  <c:v>106.98011285644336</c:v>
                </c:pt>
                <c:pt idx="103">
                  <c:v>107.12267384696291</c:v>
                </c:pt>
                <c:pt idx="104">
                  <c:v>107.26454399566578</c:v>
                </c:pt>
                <c:pt idx="105">
                  <c:v>107.40572977052182</c:v>
                </c:pt>
                <c:pt idx="106">
                  <c:v>107.54623715785384</c:v>
                </c:pt>
                <c:pt idx="107">
                  <c:v>107.68607167944172</c:v>
                </c:pt>
                <c:pt idx="108">
                  <c:v>107.82523840914469</c:v>
                </c:pt>
                <c:pt idx="109">
                  <c:v>107.96374198905464</c:v>
                </c:pt>
                <c:pt idx="110">
                  <c:v>108.1015866451928</c:v>
                </c:pt>
                <c:pt idx="111">
                  <c:v>108.238776202762</c:v>
                </c:pt>
                <c:pt idx="112">
                  <c:v>108.37531410096634</c:v>
                </c:pt>
                <c:pt idx="113">
                  <c:v>108.51120340740962</c:v>
                </c:pt>
                <c:pt idx="114">
                  <c:v>108.64644683208394</c:v>
                </c:pt>
                <c:pt idx="115">
                  <c:v>108.78104674095911</c:v>
                </c:pt>
                <c:pt idx="116">
                  <c:v>108.91500516918376</c:v>
                </c:pt>
                <c:pt idx="117">
                  <c:v>109.04832383390819</c:v>
                </c:pt>
                <c:pt idx="118">
                  <c:v>109.18100414673921</c:v>
                </c:pt>
                <c:pt idx="119">
                  <c:v>109.31304722583675</c:v>
                </c:pt>
                <c:pt idx="120">
                  <c:v>109.44445390766161</c:v>
                </c:pt>
                <c:pt idx="121">
                  <c:v>109.57522475838375</c:v>
                </c:pt>
                <c:pt idx="122">
                  <c:v>109.70536008496022</c:v>
                </c:pt>
                <c:pt idx="123">
                  <c:v>109.83485994589131</c:v>
                </c:pt>
                <c:pt idx="124">
                  <c:v>109.96372416166371</c:v>
                </c:pt>
                <c:pt idx="125">
                  <c:v>110.09195232488887</c:v>
                </c:pt>
                <c:pt idx="126">
                  <c:v>110.21954381014467</c:v>
                </c:pt>
                <c:pt idx="127">
                  <c:v>110.34649778352846</c:v>
                </c:pt>
                <c:pt idx="128">
                  <c:v>110.47281321192895</c:v>
                </c:pt>
                <c:pt idx="129">
                  <c:v>110.59848887202457</c:v>
                </c:pt>
                <c:pt idx="130">
                  <c:v>110.72352335901563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52.572075145884575</c:v>
                </c:pt>
                <c:pt idx="6">
                  <c:v>52.633386209618394</c:v>
                </c:pt>
                <c:pt idx="7">
                  <c:v>52.685709242076655</c:v>
                </c:pt>
                <c:pt idx="8">
                  <c:v>52.729482959525278</c:v>
                </c:pt>
                <c:pt idx="9">
                  <c:v>52.765129968489596</c:v>
                </c:pt>
                <c:pt idx="10">
                  <c:v>52.793057281117669</c:v>
                </c:pt>
                <c:pt idx="11">
                  <c:v>52.813656815151624</c:v>
                </c:pt>
                <c:pt idx="12">
                  <c:v>52.82730587895086</c:v>
                </c:pt>
                <c:pt idx="13">
                  <c:v>52.834367641998348</c:v>
                </c:pt>
                <c:pt idx="14">
                  <c:v>52.835191591309012</c:v>
                </c:pt>
                <c:pt idx="15">
                  <c:v>52.830113974147409</c:v>
                </c:pt>
                <c:pt idx="16">
                  <c:v>52.819458227450276</c:v>
                </c:pt>
                <c:pt idx="17">
                  <c:v>52.803535394338375</c:v>
                </c:pt>
                <c:pt idx="18">
                  <c:v>52.78264452809114</c:v>
                </c:pt>
                <c:pt idx="19">
                  <c:v>52.757073083947049</c:v>
                </c:pt>
                <c:pt idx="20">
                  <c:v>52.727097299082331</c:v>
                </c:pt>
                <c:pt idx="21">
                  <c:v>52.692982561110639</c:v>
                </c:pt>
                <c:pt idx="22">
                  <c:v>52.65498376543659</c:v>
                </c:pt>
                <c:pt idx="23">
                  <c:v>52.613345661786589</c:v>
                </c:pt>
                <c:pt idx="24">
                  <c:v>52.568303190231212</c:v>
                </c:pt>
                <c:pt idx="25">
                  <c:v>52.520081807004445</c:v>
                </c:pt>
                <c:pt idx="26">
                  <c:v>52.468897800416485</c:v>
                </c:pt>
                <c:pt idx="27">
                  <c:v>52.414958597148264</c:v>
                </c:pt>
                <c:pt idx="28">
                  <c:v>52.358463059207722</c:v>
                </c:pt>
                <c:pt idx="29">
                  <c:v>52.299601771819916</c:v>
                </c:pt>
                <c:pt idx="30">
                  <c:v>52.238557322515206</c:v>
                </c:pt>
                <c:pt idx="31">
                  <c:v>52.175504571672391</c:v>
                </c:pt>
                <c:pt idx="32">
                  <c:v>52.110610914766184</c:v>
                </c:pt>
                <c:pt idx="33">
                  <c:v>52.04403653656145</c:v>
                </c:pt>
                <c:pt idx="34">
                  <c:v>51.975934657489589</c:v>
                </c:pt>
                <c:pt idx="35">
                  <c:v>51.906451772435908</c:v>
                </c:pt>
                <c:pt idx="36">
                  <c:v>51.8357278821601</c:v>
                </c:pt>
                <c:pt idx="37">
                  <c:v>51.76389671756575</c:v>
                </c:pt>
                <c:pt idx="38">
                  <c:v>51.691085957028612</c:v>
                </c:pt>
                <c:pt idx="39">
                  <c:v>51.617417436987317</c:v>
                </c:pt>
                <c:pt idx="40">
                  <c:v>51.543007355994462</c:v>
                </c:pt>
                <c:pt idx="41">
                  <c:v>51.467966472420308</c:v>
                </c:pt>
                <c:pt idx="42">
                  <c:v>51.392400295995863</c:v>
                </c:pt>
                <c:pt idx="43">
                  <c:v>51.316409273376735</c:v>
                </c:pt>
                <c:pt idx="44">
                  <c:v>51.240088967903986</c:v>
                </c:pt>
                <c:pt idx="45">
                  <c:v>51.163530233733141</c:v>
                </c:pt>
                <c:pt idx="46">
                  <c:v>51.086819384497673</c:v>
                </c:pt>
                <c:pt idx="47">
                  <c:v>51.01003835666841</c:v>
                </c:pt>
                <c:pt idx="48">
                  <c:v>50.933264867765786</c:v>
                </c:pt>
                <c:pt idx="49">
                  <c:v>50.856572569577267</c:v>
                </c:pt>
                <c:pt idx="50">
                  <c:v>50.780031196528029</c:v>
                </c:pt>
                <c:pt idx="51">
                  <c:v>50.703706709348566</c:v>
                </c:pt>
                <c:pt idx="52">
                  <c:v>50.627661434178911</c:v>
                </c:pt>
                <c:pt idx="53">
                  <c:v>50.551954197245045</c:v>
                </c:pt>
                <c:pt idx="54">
                  <c:v>50.476640455239263</c:v>
                </c:pt>
                <c:pt idx="55">
                  <c:v>50.401772421532335</c:v>
                </c:pt>
                <c:pt idx="56">
                  <c:v>50.327399188341843</c:v>
                </c:pt>
                <c:pt idx="57">
                  <c:v>50.253566844977215</c:v>
                </c:pt>
                <c:pt idx="58">
                  <c:v>50.180318592278745</c:v>
                </c:pt>
                <c:pt idx="59">
                  <c:v>50.1076948533644</c:v>
                </c:pt>
                <c:pt idx="60">
                  <c:v>50.035733380794916</c:v>
                </c:pt>
                <c:pt idx="61">
                  <c:v>49.96446936026453</c:v>
                </c:pt>
                <c:pt idx="62">
                  <c:v>49.893935510921636</c:v>
                </c:pt>
                <c:pt idx="63">
                  <c:v>49.824162182420537</c:v>
                </c:pt>
                <c:pt idx="64">
                  <c:v>49.755177448802655</c:v>
                </c:pt>
                <c:pt idx="65">
                  <c:v>49.687007199302606</c:v>
                </c:pt>
                <c:pt idx="66">
                  <c:v>49.619675226171886</c:v>
                </c:pt>
                <c:pt idx="67">
                  <c:v>49.553203309610161</c:v>
                </c:pt>
                <c:pt idx="68">
                  <c:v>49.48761129989159</c:v>
                </c:pt>
                <c:pt idx="69">
                  <c:v>49.422917196771039</c:v>
                </c:pt>
                <c:pt idx="70">
                  <c:v>49.359137226252585</c:v>
                </c:pt>
                <c:pt idx="71">
                  <c:v>49.296285914800379</c:v>
                </c:pt>
                <c:pt idx="72">
                  <c:v>49.234376161069505</c:v>
                </c:pt>
                <c:pt idx="73">
                  <c:v>49.173419305232322</c:v>
                </c:pt>
                <c:pt idx="74">
                  <c:v>49.113425195973491</c:v>
                </c:pt>
                <c:pt idx="75">
                  <c:v>49.054402255224865</c:v>
                </c:pt>
                <c:pt idx="76">
                  <c:v>48.996357540709177</c:v>
                </c:pt>
                <c:pt idx="77">
                  <c:v>48.939296806359692</c:v>
                </c:pt>
                <c:pt idx="78">
                  <c:v>48.883224560680745</c:v>
                </c:pt>
                <c:pt idx="79">
                  <c:v>48.828144123112502</c:v>
                </c:pt>
                <c:pt idx="80">
                  <c:v>48.774057678461119</c:v>
                </c:pt>
                <c:pt idx="81">
                  <c:v>48.720966329453972</c:v>
                </c:pt>
                <c:pt idx="82">
                  <c:v>48.668870147477641</c:v>
                </c:pt>
                <c:pt idx="83">
                  <c:v>48.617768221554847</c:v>
                </c:pt>
                <c:pt idx="84">
                  <c:v>48.56765870561474</c:v>
                </c:pt>
                <c:pt idx="85">
                  <c:v>48.518538864109438</c:v>
                </c:pt>
                <c:pt idx="86">
                  <c:v>48.47040511602809</c:v>
                </c:pt>
                <c:pt idx="87">
                  <c:v>48.423253077358346</c:v>
                </c:pt>
                <c:pt idx="88">
                  <c:v>48.377077602043471</c:v>
                </c:pt>
                <c:pt idx="89">
                  <c:v>48.331872821482136</c:v>
                </c:pt>
                <c:pt idx="90">
                  <c:v>48.287632182616335</c:v>
                </c:pt>
                <c:pt idx="91">
                  <c:v>48.244348484651681</c:v>
                </c:pt>
                <c:pt idx="92">
                  <c:v>48.202013914452969</c:v>
                </c:pt>
                <c:pt idx="93">
                  <c:v>48.160620080656606</c:v>
                </c:pt>
                <c:pt idx="94">
                  <c:v>48.12015804654034</c:v>
                </c:pt>
                <c:pt idx="95">
                  <c:v>48.080618361689488</c:v>
                </c:pt>
                <c:pt idx="96">
                  <c:v>48.041991092497703</c:v>
                </c:pt>
                <c:pt idx="97">
                  <c:v>48.004265851539159</c:v>
                </c:pt>
                <c:pt idx="98">
                  <c:v>47.967431825848081</c:v>
                </c:pt>
                <c:pt idx="99">
                  <c:v>47.93147780414025</c:v>
                </c:pt>
                <c:pt idx="100">
                  <c:v>47.896392203010343</c:v>
                </c:pt>
                <c:pt idx="101">
                  <c:v>47.862163092137699</c:v>
                </c:pt>
                <c:pt idx="102">
                  <c:v>47.828778218532371</c:v>
                </c:pt>
                <c:pt idx="103">
                  <c:v>47.796225029852202</c:v>
                </c:pt>
                <c:pt idx="104">
                  <c:v>47.764490696820864</c:v>
                </c:pt>
                <c:pt idx="105">
                  <c:v>47.733562134775795</c:v>
                </c:pt>
                <c:pt idx="106">
                  <c:v>47.703426024374195</c:v>
                </c:pt>
                <c:pt idx="107">
                  <c:v>47.674068831484369</c:v>
                </c:pt>
                <c:pt idx="108">
                  <c:v>47.645476826288878</c:v>
                </c:pt>
                <c:pt idx="109">
                  <c:v>47.617636101625145</c:v>
                </c:pt>
                <c:pt idx="110">
                  <c:v>47.59053259058846</c:v>
                </c:pt>
                <c:pt idx="111">
                  <c:v>47.564152083421526</c:v>
                </c:pt>
                <c:pt idx="112">
                  <c:v>47.538480243713956</c:v>
                </c:pt>
                <c:pt idx="113">
                  <c:v>47.51350262393445</c:v>
                </c:pt>
                <c:pt idx="114">
                  <c:v>47.489204680317698</c:v>
                </c:pt>
                <c:pt idx="115">
                  <c:v>47.465571787127352</c:v>
                </c:pt>
                <c:pt idx="116">
                  <c:v>47.442589250315834</c:v>
                </c:pt>
                <c:pt idx="117">
                  <c:v>47.420242320601041</c:v>
                </c:pt>
                <c:pt idx="118">
                  <c:v>47.398516205979433</c:v>
                </c:pt>
                <c:pt idx="119">
                  <c:v>47.3773960836944</c:v>
                </c:pt>
                <c:pt idx="120">
                  <c:v>47.356867111678262</c:v>
                </c:pt>
                <c:pt idx="121">
                  <c:v>47.336914439485604</c:v>
                </c:pt>
                <c:pt idx="122">
                  <c:v>47.317523218735218</c:v>
                </c:pt>
                <c:pt idx="123">
                  <c:v>47.298678613077328</c:v>
                </c:pt>
                <c:pt idx="124">
                  <c:v>47.280365807702253</c:v>
                </c:pt>
                <c:pt idx="125">
                  <c:v>47.262570018406251</c:v>
                </c:pt>
                <c:pt idx="126">
                  <c:v>47.245276500229714</c:v>
                </c:pt>
                <c:pt idx="127">
                  <c:v>47.228470555682449</c:v>
                </c:pt>
                <c:pt idx="128">
                  <c:v>47.212137542570339</c:v>
                </c:pt>
                <c:pt idx="129">
                  <c:v>47.196262881437271</c:v>
                </c:pt>
                <c:pt idx="130">
                  <c:v>47.180832062635666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386368"/>
        <c:axId val="361389440"/>
      </c:areaChart>
      <c:catAx>
        <c:axId val="36138636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361389440"/>
        <c:crosses val="autoZero"/>
        <c:auto val="1"/>
        <c:lblAlgn val="ctr"/>
        <c:lblOffset val="100"/>
        <c:noMultiLvlLbl val="0"/>
      </c:catAx>
      <c:valAx>
        <c:axId val="3613894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61386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8.108319033774616E-3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abSelected="1" zoomScale="70" zoomScaleNormal="70" workbookViewId="0">
      <selection activeCell="C25" sqref="C25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8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27.454329418165987</v>
      </c>
      <c r="I10" s="89">
        <f ca="1">H10*1000/E10/C$8*6.02214129E+23</f>
        <v>1.7348219321571817E+19</v>
      </c>
      <c r="J10" s="80">
        <f t="shared" ref="J10:J15" ca="1" si="2">H10/(SUM(H$10:H$15))*100</f>
        <v>0.55020308807956364</v>
      </c>
      <c r="K10" s="95">
        <f ca="1">SUM(D10:D15)-SUM(H10:H15)</f>
        <v>21.122047629395638</v>
      </c>
      <c r="O10" s="6" t="s">
        <v>120</v>
      </c>
      <c r="P10" s="6">
        <f>P$9</f>
        <v>14</v>
      </c>
    </row>
    <row r="11" spans="1:16" ht="15">
      <c r="A11" s="109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>
        <f t="shared" ca="1" si="1"/>
        <v>3395.0329421972142</v>
      </c>
      <c r="I11" s="89">
        <f t="shared" ref="I11:I17" ca="1" si="4">H11*1000/E11/C$8*6.02214129E+23</f>
        <v>2.1363239648763228E+21</v>
      </c>
      <c r="J11" s="80">
        <f t="shared" ca="1" si="2"/>
        <v>68.038726441912772</v>
      </c>
      <c r="O11" s="6" t="s">
        <v>121</v>
      </c>
      <c r="P11" s="6">
        <f t="shared" ref="P11:P17" si="5">P$9</f>
        <v>14</v>
      </c>
    </row>
    <row r="12" spans="1:16" ht="15">
      <c r="A12" s="109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>
        <f t="shared" ca="1" si="1"/>
        <v>1208.9466367187501</v>
      </c>
      <c r="I12" s="89">
        <f t="shared" ca="1" si="4"/>
        <v>7.5755978192263014E+20</v>
      </c>
      <c r="J12" s="80">
        <f t="shared" ca="1" si="2"/>
        <v>24.228097605834488</v>
      </c>
      <c r="O12" s="6" t="s">
        <v>122</v>
      </c>
      <c r="P12" s="6">
        <f t="shared" si="5"/>
        <v>14</v>
      </c>
    </row>
    <row r="13" spans="1:16" ht="15">
      <c r="A13" s="109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218.06906039291806</v>
      </c>
      <c r="I13" s="89">
        <f t="shared" ca="1" si="4"/>
        <v>1.3608116868733434E+20</v>
      </c>
      <c r="J13" s="80">
        <f t="shared" ca="1" si="2"/>
        <v>4.3702495375247628</v>
      </c>
      <c r="O13" s="6" t="s">
        <v>123</v>
      </c>
      <c r="P13" s="6">
        <f t="shared" si="5"/>
        <v>14</v>
      </c>
    </row>
    <row r="14" spans="1:16" ht="15">
      <c r="A14" s="109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87.523474487440652</v>
      </c>
      <c r="I14" s="89">
        <f t="shared" ca="1" si="4"/>
        <v>5.4391395883518648E+19</v>
      </c>
      <c r="J14" s="80">
        <f t="shared" ca="1" si="2"/>
        <v>1.7540288531170276</v>
      </c>
      <c r="O14" s="6" t="s">
        <v>124</v>
      </c>
      <c r="P14" s="6">
        <f t="shared" si="5"/>
        <v>14</v>
      </c>
    </row>
    <row r="15" spans="1:16" ht="15">
      <c r="A15" s="109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52.82730587895086</v>
      </c>
      <c r="I15" s="89">
        <f t="shared" ca="1" si="4"/>
        <v>3.2965710539854201E+19</v>
      </c>
      <c r="J15" s="80">
        <f t="shared" ca="1" si="2"/>
        <v>1.0586944735313848</v>
      </c>
      <c r="O15" s="6" t="s">
        <v>125</v>
      </c>
      <c r="P15" s="6">
        <f t="shared" si="5"/>
        <v>14</v>
      </c>
    </row>
    <row r="16" spans="1:16" ht="15">
      <c r="A16" s="109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110.01888914088025</v>
      </c>
      <c r="I16" s="89">
        <f t="shared" ca="1" si="4"/>
        <v>7.0407741579260994E+19</v>
      </c>
      <c r="O16" s="6" t="s">
        <v>128</v>
      </c>
      <c r="P16" s="6">
        <f t="shared" si="5"/>
        <v>14</v>
      </c>
    </row>
    <row r="17" spans="1:16" ht="15">
      <c r="A17" s="109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25775.703342316305</v>
      </c>
      <c r="I17" s="89">
        <f t="shared" ca="1" si="4"/>
        <v>1.628750598637446E+22</v>
      </c>
      <c r="O17" s="6" t="s">
        <v>129</v>
      </c>
      <c r="P17" s="6">
        <f t="shared" si="5"/>
        <v>14</v>
      </c>
    </row>
    <row r="18" spans="1:16" ht="15">
      <c r="A18" s="109"/>
      <c r="B18" s="45" t="s">
        <v>53</v>
      </c>
      <c r="C18" s="91">
        <f>SUM(K44:K51)</f>
        <v>5.5321754341282909E-3</v>
      </c>
      <c r="D18" s="11"/>
      <c r="E18" s="11"/>
      <c r="F18" s="11"/>
      <c r="G18" s="11">
        <f ca="1">H18/C18</f>
        <v>0.97344710731850248</v>
      </c>
      <c r="H18" s="92">
        <f ca="1">SUMPRODUCT(I10:I17,G44:G51)*1E-24</f>
        <v>5.3852801735306656E-3</v>
      </c>
    </row>
    <row r="19" spans="1:16" ht="15">
      <c r="A19" s="109"/>
      <c r="B19" s="45" t="s">
        <v>130</v>
      </c>
      <c r="C19" s="91">
        <f>SUM(L44:L51)</f>
        <v>1.1501445805447414E-2</v>
      </c>
      <c r="D19" s="11"/>
      <c r="E19" s="11"/>
      <c r="F19" s="11"/>
      <c r="G19" s="11">
        <f t="shared" ref="G19:G21" ca="1" si="6">H19/C19</f>
        <v>0.97415376349562122</v>
      </c>
      <c r="H19" s="92">
        <f ca="1">SUMPRODUCT(I10:I17,I44:I51)*1E-24</f>
        <v>1.1204176717017525E-2</v>
      </c>
    </row>
    <row r="20" spans="1:16" ht="15">
      <c r="A20" s="109"/>
      <c r="B20" s="98" t="s">
        <v>142</v>
      </c>
      <c r="C20" s="91">
        <f>C19-C18</f>
        <v>5.9692703713191235E-3</v>
      </c>
      <c r="D20" s="11"/>
      <c r="E20" s="11"/>
      <c r="F20" s="11"/>
      <c r="G20" s="11">
        <f t="shared" ca="1" si="6"/>
        <v>0.97480867535255677</v>
      </c>
      <c r="H20" s="92">
        <f ca="1">H19-H18</f>
        <v>5.8188965434868593E-3</v>
      </c>
    </row>
    <row r="21" spans="1:16" ht="15">
      <c r="A21" s="109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0.97453673637919369</v>
      </c>
      <c r="H21" s="92">
        <f ca="1">SUMPRODUCT(I10:I17,J44:J51)*1E-24</f>
        <v>1.575109992430981E-2</v>
      </c>
      <c r="J21" s="7"/>
    </row>
    <row r="22" spans="1:16" ht="15">
      <c r="A22" s="110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>
        <f ca="1">H21/H19</f>
        <v>1.4058239460277493</v>
      </c>
      <c r="I22" s="90">
        <f ca="1">(H22-C22)/(C22*H22)</f>
        <v>2.7964662065077658E-4</v>
      </c>
      <c r="J22" s="7"/>
    </row>
    <row r="23" spans="1:16" ht="15" customHeight="1">
      <c r="A23" s="107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7"/>
      <c r="B24" s="45" t="s">
        <v>58</v>
      </c>
      <c r="C24" s="76">
        <v>75</v>
      </c>
      <c r="I24" s="7"/>
    </row>
    <row r="25" spans="1:16" ht="15.75" customHeight="1" thickBot="1">
      <c r="A25" s="107"/>
      <c r="B25" s="45" t="s">
        <v>71</v>
      </c>
      <c r="C25" s="46">
        <f>C24/100*C23</f>
        <v>2250</v>
      </c>
      <c r="E25" s="9" t="s">
        <v>57</v>
      </c>
      <c r="G25" s="104" t="s">
        <v>141</v>
      </c>
      <c r="H25" s="105"/>
      <c r="I25" s="105"/>
      <c r="J25" s="106" t="s">
        <v>144</v>
      </c>
      <c r="K25" s="106"/>
    </row>
    <row r="26" spans="1:16" ht="15.75" thickBot="1">
      <c r="A26" s="107"/>
      <c r="B26" s="45" t="s">
        <v>46</v>
      </c>
      <c r="C26" s="76">
        <f>365*20</f>
        <v>7300</v>
      </c>
      <c r="E26" s="9" t="s">
        <v>49</v>
      </c>
      <c r="H26" s="103" t="s">
        <v>145</v>
      </c>
      <c r="I26" s="103" t="s">
        <v>146</v>
      </c>
      <c r="L26" s="96"/>
    </row>
    <row r="27" spans="1:16" ht="15.75" thickBot="1">
      <c r="A27" s="107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07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07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07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07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07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07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07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1" t="s">
        <v>143</v>
      </c>
      <c r="H36" s="102">
        <f>[1]Dragon_vs_RK1!$AJ$43</f>
        <v>8.108319033774616E-3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J2" sqref="J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-(Données!I$44*1E-24*H2+Données!F$44)*I2+(Données!H$50*1E-24*H2)*W2+0.71*(Données!H$49*1E-24*H2)*S2</f>
        <v>3.1105945627482547E-7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19.859172278637015</v>
      </c>
      <c r="J3" s="21">
        <f>-(Données!I$44*1E-24*H3+Données!F$44)*I3+(Données!H$50*1E-24*H3)*W3+0.71*(Données!H$49*1E-24*H3)*S3</f>
        <v>3.0245261261028471E-7</v>
      </c>
      <c r="K3" s="42">
        <f>K2+L2*D$5</f>
        <v>3456.2842968609007</v>
      </c>
      <c r="L3" s="23">
        <f>-(Données!I$45*1E-24*H3+Données!F$45)*K3+(I3*Données!H$44*1E-24*H3)+(Données!H$51*1E-24*H3)*Y3</f>
        <v>-2.0344968443976156E-6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5009.5696230415724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20.654017744576844</v>
      </c>
      <c r="J4" s="21">
        <f>-(Données!I$44*1E-24*H4+Données!F$44)*I4+(Données!H$50*1E-24*H4)*W4+0.71*(Données!H$49*1E-24*H4)*S4</f>
        <v>2.9401663933704311E-7</v>
      </c>
      <c r="K4" s="42">
        <f t="shared" ref="K4:K18" si="7">K3+L3*D$5</f>
        <v>3450.9376391538235</v>
      </c>
      <c r="L4" s="23">
        <f>-(Données!I$45*1E-24*H4+Données!F$45)*K4+(I4*Données!H$44*1E-24*H4)+(Données!H$51*1E-24*H4)*Y4</f>
        <v>-2.0526447646744176E-6</v>
      </c>
      <c r="M4" s="40">
        <f t="shared" ref="M4:M18" si="8">M3+N3*D$5</f>
        <v>1164.1361849056666</v>
      </c>
      <c r="N4" s="21">
        <f>-(Données!I$46*1E-24*H4+Données!F$46)*M4+Données!H$45*1E-24*H4*K4</f>
        <v>1.7968278043228368E-6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5008.0983459541303</v>
      </c>
      <c r="V4" s="19"/>
      <c r="W4" s="40">
        <f t="shared" si="3"/>
        <v>133.66422869958748</v>
      </c>
      <c r="X4" s="21">
        <f>-(Données!I$50*1E-24*H4+Données!F$50)*W4+Données!F$45*K4</f>
        <v>-9.8085909534440588E-7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21.426693472754593</v>
      </c>
      <c r="J5" s="21">
        <f>-(Données!I$44*1E-24*H5+Données!F$44)*I5+(Données!H$50*1E-24*H5)*W5+0.71*(Données!H$49*1E-24*H5)*S5</f>
        <v>2.8574931360800048E-7</v>
      </c>
      <c r="K5" s="42">
        <f t="shared" si="7"/>
        <v>3445.5432887122593</v>
      </c>
      <c r="L5" s="23">
        <f>-(Données!I$45*1E-24*H5+Données!F$45)*K5+(I5*Données!H$44*1E-24*H5)+(Données!H$51*1E-24*H5)*Y5</f>
        <v>-2.0703509880079437E-6</v>
      </c>
      <c r="M5" s="40">
        <f t="shared" si="8"/>
        <v>1168.8582483754269</v>
      </c>
      <c r="N5" s="21">
        <f>-(Données!I$46*1E-24*H5+Données!F$46)*M5+Données!H$45*1E-24*H5*K5</f>
        <v>1.7762285103058381E-6</v>
      </c>
      <c r="O5" s="42">
        <f t="shared" si="9"/>
        <v>234.65876875573559</v>
      </c>
      <c r="P5" s="23">
        <f>-(Données!I$47*1E-24*H5+Données!F$47)*O5+(Données!H$46*1E-24*H5)*M5</f>
        <v>-8.1005124070489386E-7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5006.5621492794935</v>
      </c>
      <c r="V5" s="19"/>
      <c r="W5" s="40">
        <f t="shared" si="3"/>
        <v>131.08653099702238</v>
      </c>
      <c r="X5" s="21">
        <f>-(Données!I$50*1E-24*H5+Données!F$50)*W5+Données!F$45*K5</f>
        <v>-9.6188759952817107E-7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26512.625780562437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22.17764266891642</v>
      </c>
      <c r="J6" s="21">
        <f>-(Données!I$44*1E-24*H6+Données!F$44)*I6+(Données!H$50*1E-24*H6)*W6+0.71*(Données!H$49*1E-24*H6)*S6</f>
        <v>2.7764840649423964E-7</v>
      </c>
      <c r="K6" s="42">
        <f t="shared" si="7"/>
        <v>3440.1024063157743</v>
      </c>
      <c r="L6" s="23">
        <f>-(Données!I$45*1E-24*H6+Données!F$45)*K6+(I6*Données!H$44*1E-24*H6)+(Données!H$51*1E-24*H6)*Y6</f>
        <v>-2.0876232474132279E-6</v>
      </c>
      <c r="M6" s="40">
        <f t="shared" si="8"/>
        <v>1173.5261769005106</v>
      </c>
      <c r="N6" s="21">
        <f>-(Données!I$46*1E-24*H6+Données!F$46)*M6+Données!H$45*1E-24*H6*K6</f>
        <v>1.7557095210301392E-6</v>
      </c>
      <c r="O6" s="42">
        <f t="shared" si="9"/>
        <v>232.52995409516313</v>
      </c>
      <c r="P6" s="23">
        <f>-(Données!I$47*1E-24*H6+Données!F$47)*O6+(Données!H$46*1E-24*H6)*M6</f>
        <v>-7.8090849636204445E-7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1.74532084623812E-7</v>
      </c>
      <c r="S6" s="42">
        <f t="shared" si="11"/>
        <v>52.501320693656758</v>
      </c>
      <c r="T6" s="22">
        <f>-(Données!I$49*1E-24*H6+Données!F$49)*S6+Données!F$47*O6</f>
        <v>2.6923307544832408E-8</v>
      </c>
      <c r="U6" s="28">
        <f t="shared" si="2"/>
        <v>5004.961235139871</v>
      </c>
      <c r="V6" s="19"/>
      <c r="W6" s="40">
        <f t="shared" si="3"/>
        <v>128.55869038546234</v>
      </c>
      <c r="X6" s="21">
        <f>-(Données!I$50*1E-24*H6+Données!F$50)*W6+Données!F$45*K6</f>
        <v>-9.4328318248944509E-7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26442.085692467048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22.907302681183282</v>
      </c>
      <c r="J7" s="21">
        <f>-(Données!I$44*1E-24*H7+Données!F$44)*I7+(Données!H$50*1E-24*H7)*W7+0.71*(Données!H$49*1E-24*H7)*S7</f>
        <v>2.6971168471827385E-7</v>
      </c>
      <c r="K7" s="42">
        <f t="shared" si="7"/>
        <v>3434.6161324215723</v>
      </c>
      <c r="L7" s="23">
        <f>-(Données!I$45*1E-24*H7+Données!F$45)*K7+(I7*Données!H$44*1E-24*H7)+(Données!H$51*1E-24*H7)*Y7</f>
        <v>-2.1044691431518632E-6</v>
      </c>
      <c r="M7" s="40">
        <f t="shared" si="8"/>
        <v>1178.1401815217778</v>
      </c>
      <c r="N7" s="21">
        <f>-(Données!I$46*1E-24*H7+Données!F$46)*M7+Données!H$45*1E-24*H7*K7</f>
        <v>1.7352719026342367E-6</v>
      </c>
      <c r="O7" s="42">
        <f t="shared" si="9"/>
        <v>230.47772656672367</v>
      </c>
      <c r="P7" s="23">
        <f>-(Données!I$47*1E-24*H7+Données!F$47)*O7+(Données!H$46*1E-24*H7)*M7</f>
        <v>-7.5265150043461922E-7</v>
      </c>
      <c r="Q7" s="40">
        <f t="shared" si="10"/>
        <v>84.582404784241191</v>
      </c>
      <c r="R7" s="43">
        <f>-(Données!I$48*1E-24*H7+Données!F$48)*Q7+Données!H$47*1E-24*H7*O7+(Données!I$49*1E-24*H7*S7)*0.85*0.16</f>
        <v>1.7063602058573637E-7</v>
      </c>
      <c r="S7" s="42">
        <f t="shared" si="11"/>
        <v>52.572075145884575</v>
      </c>
      <c r="T7" s="22">
        <f>-(Données!I$49*1E-24*H7+Données!F$49)*S7+Données!F$47*O7</f>
        <v>2.3329932927631576E-8</v>
      </c>
      <c r="U7" s="28">
        <f t="shared" si="2"/>
        <v>5003.2958231213834</v>
      </c>
      <c r="V7" s="19"/>
      <c r="W7" s="40">
        <f t="shared" si="3"/>
        <v>126.07974218188008</v>
      </c>
      <c r="X7" s="21">
        <f>-(Données!I$50*1E-24*H7+Données!F$50)*W7+Données!F$45*K7</f>
        <v>-9.2503874141551462E-7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26371.769834107268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23.616104988622904</v>
      </c>
      <c r="J8" s="21">
        <f>-(Données!I$44*1E-24*H8+Données!F$44)*I8+(Données!H$50*1E-24*H8)*W8+0.71*(Données!H$49*1E-24*H8)*S8</f>
        <v>2.6193691230605624E-7</v>
      </c>
      <c r="K8" s="42">
        <f t="shared" si="7"/>
        <v>3429.0855875133693</v>
      </c>
      <c r="L8" s="23">
        <f>-(Données!I$45*1E-24*H8+Données!F$45)*K8+(I8*Données!H$44*1E-24*H8)+(Données!H$51*1E-24*H8)*Y8</f>
        <v>-2.1208961451718225E-6</v>
      </c>
      <c r="M8" s="40">
        <f t="shared" si="8"/>
        <v>1182.7004760819007</v>
      </c>
      <c r="N8" s="21">
        <f>-(Données!I$46*1E-24*H8+Données!F$46)*M8+Données!H$45*1E-24*H8*K8</f>
        <v>1.7149166849135321E-6</v>
      </c>
      <c r="O8" s="42">
        <f t="shared" si="9"/>
        <v>228.49975842358148</v>
      </c>
      <c r="P8" s="23">
        <f>-(Données!I$47*1E-24*H8+Données!F$47)*O8+(Données!H$46*1E-24*H8)*M8</f>
        <v>-7.2525536569143135E-7</v>
      </c>
      <c r="Q8" s="40">
        <f t="shared" si="10"/>
        <v>85.030836246340513</v>
      </c>
      <c r="R8" s="43">
        <f>-(Données!I$48*1E-24*H8+Données!F$48)*Q8+Données!H$47*1E-24*H8*O8+(Données!I$49*1E-24*H8*S8)*0.85*0.16</f>
        <v>1.6686023479892164E-7</v>
      </c>
      <c r="S8" s="42">
        <f t="shared" si="11"/>
        <v>52.633386209618394</v>
      </c>
      <c r="T8" s="22">
        <f>-(Données!I$49*1E-24*H8+Données!F$49)*S8+Données!F$47*O8</f>
        <v>1.9909829702535307E-8</v>
      </c>
      <c r="U8" s="28">
        <f t="shared" si="2"/>
        <v>5001.5661494634323</v>
      </c>
      <c r="V8" s="19"/>
      <c r="W8" s="40">
        <f t="shared" si="3"/>
        <v>123.64874036944011</v>
      </c>
      <c r="X8" s="21">
        <f>-(Données!I$50*1E-24*H8+Données!F$50)*W8+Données!F$45*K8</f>
        <v>-9.071473109280571E-7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26301.676807440679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24.304475194163221</v>
      </c>
      <c r="J9" s="21">
        <f>-(Données!I$44*1E-24*H9+Données!F$44)*I9+(Données!H$50*1E-24*H9)*W9+0.71*(Données!H$49*1E-24*H9)*S9</f>
        <v>2.5432185216067454E-7</v>
      </c>
      <c r="K9" s="42">
        <f t="shared" si="7"/>
        <v>3423.5118724438576</v>
      </c>
      <c r="L9" s="23">
        <f>-(Données!I$45*1E-24*H9+Données!F$45)*K9+(I9*Données!H$44*1E-24*H9)+(Données!H$51*1E-24*H9)*Y9</f>
        <v>-2.1369115954959866E-6</v>
      </c>
      <c r="M9" s="40">
        <f t="shared" si="8"/>
        <v>1187.2072771298533</v>
      </c>
      <c r="N9" s="21">
        <f>-(Données!I$46*1E-24*H9+Données!F$46)*M9+Données!H$45*1E-24*H9*K9</f>
        <v>1.6946448620725566E-6</v>
      </c>
      <c r="O9" s="42">
        <f t="shared" si="9"/>
        <v>226.59378732254442</v>
      </c>
      <c r="P9" s="23">
        <f>-(Données!I$47*1E-24*H9+Données!F$47)*O9+(Données!H$46*1E-24*H9)*M9</f>
        <v>-6.9869589173129309E-7</v>
      </c>
      <c r="Q9" s="40">
        <f t="shared" si="10"/>
        <v>85.469344943392073</v>
      </c>
      <c r="R9" s="43">
        <f>-(Données!I$48*1E-24*H9+Données!F$48)*Q9+Données!H$47*1E-24*H9*O9+(Données!I$49*1E-24*H9*S9)*0.85*0.16</f>
        <v>1.632011953112868E-7</v>
      </c>
      <c r="S9" s="42">
        <f t="shared" si="11"/>
        <v>52.685709242076655</v>
      </c>
      <c r="T9" s="22">
        <f>-(Données!I$49*1E-24*H9+Données!F$49)*S9+Données!F$47*O9</f>
        <v>1.6656665695822866E-8</v>
      </c>
      <c r="U9" s="28">
        <f t="shared" si="2"/>
        <v>4999.7724662758874</v>
      </c>
      <c r="V9" s="19"/>
      <c r="W9" s="40">
        <f t="shared" si="3"/>
        <v>121.26475723632117</v>
      </c>
      <c r="X9" s="21">
        <f>-(Données!I$50*1E-24*H9+Données!F$50)*W9+Données!F$45*K9</f>
        <v>-8.8960206042392102E-7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26231.805233895244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24.972833021641474</v>
      </c>
      <c r="J10" s="21">
        <f>-(Données!I$44*1E-24*H10+Données!F$44)*I10+(Données!H$50*1E-24*H10)*W10+0.71*(Données!H$49*1E-24*H10)*S10</f>
        <v>2.4686426756055613E-7</v>
      </c>
      <c r="K10" s="42">
        <f t="shared" si="7"/>
        <v>3417.8960687708941</v>
      </c>
      <c r="L10" s="23">
        <f>-(Données!I$45*1E-24*H10+Données!F$45)*K10+(I10*Données!H$44*1E-24*H10)+(Données!H$51*1E-24*H10)*Y10</f>
        <v>-2.1525227105607067E-6</v>
      </c>
      <c r="M10" s="40">
        <f t="shared" si="8"/>
        <v>1191.6608038273801</v>
      </c>
      <c r="N10" s="21">
        <f>-(Données!I$46*1E-24*H10+Données!F$46)*M10+Données!H$45*1E-24*H10*K10</f>
        <v>1.6744573934628084E-6</v>
      </c>
      <c r="O10" s="42">
        <f t="shared" si="9"/>
        <v>224.75761451907456</v>
      </c>
      <c r="P10" s="23">
        <f>-(Données!I$47*1E-24*H10+Données!F$47)*O10+(Données!H$46*1E-24*H10)*M10</f>
        <v>-6.7294954605499139E-7</v>
      </c>
      <c r="Q10" s="40">
        <f t="shared" si="10"/>
        <v>85.898237684670136</v>
      </c>
      <c r="R10" s="43">
        <f>-(Données!I$48*1E-24*H10+Données!F$48)*Q10+Données!H$47*1E-24*H10*O10+(Données!I$49*1E-24*H10*S10)*0.85*0.16</f>
        <v>1.5965546713186475E-7</v>
      </c>
      <c r="S10" s="42">
        <f t="shared" si="11"/>
        <v>52.729482959525278</v>
      </c>
      <c r="T10" s="22">
        <f>-(Données!I$49*1E-24*H10+Données!F$49)*S10+Données!F$47*O10</f>
        <v>1.3564310869223451E-8</v>
      </c>
      <c r="U10" s="28">
        <f t="shared" si="2"/>
        <v>4997.9150407831848</v>
      </c>
      <c r="V10" s="19"/>
      <c r="W10" s="40">
        <f t="shared" si="3"/>
        <v>118.9268830215271</v>
      </c>
      <c r="X10" s="21">
        <f>-(Données!I$50*1E-24*H10+Données!F$50)*W10+Données!F$45*K10</f>
        <v>-8.7239629146736207E-7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26162.153754012139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25.621592316790615</v>
      </c>
      <c r="J11" s="21">
        <f>-(Données!I$44*1E-24*H11+Données!F$44)*I11+(Données!H$50*1E-24*H11)*W11+0.71*(Données!H$49*1E-24*H11)*S11</f>
        <v>2.395619235849196E-7</v>
      </c>
      <c r="K11" s="42">
        <f t="shared" si="7"/>
        <v>3412.2392390875407</v>
      </c>
      <c r="L11" s="23">
        <f>-(Données!I$45*1E-24*H11+Données!F$45)*K11+(I11*Données!H$44*1E-24*H11)+(Données!H$51*1E-24*H11)*Y11</f>
        <v>-2.1677365835055591E-6</v>
      </c>
      <c r="M11" s="40">
        <f t="shared" si="8"/>
        <v>1196.0612778574002</v>
      </c>
      <c r="N11" s="21">
        <f>-(Données!I$46*1E-24*H11+Données!F$46)*M11+Données!H$45*1E-24*H11*K11</f>
        <v>1.6543552043064653E-6</v>
      </c>
      <c r="O11" s="42">
        <f t="shared" si="9"/>
        <v>222.98910311204205</v>
      </c>
      <c r="P11" s="23">
        <f>-(Données!I$47*1E-24*H11+Données!F$47)*O11+(Données!H$46*1E-24*H11)*M11</f>
        <v>-6.4799344565980333E-7</v>
      </c>
      <c r="Q11" s="40">
        <f t="shared" si="10"/>
        <v>86.317812252292683</v>
      </c>
      <c r="R11" s="43">
        <f>-(Données!I$48*1E-24*H11+Données!F$48)*Q11+Données!H$47*1E-24*H11*O11+(Données!I$49*1E-24*H11*S11)*0.85*0.16</f>
        <v>1.5621970961894077E-7</v>
      </c>
      <c r="S11" s="42">
        <f t="shared" si="11"/>
        <v>52.765129968489596</v>
      </c>
      <c r="T11" s="22">
        <f>-(Données!I$49*1E-24*H11+Données!F$49)*S11+Données!F$47*O11</f>
        <v>1.0626831289221123E-8</v>
      </c>
      <c r="U11" s="28">
        <f t="shared" si="2"/>
        <v>4995.9941545945558</v>
      </c>
      <c r="V11" s="19"/>
      <c r="W11" s="40">
        <f t="shared" si="3"/>
        <v>116.63422556755087</v>
      </c>
      <c r="X11" s="21">
        <f>-(Données!I$50*1E-24*H11+Données!F$50)*W11+Données!F$45*K11</f>
        <v>-8.555234352327349E-7</v>
      </c>
      <c r="Y11" s="42">
        <f t="shared" si="4"/>
        <v>25976.086801527854</v>
      </c>
      <c r="Z11" s="23">
        <f>-(Données!I$51*1E-24*H11+Données!F$51)*Y11+Données!F$48*Q11</f>
        <v>-2.5482108310225386E-5</v>
      </c>
      <c r="AA11" s="15">
        <f t="shared" si="5"/>
        <v>26092.721027095406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26.251161051971785</v>
      </c>
      <c r="J12" s="21">
        <f>-(Données!I$44*1E-24*H12+Données!F$44)*I12+(Données!H$50*1E-24*H12)*W12+0.71*(Données!H$49*1E-24*H12)*S12</f>
        <v>2.324125884691199E-7</v>
      </c>
      <c r="K12" s="42">
        <f t="shared" si="7"/>
        <v>3406.5424273460881</v>
      </c>
      <c r="L12" s="23">
        <f>-(Données!I$45*1E-24*H12+Données!F$45)*K12+(I12*Données!H$44*1E-24*H12)+(Données!H$51*1E-24*H12)*Y12</f>
        <v>-2.182560186415525E-6</v>
      </c>
      <c r="M12" s="40">
        <f t="shared" si="8"/>
        <v>1200.4089233343177</v>
      </c>
      <c r="N12" s="21">
        <f>-(Données!I$46*1E-24*H12+Données!F$46)*M12+Données!H$45*1E-24*H12*K12</f>
        <v>1.6343391864062787E-6</v>
      </c>
      <c r="O12" s="42">
        <f t="shared" si="9"/>
        <v>221.28617633684809</v>
      </c>
      <c r="P12" s="23">
        <f>-(Données!I$47*1E-24*H12+Données!F$47)*O12+(Données!H$46*1E-24*H12)*M12</f>
        <v>-6.2380533914209788E-7</v>
      </c>
      <c r="Q12" s="40">
        <f t="shared" si="10"/>
        <v>86.728357649171258</v>
      </c>
      <c r="R12" s="43">
        <f>-(Données!I$48*1E-24*H12+Données!F$48)*Q12+Données!H$47*1E-24*H12*O12+(Données!I$49*1E-24*H12*S12)*0.85*0.16</f>
        <v>1.5289067393877196E-7</v>
      </c>
      <c r="S12" s="42">
        <f t="shared" si="11"/>
        <v>52.793057281117669</v>
      </c>
      <c r="T12" s="22">
        <f>-(Données!I$49*1E-24*H12+Données!F$49)*S12+Données!F$47*O12</f>
        <v>7.8384832701502519E-9</v>
      </c>
      <c r="U12" s="28">
        <f t="shared" si="2"/>
        <v>4994.0101029995139</v>
      </c>
      <c r="V12" s="19"/>
      <c r="W12" s="40">
        <f t="shared" si="3"/>
        <v>114.38590997975925</v>
      </c>
      <c r="X12" s="21">
        <f>-(Données!I$50*1E-24*H12+Données!F$50)*W12+Données!F$45*K12</f>
        <v>-8.3897704999666672E-7</v>
      </c>
      <c r="Y12" s="42">
        <f t="shared" si="4"/>
        <v>25909.11982088858</v>
      </c>
      <c r="Z12" s="23">
        <f>-(Données!I$51*1E-24*H12+Données!F$51)*Y12+Données!F$48*Q12</f>
        <v>-2.5416414780989735E-5</v>
      </c>
      <c r="AA12" s="15">
        <f t="shared" si="5"/>
        <v>26023.505730868339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26.861941334468632</v>
      </c>
      <c r="J13" s="21">
        <f>-(Données!I$44*1E-24*H13+Données!F$44)*I13+(Données!H$50*1E-24*H13)*W13+0.71*(Données!H$49*1E-24*H13)*S13</f>
        <v>2.254140348924486E-7</v>
      </c>
      <c r="K13" s="42">
        <f t="shared" si="7"/>
        <v>3400.8066591761881</v>
      </c>
      <c r="L13" s="23">
        <f>-(Données!I$45*1E-24*H13+Données!F$45)*K13+(I13*Données!H$44*1E-24*H13)+(Données!H$51*1E-24*H13)*Y13</f>
        <v>-2.1970003725167616E-6</v>
      </c>
      <c r="M13" s="40">
        <f t="shared" si="8"/>
        <v>1204.7039667161935</v>
      </c>
      <c r="N13" s="21">
        <f>-(Données!I$46*1E-24*H13+Données!F$46)*M13+Données!H$45*1E-24*H13*K13</f>
        <v>1.6144101988419204E-6</v>
      </c>
      <c r="O13" s="42">
        <f t="shared" si="9"/>
        <v>219.64681590558266</v>
      </c>
      <c r="P13" s="23">
        <f>-(Données!I$47*1E-24*H13+Données!F$47)*O13+(Données!H$46*1E-24*H13)*M13</f>
        <v>-6.0036358929398751E-7</v>
      </c>
      <c r="Q13" s="40">
        <f t="shared" si="10"/>
        <v>87.130154340282346</v>
      </c>
      <c r="R13" s="43">
        <f>-(Données!I$48*1E-24*H13+Données!F$48)*Q13+Données!H$47*1E-24*H13*O13+(Données!I$49*1E-24*H13*S13)*0.85*0.16</f>
        <v>1.4966520059296372E-7</v>
      </c>
      <c r="S13" s="42">
        <f t="shared" si="11"/>
        <v>52.813656815151624</v>
      </c>
      <c r="T13" s="22">
        <f>-(Données!I$49*1E-24*H13+Données!F$49)*S13+Données!F$47*O13</f>
        <v>5.1937076861635592E-9</v>
      </c>
      <c r="U13" s="28">
        <f t="shared" si="2"/>
        <v>4991.9631942878668</v>
      </c>
      <c r="V13" s="19"/>
      <c r="W13" s="40">
        <f t="shared" si="3"/>
        <v>112.18107829236801</v>
      </c>
      <c r="X13" s="21">
        <f>-(Données!I$50*1E-24*H13+Données!F$50)*W13+Données!F$45*K13</f>
        <v>-8.2275081867875406E-7</v>
      </c>
      <c r="Y13" s="42">
        <f t="shared" si="4"/>
        <v>25842.325482844139</v>
      </c>
      <c r="Z13" s="23">
        <f>-(Données!I$51*1E-24*H13+Données!F$51)*Y13+Données!F$48*Q13</f>
        <v>-2.5350890611809256E-5</v>
      </c>
      <c r="AA13" s="15">
        <f t="shared" si="5"/>
        <v>25954.506561136506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27.454329418165987</v>
      </c>
      <c r="J14" s="21">
        <f>-(Données!I$44*1E-24*H14+Données!F$44)*I14+(Données!H$50*1E-24*H14)*W14+0.71*(Données!H$49*1E-24*H14)*S14</f>
        <v>2.18564041200867E-7</v>
      </c>
      <c r="K14" s="42">
        <f t="shared" si="7"/>
        <v>3395.0329421972142</v>
      </c>
      <c r="L14" s="23">
        <f>-(Données!I$45*1E-24*H14+Données!F$45)*K14+(I14*Données!H$44*1E-24*H14)+(Données!H$51*1E-24*H14)*Y14</f>
        <v>-2.2110638783270118E-6</v>
      </c>
      <c r="M14" s="40">
        <f t="shared" si="8"/>
        <v>1208.9466367187501</v>
      </c>
      <c r="N14" s="21">
        <f>-(Données!I$46*1E-24*H14+Données!F$46)*M14+Données!H$45*1E-24*H14*K14</f>
        <v>1.5945690686530492E-6</v>
      </c>
      <c r="O14" s="42">
        <f t="shared" si="9"/>
        <v>218.06906039291806</v>
      </c>
      <c r="P14" s="23">
        <f>-(Données!I$47*1E-24*H14+Données!F$47)*O14+(Données!H$46*1E-24*H14)*M14</f>
        <v>-5.7764715618035358E-7</v>
      </c>
      <c r="Q14" s="40">
        <f t="shared" si="10"/>
        <v>87.523474487440652</v>
      </c>
      <c r="R14" s="43">
        <f>-(Données!I$48*1E-24*H14+Données!F$48)*Q14+Données!H$47*1E-24*H14*O14+(Données!I$49*1E-24*H14*S14)*0.85*0.16</f>
        <v>1.4654021701263507E-7</v>
      </c>
      <c r="S14" s="42">
        <f t="shared" si="11"/>
        <v>52.82730587895086</v>
      </c>
      <c r="T14" s="22">
        <f>-(Données!I$49*1E-24*H14+Données!F$49)*S14+Données!F$47*O14</f>
        <v>2.6871244472928234E-9</v>
      </c>
      <c r="U14" s="28">
        <f t="shared" si="2"/>
        <v>4989.8537490934395</v>
      </c>
      <c r="V14" s="19"/>
      <c r="W14" s="40">
        <f t="shared" si="3"/>
        <v>110.01888914088025</v>
      </c>
      <c r="X14" s="21">
        <f>-(Données!I$50*1E-24*H14+Données!F$50)*W14+Données!F$45*K14</f>
        <v>-8.0683854642984477E-7</v>
      </c>
      <c r="Y14" s="42">
        <f t="shared" si="4"/>
        <v>25775.703342316305</v>
      </c>
      <c r="Z14" s="23">
        <f>-(Données!I$51*1E-24*H14+Données!F$51)*Y14+Données!F$48*Q14</f>
        <v>-2.5285535366053592E-5</v>
      </c>
      <c r="AA14" s="15">
        <f t="shared" si="5"/>
        <v>25885.722231457185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28.028715718441866</v>
      </c>
      <c r="J15" s="21">
        <f>-(Données!I$44*1E-24*H15+Données!F$44)*I15+(Données!H$50*1E-24*H15)*W15+0.71*(Données!H$49*1E-24*H15)*S15</f>
        <v>2.1186039256707091E-7</v>
      </c>
      <c r="K15" s="42">
        <f t="shared" si="7"/>
        <v>3389.2222663249709</v>
      </c>
      <c r="L15" s="23">
        <f>-(Données!I$45*1E-24*H15+Données!F$45)*K15+(I15*Données!H$44*1E-24*H15)+(Données!H$51*1E-24*H15)*Y15</f>
        <v>-2.224757325761826E-6</v>
      </c>
      <c r="M15" s="40">
        <f t="shared" si="8"/>
        <v>1213.1371642311703</v>
      </c>
      <c r="N15" s="21">
        <f>-(Données!I$46*1E-24*H15+Données!F$46)*M15+Données!H$45*1E-24*H15*K15</f>
        <v>1.5748165915093729E-6</v>
      </c>
      <c r="O15" s="42">
        <f t="shared" si="9"/>
        <v>216.55100366647611</v>
      </c>
      <c r="P15" s="23">
        <f>-(Données!I$47*1E-24*H15+Données!F$47)*O15+(Données!H$46*1E-24*H15)*M15</f>
        <v>-5.556355806829755E-7</v>
      </c>
      <c r="Q15" s="40">
        <f t="shared" si="10"/>
        <v>87.90858217774985</v>
      </c>
      <c r="R15" s="43">
        <f>-(Données!I$48*1E-24*H15+Données!F$48)*Q15+Données!H$47*1E-24*H15*O15+(Données!I$49*1E-24*H15*S15)*0.85*0.16</f>
        <v>1.4351273521755227E-7</v>
      </c>
      <c r="S15" s="42">
        <f t="shared" si="11"/>
        <v>52.834367641998348</v>
      </c>
      <c r="T15" s="22">
        <f>-(Données!I$49*1E-24*H15+Données!F$49)*S15+Données!F$47*O15</f>
        <v>3.1352713495470567E-10</v>
      </c>
      <c r="U15" s="28">
        <f t="shared" si="2"/>
        <v>4987.6820997608074</v>
      </c>
      <c r="V15" s="19"/>
      <c r="W15" s="40">
        <f t="shared" si="3"/>
        <v>107.89851744086262</v>
      </c>
      <c r="X15" s="21">
        <f>-(Données!I$50*1E-24*H15+Données!F$50)*W15+Données!F$45*K15</f>
        <v>-7.9123415826698338E-7</v>
      </c>
      <c r="Y15" s="42">
        <f t="shared" si="4"/>
        <v>25709.252955374315</v>
      </c>
      <c r="Z15" s="23">
        <f>-(Données!I$51*1E-24*H15+Données!F$51)*Y15+Données!F$48*Q15</f>
        <v>-2.5220348608218497E-5</v>
      </c>
      <c r="AA15" s="15">
        <f t="shared" si="5"/>
        <v>25817.151472815178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28.585484830108129</v>
      </c>
      <c r="J16" s="21">
        <f>-(Données!I$44*1E-24*H16+Données!F$44)*I16+(Données!H$50*1E-24*H16)*W16+0.71*(Données!H$49*1E-24*H16)*S16</f>
        <v>2.0530088209020574E-7</v>
      </c>
      <c r="K16" s="42">
        <f t="shared" si="7"/>
        <v>3383.3756040728686</v>
      </c>
      <c r="L16" s="23">
        <f>-(Données!I$45*1E-24*H16+Données!F$45)*K16+(I16*Données!H$44*1E-24*H16)+(Données!H$51*1E-24*H16)*Y16</f>
        <v>-2.2380872241976365E-6</v>
      </c>
      <c r="M16" s="40">
        <f t="shared" si="8"/>
        <v>1217.2757822336571</v>
      </c>
      <c r="N16" s="21">
        <f>-(Données!I$46*1E-24*H16+Données!F$46)*M16+Données!H$45*1E-24*H16*K16</f>
        <v>1.5551535323679578E-6</v>
      </c>
      <c r="O16" s="42">
        <f t="shared" si="9"/>
        <v>215.09079336044124</v>
      </c>
      <c r="P16" s="23">
        <f>-(Données!I$47*1E-24*H16+Données!F$47)*O16+(Données!H$46*1E-24*H16)*M16</f>
        <v>-5.3430896849884146E-7</v>
      </c>
      <c r="Q16" s="40">
        <f t="shared" si="10"/>
        <v>88.285733645901573</v>
      </c>
      <c r="R16" s="43">
        <f>-(Données!I$48*1E-24*H16+Données!F$48)*Q16+Données!H$47*1E-24*H16*O16+(Données!I$49*1E-24*H16*S16)*0.85*0.16</f>
        <v>1.405798495384628E-7</v>
      </c>
      <c r="S16" s="42">
        <f t="shared" si="11"/>
        <v>52.835191591309012</v>
      </c>
      <c r="T16" s="22">
        <f>-(Données!I$49*1E-24*H16+Données!F$49)*S16+Données!F$47*O16</f>
        <v>-1.9321222076128439E-9</v>
      </c>
      <c r="U16" s="28">
        <f t="shared" si="2"/>
        <v>4985.4485897342865</v>
      </c>
      <c r="V16" s="19"/>
      <c r="W16" s="40">
        <f t="shared" si="3"/>
        <v>105.81915407293698</v>
      </c>
      <c r="X16" s="21">
        <f>-(Données!I$50*1E-24*H16+Données!F$50)*W16+Données!F$45*K16</f>
        <v>-7.7593169675411804E-7</v>
      </c>
      <c r="Y16" s="42">
        <f t="shared" si="4"/>
        <v>25642.973879231919</v>
      </c>
      <c r="Z16" s="23">
        <f>-(Données!I$51*1E-24*H16+Données!F$51)*Y16+Données!F$48*Q16</f>
        <v>-2.5155329903922931E-5</v>
      </c>
      <c r="AA16" s="15">
        <f t="shared" si="5"/>
        <v>25748.793033304857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29.125015548241191</v>
      </c>
      <c r="J17" s="21">
        <f>-(Données!I$44*1E-24*H17+Données!F$44)*I17+(Données!H$50*1E-24*H17)*W17+0.71*(Données!H$49*1E-24*H17)*S17</f>
        <v>1.9888331183747665E-7</v>
      </c>
      <c r="K17" s="42">
        <f t="shared" si="7"/>
        <v>3377.4939108476769</v>
      </c>
      <c r="L17" s="23">
        <f>-(Données!I$45*1E-24*H17+Données!F$45)*K17+(I17*Données!H$44*1E-24*H17)+(Données!H$51*1E-24*H17)*Y17</f>
        <v>-2.2510599724927068E-6</v>
      </c>
      <c r="M17" s="40">
        <f t="shared" si="8"/>
        <v>1221.36272571672</v>
      </c>
      <c r="N17" s="21">
        <f>-(Données!I$46*1E-24*H17+Données!F$46)*M17+Données!H$45*1E-24*H17*K17</f>
        <v>1.5355806261180531E-6</v>
      </c>
      <c r="O17" s="42">
        <f t="shared" si="9"/>
        <v>213.68662939122629</v>
      </c>
      <c r="P17" s="23">
        <f>-(Données!I$47*1E-24*H17+Données!F$47)*O17+(Données!H$46*1E-24*H17)*M17</f>
        <v>-5.1364797458009158E-7</v>
      </c>
      <c r="Q17" s="40">
        <f t="shared" si="10"/>
        <v>88.655177490488654</v>
      </c>
      <c r="R17" s="43">
        <f>-(Données!I$48*1E-24*H17+Données!F$48)*Q17+Données!H$47*1E-24*H17*O17+(Données!I$49*1E-24*H17*S17)*0.85*0.16</f>
        <v>1.3773873440090919E-7</v>
      </c>
      <c r="S17" s="42">
        <f t="shared" si="11"/>
        <v>52.830113974147409</v>
      </c>
      <c r="T17" s="22">
        <f>-(Données!I$49*1E-24*H17+Données!F$49)*S17+Données!F$47*O17</f>
        <v>-4.0546981343743476E-9</v>
      </c>
      <c r="U17" s="28">
        <f t="shared" si="2"/>
        <v>4983.1535729684992</v>
      </c>
      <c r="V17" s="19"/>
      <c r="W17" s="40">
        <f t="shared" si="3"/>
        <v>103.78000557386716</v>
      </c>
      <c r="X17" s="21">
        <f>-(Données!I$50*1E-24*H17+Données!F$50)*W17+Données!F$45*K17</f>
        <v>-7.6092531972768329E-7</v>
      </c>
      <c r="Y17" s="42">
        <f t="shared" si="4"/>
        <v>25576.86567224441</v>
      </c>
      <c r="Z17" s="23">
        <f>-(Données!I$51*1E-24*H17+Données!F$51)*Y17+Données!F$48*Q17</f>
        <v>-2.5090478819906141E-5</v>
      </c>
      <c r="AA17" s="15">
        <f t="shared" si="5"/>
        <v>25680.645677818276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29.647680891750078</v>
      </c>
      <c r="J18" s="21">
        <f>-(Données!I$44*1E-24*H18+Données!F$44)*I18+(Données!H$50*1E-24*H18)*W18+0.71*(Données!H$49*1E-24*H18)*S18</f>
        <v>1.9260549382982424E-7</v>
      </c>
      <c r="K18" s="42">
        <f t="shared" si="7"/>
        <v>3371.5781252399661</v>
      </c>
      <c r="L18" s="23">
        <f>-(Données!I$45*1E-24*H18+Données!F$45)*K18+(I18*Données!H$44*1E-24*H18)+(Données!H$51*1E-24*H18)*Y18</f>
        <v>-2.263681860966949E-6</v>
      </c>
      <c r="M18" s="40">
        <f t="shared" si="8"/>
        <v>1225.3982316021581</v>
      </c>
      <c r="N18" s="21">
        <f>-(Données!I$46*1E-24*H18+Données!F$46)*M18+Données!H$45*1E-24*H18*K18</f>
        <v>1.5160985782136534E-6</v>
      </c>
      <c r="O18" s="42">
        <f t="shared" si="9"/>
        <v>212.3367625140298</v>
      </c>
      <c r="P18" s="23">
        <f>-(Données!I$47*1E-24*H18+Données!F$47)*O18+(Données!H$46*1E-24*H18)*M18</f>
        <v>-4.9363378800337287E-7</v>
      </c>
      <c r="Q18" s="40">
        <f t="shared" si="10"/>
        <v>89.017154884494246</v>
      </c>
      <c r="R18" s="43">
        <f>-(Données!I$48*1E-24*H18+Données!F$48)*Q18+Données!H$47*1E-24*H18*O18+(Données!I$49*1E-24*H18*S18)*0.85*0.16</f>
        <v>1.3498664216884923E-7</v>
      </c>
      <c r="S18" s="42">
        <f t="shared" si="11"/>
        <v>52.819458227450276</v>
      </c>
      <c r="T18" s="22">
        <f>-(Données!I$49*1E-24*H18+Données!F$49)*S18+Données!F$47*O18</f>
        <v>-6.0589167092475018E-9</v>
      </c>
      <c r="U18" s="28">
        <f t="shared" si="2"/>
        <v>4980.7974133598491</v>
      </c>
      <c r="V18" s="19"/>
      <c r="W18" s="40">
        <f t="shared" si="3"/>
        <v>101.78029383362281</v>
      </c>
      <c r="X18" s="21">
        <f>-(Données!I$50*1E-24*H18+Données!F$50)*W18+Données!F$45*K18</f>
        <v>-7.4620929806618949E-7</v>
      </c>
      <c r="Y18" s="42">
        <f t="shared" si="4"/>
        <v>25510.927893905697</v>
      </c>
      <c r="Z18" s="23">
        <f>-(Données!I$51*1E-24*H18+Données!F$51)*Y18+Données!F$48*Q18</f>
        <v>-2.5025794924024766E-5</v>
      </c>
      <c r="AA18" s="15">
        <f t="shared" si="5"/>
        <v>25612.708187739321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30.153848129534857</v>
      </c>
      <c r="J19" s="21">
        <f>-(Données!I$44*1E-24*H19+Données!F$44)*I19+(Données!H$50*1E-24*H19)*W19+0.71*(Données!H$49*1E-24*H19)*S19</f>
        <v>1.8646525097376464E-7</v>
      </c>
      <c r="K19" s="42">
        <f t="shared" ref="K19:K30" si="15">K18+L18*D$5</f>
        <v>3365.6291693093449</v>
      </c>
      <c r="L19" s="23">
        <f>-(Données!I$45*1E-24*H19+Données!F$45)*K19+(I19*Données!H$44*1E-24*H19)+(Données!H$51*1E-24*H19)*Y19</f>
        <v>-2.2759590733416058E-6</v>
      </c>
      <c r="M19" s="40">
        <f t="shared" ref="M19:M30" si="16">M18+N18*D$5</f>
        <v>1229.3825386657036</v>
      </c>
      <c r="N19" s="21">
        <f>-(Données!I$46*1E-24*H19+Données!F$46)*M19+Données!H$45*1E-24*H19*K19</f>
        <v>1.4967080652940703E-6</v>
      </c>
      <c r="O19" s="42">
        <f t="shared" ref="O19:O30" si="17">O18+P18*D$5</f>
        <v>211.03949291915694</v>
      </c>
      <c r="P19" s="23">
        <f>-(Données!I$47*1E-24*H19+Données!F$47)*O19+(Données!H$46*1E-24*H19)*M19</f>
        <v>-4.7424811725674606E-7</v>
      </c>
      <c r="Q19" s="40">
        <f t="shared" ref="Q19:Q30" si="18">Q18+R18*D$5</f>
        <v>89.371899780113978</v>
      </c>
      <c r="R19" s="43">
        <f>-(Données!I$48*1E-24*H19+Données!F$48)*Q19+Données!H$47*1E-24*H19*O19+(Données!I$49*1E-24*H19*S19)*0.85*0.16</f>
        <v>1.3232090104645584E-7</v>
      </c>
      <c r="S19" s="42">
        <f t="shared" ref="S19:S30" si="19">S18+T18*D$5</f>
        <v>52.803535394338375</v>
      </c>
      <c r="T19" s="22">
        <f>-(Données!I$49*1E-24*H19+Données!F$49)*S19+Données!F$47*O19</f>
        <v>-7.9493402767252964E-9</v>
      </c>
      <c r="U19" s="28">
        <f t="shared" ref="U19:U30" si="20">I19+K19+M19+O19+Q19+S19</f>
        <v>4978.3804841981928</v>
      </c>
      <c r="V19" s="19"/>
      <c r="W19" s="40">
        <f t="shared" ref="W19:W30" si="21">W18+X18*D$5</f>
        <v>99.819255798304866</v>
      </c>
      <c r="X19" s="21">
        <f>-(Données!I$50*1E-24*H19+Données!F$50)*W19+Données!F$45*K19</f>
        <v>-7.3177801350296869E-7</v>
      </c>
      <c r="Y19" s="42">
        <f t="shared" ref="Y19:Y30" si="22">Y18+Z18*D$5</f>
        <v>25445.160104845359</v>
      </c>
      <c r="Z19" s="23">
        <f>-(Données!I$51*1E-24*H19+Données!F$51)*Y19+Données!F$48*Q19</f>
        <v>-2.4961277785249956E-5</v>
      </c>
      <c r="AA19" s="15">
        <f t="shared" ref="AA19:AA30" si="23">W19+Y19</f>
        <v>25544.979360643665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30.643878809093913</v>
      </c>
      <c r="J20" s="21">
        <f>-(Données!I$44*1E-24*H20+Données!F$44)*I20+(Données!H$50*1E-24*H20)*W20+0.71*(Données!H$49*1E-24*H20)*S20</f>
        <v>1.8046041794142537E-7</v>
      </c>
      <c r="K20" s="42">
        <f t="shared" si="15"/>
        <v>3359.6479488646032</v>
      </c>
      <c r="L20" s="23">
        <f>-(Données!I$45*1E-24*H20+Données!F$45)*K20+(I20*Données!H$44*1E-24*H20)+(Données!H$51*1E-24*H20)*Y20</f>
        <v>-2.2878976886398028E-6</v>
      </c>
      <c r="M20" s="40">
        <f t="shared" si="16"/>
        <v>1233.3158874612964</v>
      </c>
      <c r="N20" s="21">
        <f>-(Données!I$46*1E-24*H20+Données!F$46)*M20+Données!H$45*1E-24*H20*K20</f>
        <v>1.477409735792735E-6</v>
      </c>
      <c r="O20" s="42">
        <f t="shared" si="17"/>
        <v>209.79316886700622</v>
      </c>
      <c r="P20" s="23">
        <f>-(Données!I$47*1E-24*H20+Données!F$47)*O20+(Données!H$46*1E-24*H20)*M20</f>
        <v>-4.5547317593259187E-7</v>
      </c>
      <c r="Q20" s="40">
        <f t="shared" si="18"/>
        <v>89.719639108064058</v>
      </c>
      <c r="R20" s="43">
        <f>-(Données!I$48*1E-24*H20+Données!F$48)*Q20+Données!H$47*1E-24*H20*O20+(Données!I$49*1E-24*H20*S20)*0.85*0.16</f>
        <v>1.2973891303651249E-7</v>
      </c>
      <c r="S20" s="42">
        <f t="shared" si="19"/>
        <v>52.78264452809114</v>
      </c>
      <c r="T20" s="22">
        <f>-(Données!I$49*1E-24*H20+Données!F$49)*S20+Données!F$47*O20</f>
        <v>-9.7303820944028058E-9</v>
      </c>
      <c r="U20" s="28">
        <f t="shared" si="20"/>
        <v>4975.9031676381546</v>
      </c>
      <c r="V20" s="19"/>
      <c r="W20" s="40">
        <f t="shared" si="21"/>
        <v>97.896143178819059</v>
      </c>
      <c r="X20" s="21">
        <f>-(Données!I$50*1E-24*H20+Données!F$50)*W20+Données!F$45*K20</f>
        <v>-7.1762595648124108E-7</v>
      </c>
      <c r="Y20" s="42">
        <f t="shared" si="22"/>
        <v>25379.561866825723</v>
      </c>
      <c r="Z20" s="23">
        <f>-(Données!I$51*1E-24*H20+Données!F$51)*Y20+Données!F$48*Q20</f>
        <v>-2.4896926973664457E-5</v>
      </c>
      <c r="AA20" s="15">
        <f t="shared" si="23"/>
        <v>25477.458010004542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31.118128787443979</v>
      </c>
      <c r="J21" s="21">
        <f>-(Données!I$44*1E-24*H21+Données!F$44)*I21+(Données!H$50*1E-24*H21)*W21+0.71*(Données!H$49*1E-24*H21)*S21</f>
        <v>1.7458884200074013E-7</v>
      </c>
      <c r="K21" s="42">
        <f t="shared" si="15"/>
        <v>3353.6353537388577</v>
      </c>
      <c r="L21" s="23">
        <f>-(Données!I$45*1E-24*H21+Données!F$45)*K21+(I21*Données!H$44*1E-24*H21)+(Données!H$51*1E-24*H21)*Y21</f>
        <v>-2.2995036830487498E-6</v>
      </c>
      <c r="M21" s="40">
        <f t="shared" si="16"/>
        <v>1237.1985202469598</v>
      </c>
      <c r="N21" s="21">
        <f>-(Données!I$46*1E-24*H21+Données!F$46)*M21+Données!H$45*1E-24*H21*K21</f>
        <v>1.4582042105344656E-6</v>
      </c>
      <c r="O21" s="42">
        <f t="shared" si="17"/>
        <v>208.59618536065537</v>
      </c>
      <c r="P21" s="23">
        <f>-(Données!I$47*1E-24*H21+Données!F$47)*O21+(Données!H$46*1E-24*H21)*M21</f>
        <v>-4.3729166881529789E-7</v>
      </c>
      <c r="Q21" s="40">
        <f t="shared" si="18"/>
        <v>90.060592971524017</v>
      </c>
      <c r="R21" s="43">
        <f>-(Données!I$48*1E-24*H21+Données!F$48)*Q21+Données!H$47*1E-24*H21*O21+(Données!I$49*1E-24*H21*S21)*0.85*0.16</f>
        <v>1.2723815195386652E-7</v>
      </c>
      <c r="S21" s="42">
        <f t="shared" si="19"/>
        <v>52.757073083947049</v>
      </c>
      <c r="T21" s="22">
        <f>-(Données!I$49*1E-24*H21+Données!F$49)*S21+Données!F$47*O21</f>
        <v>-1.1406310831323744E-8</v>
      </c>
      <c r="U21" s="28">
        <f t="shared" si="20"/>
        <v>4973.3658541893874</v>
      </c>
      <c r="V21" s="19"/>
      <c r="W21" s="40">
        <f t="shared" si="21"/>
        <v>96.010222165186363</v>
      </c>
      <c r="X21" s="21">
        <f>-(Données!I$50*1E-24*H21+Données!F$50)*W21+Données!F$45*K21</f>
        <v>-7.0374772405068459E-7</v>
      </c>
      <c r="Y21" s="42">
        <f t="shared" si="22"/>
        <v>25314.132742738933</v>
      </c>
      <c r="Z21" s="23">
        <f>-(Données!I$51*1E-24*H21+Données!F$51)*Y21+Données!F$48*Q21</f>
        <v>-2.4832742060459764E-5</v>
      </c>
      <c r="AA21" s="15">
        <f t="shared" si="23"/>
        <v>25410.14296490412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31.576948264221922</v>
      </c>
      <c r="J22" s="21">
        <f>-(Données!I$44*1E-24*H22+Données!F$44)*I22+(Données!H$50*1E-24*H22)*W22+0.71*(Données!H$49*1E-24*H22)*S22</f>
        <v>1.6884838379770153E-7</v>
      </c>
      <c r="K22" s="42">
        <f t="shared" si="15"/>
        <v>3347.5922580598058</v>
      </c>
      <c r="L22" s="23">
        <f>-(Données!I$45*1E-24*H22+Données!F$45)*K22+(I22*Données!H$44*1E-24*H22)+(Données!H$51*1E-24*H22)*Y22</f>
        <v>-2.310782931744708E-6</v>
      </c>
      <c r="M22" s="40">
        <f t="shared" si="16"/>
        <v>1241.0306809122444</v>
      </c>
      <c r="N22" s="21">
        <f>-(Données!I$46*1E-24*H22+Données!F$46)*M22+Données!H$45*1E-24*H22*K22</f>
        <v>1.43909208332143E-6</v>
      </c>
      <c r="O22" s="42">
        <f t="shared" si="17"/>
        <v>207.44698285500877</v>
      </c>
      <c r="P22" s="23">
        <f>-(Données!I$47*1E-24*H22+Données!F$47)*O22+(Données!H$46*1E-24*H22)*M22</f>
        <v>-4.1968677835281684E-7</v>
      </c>
      <c r="Q22" s="40">
        <f t="shared" si="18"/>
        <v>90.394974834858772</v>
      </c>
      <c r="R22" s="43">
        <f>-(Données!I$48*1E-24*H22+Données!F$48)*Q22+Données!H$47*1E-24*H22*O22+(Données!I$49*1E-24*H22*S22)*0.85*0.16</f>
        <v>1.2481616149244238E-7</v>
      </c>
      <c r="S22" s="42">
        <f t="shared" si="19"/>
        <v>52.727097299082331</v>
      </c>
      <c r="T22" s="22">
        <f>-(Données!I$49*1E-24*H22+Données!F$49)*S22+Données!F$47*O22</f>
        <v>-1.298125493595531E-8</v>
      </c>
      <c r="U22" s="28">
        <f t="shared" si="20"/>
        <v>4970.7689422252224</v>
      </c>
      <c r="V22" s="19"/>
      <c r="W22" s="40">
        <f t="shared" si="21"/>
        <v>94.16077314638116</v>
      </c>
      <c r="X22" s="21">
        <f>-(Données!I$50*1E-24*H22+Données!F$50)*W22+Données!F$45*K22</f>
        <v>-6.9013801780470038E-7</v>
      </c>
      <c r="Y22" s="42">
        <f t="shared" si="22"/>
        <v>25248.872296604044</v>
      </c>
      <c r="Z22" s="23">
        <f>-(Données!I$51*1E-24*H22+Données!F$51)*Y22+Données!F$48*Q22</f>
        <v>-2.4768722617933248E-5</v>
      </c>
      <c r="AA22" s="15">
        <f t="shared" si="23"/>
        <v>25343.033069750425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32.020681816842284</v>
      </c>
      <c r="J23" s="21">
        <f>-(Données!I$44*1E-24*H23+Données!F$44)*I23+(Données!H$50*1E-24*H23)*W23+0.71*(Données!H$49*1E-24*H23)*S23</f>
        <v>1.6323691809250771E-7</v>
      </c>
      <c r="K23" s="42">
        <f t="shared" si="15"/>
        <v>3341.5195205151808</v>
      </c>
      <c r="L23" s="23">
        <f>-(Données!I$45*1E-24*H23+Données!F$45)*K23+(I23*Données!H$44*1E-24*H23)+(Données!H$51*1E-24*H23)*Y23</f>
        <v>-2.321741210681357E-6</v>
      </c>
      <c r="M23" s="40">
        <f t="shared" si="16"/>
        <v>1244.8126149072132</v>
      </c>
      <c r="N23" s="21">
        <f>-(Données!I$46*1E-24*H23+Données!F$46)*M23+Données!H$45*1E-24*H23*K23</f>
        <v>1.4200739215080206E-6</v>
      </c>
      <c r="O23" s="42">
        <f t="shared" si="17"/>
        <v>206.34404600149756</v>
      </c>
      <c r="P23" s="23">
        <f>-(Données!I$47*1E-24*H23+Données!F$47)*O23+(Données!H$46*1E-24*H23)*M23</f>
        <v>-4.0264215150146985E-7</v>
      </c>
      <c r="Q23" s="40">
        <f t="shared" si="18"/>
        <v>90.722991707260917</v>
      </c>
      <c r="R23" s="43">
        <f>-(Données!I$48*1E-24*H23+Données!F$48)*Q23+Données!H$47*1E-24*H23*O23+(Données!I$49*1E-24*H23*S23)*0.85*0.16</f>
        <v>1.2247055334435744E-7</v>
      </c>
      <c r="S23" s="42">
        <f t="shared" si="19"/>
        <v>52.692982561110639</v>
      </c>
      <c r="T23" s="22">
        <f>-(Données!I$49*1E-24*H23+Données!F$49)*S23+Données!F$47*O23</f>
        <v>-1.4459206877490839E-8</v>
      </c>
      <c r="U23" s="28">
        <f t="shared" si="20"/>
        <v>4968.1128375091048</v>
      </c>
      <c r="V23" s="19"/>
      <c r="W23" s="40">
        <f t="shared" si="21"/>
        <v>92.347090435590403</v>
      </c>
      <c r="X23" s="21">
        <f>-(Données!I$50*1E-24*H23+Données!F$50)*W23+Données!F$45*K23</f>
        <v>-6.7679164185759427E-7</v>
      </c>
      <c r="Y23" s="42">
        <f t="shared" si="22"/>
        <v>25183.780093564117</v>
      </c>
      <c r="Z23" s="23">
        <f>-(Données!I$51*1E-24*H23+Données!F$51)*Y23+Données!F$48*Q23</f>
        <v>-2.4704868219485268E-5</v>
      </c>
      <c r="AA23" s="15">
        <f t="shared" si="23"/>
        <v>25276.127183999706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32.449668437589395</v>
      </c>
      <c r="J24" s="21">
        <f>-(Données!I$44*1E-24*H24+Données!F$44)*I24+(Données!H$50*1E-24*H24)*W24+0.71*(Données!H$49*1E-24*H24)*S24</f>
        <v>1.5775233445137847E-7</v>
      </c>
      <c r="K24" s="42">
        <f t="shared" si="15"/>
        <v>3335.4179846135103</v>
      </c>
      <c r="L24" s="23">
        <f>-(Données!I$45*1E-24*H24+Données!F$45)*K24+(I24*Données!H$44*1E-24*H24)+(Données!H$51*1E-24*H24)*Y24</f>
        <v>-2.3323841983426184E-6</v>
      </c>
      <c r="M24" s="40">
        <f t="shared" si="16"/>
        <v>1248.5445691729362</v>
      </c>
      <c r="N24" s="21">
        <f>-(Données!I$46*1E-24*H24+Données!F$46)*M24+Données!H$45*1E-24*H24*K24</f>
        <v>1.4011502665648681E-6</v>
      </c>
      <c r="O24" s="42">
        <f t="shared" si="17"/>
        <v>205.28590242735169</v>
      </c>
      <c r="P24" s="23">
        <f>-(Données!I$47*1E-24*H24+Données!F$47)*O24+(Données!H$46*1E-24*H24)*M24</f>
        <v>-3.8614188693370019E-7</v>
      </c>
      <c r="Q24" s="40">
        <f t="shared" si="18"/>
        <v>91.044844321449887</v>
      </c>
      <c r="R24" s="43">
        <f>-(Données!I$48*1E-24*H24+Données!F$48)*Q24+Données!H$47*1E-24*H24*O24+(Données!I$49*1E-24*H24*S24)*0.85*0.16</f>
        <v>1.2019900536972644E-7</v>
      </c>
      <c r="S24" s="42">
        <f t="shared" si="19"/>
        <v>52.65498376543659</v>
      </c>
      <c r="T24" s="22">
        <f>-(Données!I$49*1E-24*H24+Données!F$49)*S24+Données!F$47*O24</f>
        <v>-1.5844027264078309E-8</v>
      </c>
      <c r="U24" s="28">
        <f t="shared" si="20"/>
        <v>4965.3979527382744</v>
      </c>
      <c r="V24" s="19"/>
      <c r="W24" s="40">
        <f t="shared" si="21"/>
        <v>90.568482000788649</v>
      </c>
      <c r="X24" s="21">
        <f>-(Données!I$50*1E-24*H24+Données!F$50)*W24+Données!F$45*K24</f>
        <v>-6.6370350086089357E-7</v>
      </c>
      <c r="Y24" s="42">
        <f t="shared" si="22"/>
        <v>25118.855699883308</v>
      </c>
      <c r="Z24" s="23">
        <f>-(Données!I$51*1E-24*H24+Données!F$51)*Y24+Données!F$48*Q24</f>
        <v>-2.4641178439616344E-5</v>
      </c>
      <c r="AA24" s="15">
        <f t="shared" si="23"/>
        <v>25209.424181884096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32.864241572527618</v>
      </c>
      <c r="J25" s="21">
        <f>-(Données!I$44*1E-24*H25+Données!F$44)*I25+(Données!H$50*1E-24*H25)*W25+0.71*(Données!H$49*1E-24*H25)*S25</f>
        <v>1.5239253789575677E-7</v>
      </c>
      <c r="K25" s="42">
        <f t="shared" si="15"/>
        <v>3329.288478940266</v>
      </c>
      <c r="L25" s="23">
        <f>-(Données!I$45*1E-24*H25+Données!F$45)*K25+(I25*Données!H$44*1E-24*H25)+(Données!H$51*1E-24*H25)*Y25</f>
        <v>-2.3427174774606989E-6</v>
      </c>
      <c r="M25" s="40">
        <f t="shared" si="16"/>
        <v>1252.2267920734687</v>
      </c>
      <c r="N25" s="21">
        <f>-(Données!I$46*1E-24*H25+Données!F$46)*M25+Données!H$45*1E-24*H25*K25</f>
        <v>1.3823216346321905E-6</v>
      </c>
      <c r="O25" s="42">
        <f t="shared" si="17"/>
        <v>204.27112154848993</v>
      </c>
      <c r="P25" s="23">
        <f>-(Données!I$47*1E-24*H25+Données!F$47)*O25+(Données!H$46*1E-24*H25)*M25</f>
        <v>-3.7017052259872426E-7</v>
      </c>
      <c r="Q25" s="40">
        <f t="shared" si="18"/>
        <v>91.360727307561532</v>
      </c>
      <c r="R25" s="43">
        <f>-(Données!I$48*1E-24*H25+Données!F$48)*Q25+Données!H$47*1E-24*H25*O25+(Données!I$49*1E-24*H25*S25)*0.85*0.16</f>
        <v>1.1799925981577527E-7</v>
      </c>
      <c r="S25" s="42">
        <f t="shared" si="19"/>
        <v>52.613345661786589</v>
      </c>
      <c r="T25" s="22">
        <f>-(Données!I$49*1E-24*H25+Données!F$49)*S25+Données!F$47*O25</f>
        <v>-1.7139448841468804E-8</v>
      </c>
      <c r="U25" s="28">
        <f t="shared" si="20"/>
        <v>4962.6247071040998</v>
      </c>
      <c r="V25" s="19"/>
      <c r="W25" s="40">
        <f t="shared" si="21"/>
        <v>88.824269200526217</v>
      </c>
      <c r="X25" s="21">
        <f>-(Données!I$50*1E-24*H25+Données!F$50)*W25+Données!F$45*K25</f>
        <v>-6.5086859805804759E-7</v>
      </c>
      <c r="Y25" s="42">
        <f t="shared" si="22"/>
        <v>25054.098682943997</v>
      </c>
      <c r="Z25" s="23">
        <f>-(Données!I$51*1E-24*H25+Données!F$51)*Y25+Données!F$48*Q25</f>
        <v>-2.4577652853924308E-5</v>
      </c>
      <c r="AA25" s="15">
        <f t="shared" si="23"/>
        <v>25142.922952144523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33.264729162117668</v>
      </c>
      <c r="J26" s="21">
        <f>-(Données!I$44*1E-24*H26+Données!F$44)*I26+(Données!H$50*1E-24*H26)*W26+0.71*(Données!H$49*1E-24*H26)*S26</f>
        <v>1.471554495105551E-7</v>
      </c>
      <c r="K26" s="42">
        <f t="shared" si="15"/>
        <v>3323.1318174094995</v>
      </c>
      <c r="L26" s="23">
        <f>-(Données!I$45*1E-24*H26+Données!F$45)*K26+(I26*Données!H$44*1E-24*H26)+(Données!H$51*1E-24*H26)*Y26</f>
        <v>-2.3527465367000632E-6</v>
      </c>
      <c r="M26" s="40">
        <f t="shared" si="16"/>
        <v>1255.8595333292822</v>
      </c>
      <c r="N26" s="21">
        <f>-(Données!I$46*1E-24*H26+Données!F$46)*M26+Données!H$45*1E-24*H26*K26</f>
        <v>1.3635885170627051E-6</v>
      </c>
      <c r="O26" s="42">
        <f t="shared" si="17"/>
        <v>203.29831341510049</v>
      </c>
      <c r="P26" s="23">
        <f>-(Données!I$47*1E-24*H26+Données!F$47)*O26+(Données!H$46*1E-24*H26)*M26</f>
        <v>-3.5471302362633966E-7</v>
      </c>
      <c r="Q26" s="40">
        <f t="shared" si="18"/>
        <v>91.670829362357395</v>
      </c>
      <c r="R26" s="43">
        <f>-(Données!I$48*1E-24*H26+Données!F$48)*Q26+Données!H$47*1E-24*H26*O26+(Données!I$49*1E-24*H26*S26)*0.85*0.16</f>
        <v>1.1586912158392438E-7</v>
      </c>
      <c r="S26" s="42">
        <f t="shared" si="19"/>
        <v>52.568303190231212</v>
      </c>
      <c r="T26" s="22">
        <f>-(Données!I$49*1E-24*H26+Données!F$49)*S26+Données!F$47*O26</f>
        <v>-1.8349080375483035E-8</v>
      </c>
      <c r="U26" s="28">
        <f t="shared" si="20"/>
        <v>4959.7935258685893</v>
      </c>
      <c r="V26" s="19"/>
      <c r="W26" s="40">
        <f t="shared" si="21"/>
        <v>87.113786524829663</v>
      </c>
      <c r="X26" s="21">
        <f>-(Données!I$50*1E-24*H26+Données!F$50)*W26+Données!F$45*K26</f>
        <v>-6.3828203337676749E-7</v>
      </c>
      <c r="Y26" s="42">
        <f t="shared" si="22"/>
        <v>24989.508611243884</v>
      </c>
      <c r="Z26" s="23">
        <f>-(Données!I$51*1E-24*H26+Données!F$51)*Y26+Données!F$48*Q26</f>
        <v>-2.4514291039101445E-5</v>
      </c>
      <c r="AA26" s="15">
        <f t="shared" si="23"/>
        <v>25076.622397768715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33.651453683431406</v>
      </c>
      <c r="J27" s="21">
        <f>-(Données!I$44*1E-24*H27+Données!F$44)*I27+(Données!H$50*1E-24*H27)*W27+0.71*(Données!H$49*1E-24*H27)*S27</f>
        <v>1.4203900701304967E-7</v>
      </c>
      <c r="K27" s="42">
        <f t="shared" si="15"/>
        <v>3316.9487995110517</v>
      </c>
      <c r="L27" s="23">
        <f>-(Données!I$45*1E-24*H27+Données!F$45)*K27+(I27*Données!H$44*1E-24*H27)+(Données!H$51*1E-24*H27)*Y27</f>
        <v>-2.3624767723083148E-6</v>
      </c>
      <c r="M27" s="40">
        <f t="shared" si="16"/>
        <v>1259.4430439521229</v>
      </c>
      <c r="N27" s="21">
        <f>-(Données!I$46*1E-24*H27+Données!F$46)*M27+Données!H$45*1E-24*H27*K27</f>
        <v>1.3449513809542864E-6</v>
      </c>
      <c r="O27" s="42">
        <f t="shared" si="17"/>
        <v>202.36612758901046</v>
      </c>
      <c r="P27" s="23">
        <f>-(Données!I$47*1E-24*H27+Données!F$47)*O27+(Données!H$46*1E-24*H27)*M27</f>
        <v>-3.3975477056439918E-7</v>
      </c>
      <c r="Q27" s="40">
        <f t="shared" si="18"/>
        <v>91.975333413879952</v>
      </c>
      <c r="R27" s="43">
        <f>-(Données!I$48*1E-24*H27+Données!F$48)*Q27+Données!H$47*1E-24*H27*O27+(Données!I$49*1E-24*H27*S27)*0.85*0.16</f>
        <v>1.1380645654354011E-7</v>
      </c>
      <c r="S27" s="42">
        <f t="shared" si="19"/>
        <v>52.520081807004445</v>
      </c>
      <c r="T27" s="22">
        <f>-(Données!I$49*1E-24*H27+Données!F$49)*S27+Données!F$47*O27</f>
        <v>-1.9476410421598222E-8</v>
      </c>
      <c r="U27" s="28">
        <f t="shared" si="20"/>
        <v>4956.9048399565008</v>
      </c>
      <c r="V27" s="19"/>
      <c r="W27" s="40">
        <f t="shared" si="21"/>
        <v>85.436381341115521</v>
      </c>
      <c r="X27" s="21">
        <f>-(Données!I$50*1E-24*H27+Données!F$50)*W27+Données!F$45*K27</f>
        <v>-6.259390015582767E-7</v>
      </c>
      <c r="Y27" s="42">
        <f t="shared" si="22"/>
        <v>24925.085054393126</v>
      </c>
      <c r="Z27" s="23">
        <f>-(Données!I$51*1E-24*H27+Données!F$51)*Y27+Données!F$48*Q27</f>
        <v>-2.4451092572931691E-5</v>
      </c>
      <c r="AA27" s="15">
        <f t="shared" si="23"/>
        <v>25010.521435734241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34.024732193861702</v>
      </c>
      <c r="J28" s="21">
        <f>-(Données!I$44*1E-24*H28+Données!F$44)*I28+(Données!H$50*1E-24*H28)*W28+0.71*(Données!H$49*1E-24*H28)*S28</f>
        <v>1.3704116528397389E-7</v>
      </c>
      <c r="K28" s="42">
        <f t="shared" si="15"/>
        <v>3310.7402105534256</v>
      </c>
      <c r="L28" s="23">
        <f>-(Données!I$45*1E-24*H28+Données!F$45)*K28+(I28*Données!H$44*1E-24*H28)+(Données!H$51*1E-24*H28)*Y28</f>
        <v>-2.3719134897345912E-6</v>
      </c>
      <c r="M28" s="40">
        <f t="shared" si="16"/>
        <v>1262.9775761812707</v>
      </c>
      <c r="N28" s="21">
        <f>-(Données!I$46*1E-24*H28+Données!F$46)*M28+Données!H$45*1E-24*H28*K28</f>
        <v>1.3264106696725867E-6</v>
      </c>
      <c r="O28" s="42">
        <f t="shared" si="17"/>
        <v>201.47325205196722</v>
      </c>
      <c r="P28" s="23">
        <f>-(Données!I$47*1E-24*H28+Données!F$47)*O28+(Données!H$46*1E-24*H28)*M28</f>
        <v>-3.252815479407336E-7</v>
      </c>
      <c r="Q28" s="40">
        <f t="shared" si="18"/>
        <v>92.274416781676379</v>
      </c>
      <c r="R28" s="43">
        <f>-(Données!I$48*1E-24*H28+Données!F$48)*Q28+Données!H$47*1E-24*H28*O28+(Données!I$49*1E-24*H28*S28)*0.85*0.16</f>
        <v>1.1180918989108461E-7</v>
      </c>
      <c r="S28" s="42">
        <f t="shared" si="19"/>
        <v>52.468897800416485</v>
      </c>
      <c r="T28" s="22">
        <f>-(Données!I$49*1E-24*H28+Données!F$49)*S28+Données!F$47*O28</f>
        <v>-2.0524810984863478E-8</v>
      </c>
      <c r="U28" s="28">
        <f t="shared" si="20"/>
        <v>4953.9590855626193</v>
      </c>
      <c r="V28" s="19"/>
      <c r="W28" s="40">
        <f t="shared" si="21"/>
        <v>83.79141364502037</v>
      </c>
      <c r="X28" s="21">
        <f>-(Données!I$50*1E-24*H28+Données!F$50)*W28+Données!F$45*K28</f>
        <v>-6.1383479032275825E-7</v>
      </c>
      <c r="Y28" s="42">
        <f t="shared" si="22"/>
        <v>24860.827583111462</v>
      </c>
      <c r="Z28" s="23">
        <f>-(Données!I$51*1E-24*H28+Données!F$51)*Y28+Données!F$48*Q28</f>
        <v>-2.4388057034287782E-5</v>
      </c>
      <c r="AA28" s="15">
        <f t="shared" si="23"/>
        <v>24944.618996756482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34.384876376227986</v>
      </c>
      <c r="J29" s="21">
        <f>-(Données!I$44*1E-24*H29+Données!F$44)*I29+(Données!H$50*1E-24*H29)*W29+0.71*(Données!H$49*1E-24*H29)*S29</f>
        <v>1.3215989686230766E-7</v>
      </c>
      <c r="K29" s="42">
        <f t="shared" si="15"/>
        <v>3304.5068219024033</v>
      </c>
      <c r="L29" s="23">
        <f>-(Données!I$45*1E-24*H29+Données!F$45)*K29+(I29*Données!H$44*1E-24*H29)+(Données!H$51*1E-24*H29)*Y29</f>
        <v>-2.3810619052162739E-6</v>
      </c>
      <c r="M29" s="40">
        <f t="shared" si="16"/>
        <v>1266.4633834211702</v>
      </c>
      <c r="N29" s="21">
        <f>-(Données!I$46*1E-24*H29+Données!F$46)*M29+Données!H$45*1E-24*H29*K29</f>
        <v>1.3079668033637947E-6</v>
      </c>
      <c r="O29" s="42">
        <f t="shared" si="17"/>
        <v>200.61841214397899</v>
      </c>
      <c r="P29" s="23">
        <f>-(Données!I$47*1E-24*H29+Données!F$47)*O29+(Données!H$46*1E-24*H29)*M29</f>
        <v>-3.1127953314054952E-7</v>
      </c>
      <c r="Q29" s="40">
        <f t="shared" si="18"/>
        <v>92.568251332710147</v>
      </c>
      <c r="R29" s="43">
        <f>-(Données!I$48*1E-24*H29+Données!F$48)*Q29+Données!H$47*1E-24*H29*O29+(Données!I$49*1E-24*H29*S29)*0.85*0.16</f>
        <v>1.0987530455343334E-7</v>
      </c>
      <c r="S29" s="42">
        <f t="shared" si="19"/>
        <v>52.414958597148264</v>
      </c>
      <c r="T29" s="22">
        <f>-(Données!I$49*1E-24*H29+Données!F$49)*S29+Données!F$47*O29</f>
        <v>-2.1497541073264698E-8</v>
      </c>
      <c r="U29" s="28">
        <f t="shared" si="20"/>
        <v>4950.9567037736388</v>
      </c>
      <c r="V29" s="19"/>
      <c r="W29" s="40">
        <f t="shared" si="21"/>
        <v>82.178255816052157</v>
      </c>
      <c r="X29" s="21">
        <f>-(Données!I$50*1E-24*H29+Données!F$50)*W29+Données!F$45*K29</f>
        <v>-6.0196477857029896E-7</v>
      </c>
      <c r="Y29" s="42">
        <f t="shared" si="22"/>
        <v>24796.735769225354</v>
      </c>
      <c r="Z29" s="23">
        <f>-(Données!I$51*1E-24*H29+Données!F$51)*Y29+Données!F$48*Q29</f>
        <v>-2.432518400312846E-5</v>
      </c>
      <c r="AA29" s="15">
        <f t="shared" si="23"/>
        <v>24878.914025041406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34.732192585182133</v>
      </c>
      <c r="J30" s="21">
        <f>-(Données!I$44*1E-24*H30+Données!F$44)*I30+(Données!H$50*1E-24*H30)*W30+0.71*(Données!H$49*1E-24*H30)*S30</f>
        <v>1.2739319240521121E-7</v>
      </c>
      <c r="K30" s="42">
        <f t="shared" si="15"/>
        <v>3298.2493912154951</v>
      </c>
      <c r="L30" s="23">
        <f>-(Données!I$45*1E-24*H30+Données!F$45)*K30+(I30*Données!H$44*1E-24*H30)+(Données!H$51*1E-24*H30)*Y30</f>
        <v>-2.3899271473347772E-6</v>
      </c>
      <c r="M30" s="40">
        <f t="shared" si="16"/>
        <v>1269.9007201804102</v>
      </c>
      <c r="N30" s="21">
        <f>-(Données!I$46*1E-24*H30+Données!F$46)*M30+Données!H$45*1E-24*H30*K30</f>
        <v>1.2896201794577459E-6</v>
      </c>
      <c r="O30" s="42">
        <f t="shared" si="17"/>
        <v>199.80036953088563</v>
      </c>
      <c r="P30" s="23">
        <f>-(Données!I$47*1E-24*H30+Données!F$47)*O30+(Données!H$46*1E-24*H30)*M30</f>
        <v>-2.9773528559059257E-7</v>
      </c>
      <c r="Q30" s="40">
        <f t="shared" si="18"/>
        <v>92.857003633076573</v>
      </c>
      <c r="R30" s="43">
        <f>-(Données!I$48*1E-24*H30+Données!F$48)*Q30+Données!H$47*1E-24*H30*O30+(Données!I$49*1E-24*H30*S30)*0.85*0.16</f>
        <v>1.0800283963415951E-7</v>
      </c>
      <c r="S30" s="42">
        <f t="shared" si="19"/>
        <v>52.358463059207722</v>
      </c>
      <c r="T30" s="22">
        <f>-(Données!I$49*1E-24*H30+Données!F$49)*S30+Données!F$47*O30</f>
        <v>-2.2397750147568154E-8</v>
      </c>
      <c r="U30" s="28">
        <f t="shared" si="20"/>
        <v>4947.8981402042564</v>
      </c>
      <c r="V30" s="19"/>
      <c r="W30" s="40">
        <f t="shared" si="21"/>
        <v>80.596292377969405</v>
      </c>
      <c r="X30" s="21">
        <f>-(Données!I$50*1E-24*H30+Données!F$50)*W30+Données!F$45*K30</f>
        <v>-5.9032443461664253E-7</v>
      </c>
      <c r="Y30" s="42">
        <f t="shared" si="22"/>
        <v>24732.809185665134</v>
      </c>
      <c r="Z30" s="23">
        <f>-(Données!I$51*1E-24*H30+Données!F$51)*Y30+Données!F$48*Q30</f>
        <v>-2.4262473060495645E-5</v>
      </c>
      <c r="AA30" s="15">
        <f t="shared" si="23"/>
        <v>24813.405478043103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35.06698189482303</v>
      </c>
      <c r="J31" s="21">
        <f>-(Données!I$44*1E-24*H31+Données!F$44)*I31+(Données!H$50*1E-24*H31)*W31+0.71*(Données!H$49*1E-24*H31)*S31</f>
        <v>1.2273906111450176E-7</v>
      </c>
      <c r="K31" s="42">
        <f t="shared" ref="K31:K94" si="27">K30+L30*D$5</f>
        <v>3291.9686626722992</v>
      </c>
      <c r="L31" s="23">
        <f>-(Données!I$45*1E-24*H31+Données!F$45)*K31+(I31*Données!H$44*1E-24*H31)+(Données!H$51*1E-24*H31)*Y31</f>
        <v>-2.3985142585410514E-6</v>
      </c>
      <c r="M31" s="40">
        <f t="shared" ref="M31:M94" si="28">M30+N30*D$5</f>
        <v>1273.2898420120252</v>
      </c>
      <c r="N31" s="21">
        <f>-(Données!I$46*1E-24*H31+Données!F$46)*M31+Données!H$45*1E-24*H31*K31</f>
        <v>1.2713711731615454E-6</v>
      </c>
      <c r="O31" s="42">
        <f t="shared" ref="O31:O94" si="29">O30+P30*D$5</f>
        <v>199.01792120035356</v>
      </c>
      <c r="P31" s="23">
        <f>-(Données!I$47*1E-24*H31+Données!F$47)*O31+(Données!H$46*1E-24*H31)*M31</f>
        <v>-2.8463573624159098E-7</v>
      </c>
      <c r="Q31" s="40">
        <f t="shared" ref="Q31:Q94" si="30">Q30+R30*D$5</f>
        <v>93.14083509563514</v>
      </c>
      <c r="R31" s="43">
        <f>-(Données!I$48*1E-24*H31+Données!F$48)*Q31+Données!H$47*1E-24*H31*O31+(Données!I$49*1E-24*H31*S31)*0.85*0.16</f>
        <v>1.0618988890162106E-7</v>
      </c>
      <c r="S31" s="42">
        <f t="shared" ref="S31:S94" si="31">S30+T30*D$5</f>
        <v>52.299601771819916</v>
      </c>
      <c r="T31" s="22">
        <f>-(Données!I$49*1E-24*H31+Données!F$49)*S31+Données!F$47*O31</f>
        <v>-2.3228481470590567E-8</v>
      </c>
      <c r="U31" s="28">
        <f t="shared" ref="U31:U94" si="32">I31+K31+M31+O31+Q31+S31</f>
        <v>4944.7838446469559</v>
      </c>
      <c r="V31" s="19"/>
      <c r="W31" s="40">
        <f t="shared" ref="W31:W94" si="33">W30+X30*D$5</f>
        <v>79.044919763796869</v>
      </c>
      <c r="X31" s="21">
        <f>-(Données!I$50*1E-24*H31+Données!F$50)*W31+Données!F$45*K31</f>
        <v>-5.7890931446307957E-7</v>
      </c>
      <c r="Y31" s="42">
        <f t="shared" ref="Y31:Y94" si="34">Y30+Z30*D$5</f>
        <v>24669.047406462152</v>
      </c>
      <c r="Z31" s="23">
        <f>-(Données!I$51*1E-24*H31+Données!F$51)*Y31+Données!F$48*Q31</f>
        <v>-2.4199923788511652E-5</v>
      </c>
      <c r="AA31" s="15">
        <f t="shared" ref="AA31:AA94" si="35">W31+Y31</f>
        <v>24748.092326225949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35.389540147431944</v>
      </c>
      <c r="J32" s="21">
        <f>-(Données!I$44*1E-24*H32+Données!F$44)*I32+(Données!H$50*1E-24*H32)*W32+0.71*(Données!H$49*1E-24*H32)*S32</f>
        <v>1.1819553113102488E-7</v>
      </c>
      <c r="K32" s="42">
        <f t="shared" si="27"/>
        <v>3285.6653672008533</v>
      </c>
      <c r="L32" s="23">
        <f>-(Données!I$45*1E-24*H32+Données!F$45)*K32+(I32*Données!H$44*1E-24*H32)+(Données!H$51*1E-24*H32)*Y32</f>
        <v>-2.4068281966515858E-6</v>
      </c>
      <c r="M32" s="40">
        <f t="shared" si="28"/>
        <v>1276.6310054550938</v>
      </c>
      <c r="N32" s="21">
        <f>-(Données!I$46*1E-24*H32+Données!F$46)*M32+Données!H$45*1E-24*H32*K32</f>
        <v>1.2532201379439075E-6</v>
      </c>
      <c r="O32" s="42">
        <f t="shared" si="29"/>
        <v>198.26989848551065</v>
      </c>
      <c r="P32" s="23">
        <f>-(Données!I$47*1E-24*H32+Données!F$47)*O32+(Données!H$46*1E-24*H32)*M32</f>
        <v>-2.7196817734074438E-7</v>
      </c>
      <c r="Q32" s="40">
        <f t="shared" si="30"/>
        <v>93.419902123668606</v>
      </c>
      <c r="R32" s="43">
        <f>-(Données!I$48*1E-24*H32+Données!F$48)*Q32+Données!H$47*1E-24*H32*O32+(Données!I$49*1E-24*H32*S32)*0.85*0.16</f>
        <v>1.0443459931771415E-7</v>
      </c>
      <c r="S32" s="42">
        <f t="shared" si="31"/>
        <v>52.238557322515206</v>
      </c>
      <c r="T32" s="22">
        <f>-(Données!I$49*1E-24*H32+Données!F$49)*S32+Données!F$47*O32</f>
        <v>-2.3992675358758112E-8</v>
      </c>
      <c r="U32" s="28">
        <f t="shared" si="32"/>
        <v>4941.6142707350737</v>
      </c>
      <c r="V32" s="19"/>
      <c r="W32" s="40">
        <f t="shared" si="33"/>
        <v>77.523546085387892</v>
      </c>
      <c r="X32" s="21">
        <f>-(Données!I$50*1E-24*H32+Données!F$50)*W32+Données!F$45*K32</f>
        <v>-5.6771506009981275E-7</v>
      </c>
      <c r="Y32" s="42">
        <f t="shared" si="34"/>
        <v>24605.450006745945</v>
      </c>
      <c r="Z32" s="23">
        <f>-(Données!I$51*1E-24*H32+Données!F$51)*Y32+Données!F$48*Q32</f>
        <v>-2.4137535770376377E-5</v>
      </c>
      <c r="AA32" s="15">
        <f t="shared" si="35"/>
        <v>24682.973552831332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35.700158003244276</v>
      </c>
      <c r="J33" s="21">
        <f>-(Données!I$44*1E-24*H33+Données!F$44)*I33+(Données!H$50*1E-24*H33)*W33+0.71*(Données!H$49*1E-24*H33)*S33</f>
        <v>1.1376064989822593E-7</v>
      </c>
      <c r="K33" s="42">
        <f t="shared" si="27"/>
        <v>3279.3402227000529</v>
      </c>
      <c r="L33" s="23">
        <f>-(Données!I$45*1E-24*H33+Données!F$45)*K33+(I33*Données!H$44*1E-24*H33)+(Données!H$51*1E-24*H33)*Y33</f>
        <v>-2.4148738363154147E-6</v>
      </c>
      <c r="M33" s="40">
        <f t="shared" si="28"/>
        <v>1279.9244679776104</v>
      </c>
      <c r="N33" s="21">
        <f>-(Données!I$46*1E-24*H33+Données!F$46)*M33+Données!H$45*1E-24*H33*K33</f>
        <v>1.2351674060103713E-6</v>
      </c>
      <c r="O33" s="42">
        <f t="shared" si="29"/>
        <v>197.55516611545917</v>
      </c>
      <c r="P33" s="23">
        <f>-(Données!I$47*1E-24*H33+Données!F$47)*O33+(Données!H$46*1E-24*H33)*M33</f>
        <v>-2.5972025248623462E-7</v>
      </c>
      <c r="Q33" s="40">
        <f t="shared" si="30"/>
        <v>93.694356250675554</v>
      </c>
      <c r="R33" s="43">
        <f>-(Données!I$48*1E-24*H33+Données!F$48)*Q33+Données!H$47*1E-24*H33*O33+(Données!I$49*1E-24*H33*S33)*0.85*0.16</f>
        <v>1.0273516960619139E-7</v>
      </c>
      <c r="S33" s="42">
        <f t="shared" si="31"/>
        <v>52.175504571672391</v>
      </c>
      <c r="T33" s="22">
        <f>-(Données!I$49*1E-24*H33+Données!F$49)*S33+Données!F$47*O33</f>
        <v>-2.4693172338738226E-8</v>
      </c>
      <c r="U33" s="28">
        <f t="shared" si="32"/>
        <v>4938.3898756187155</v>
      </c>
      <c r="V33" s="19"/>
      <c r="W33" s="40">
        <f t="shared" si="33"/>
        <v>76.03159090744559</v>
      </c>
      <c r="X33" s="21">
        <f>-(Données!I$50*1E-24*H33+Données!F$50)*W33+Données!F$45*K33</f>
        <v>-5.5673739784214994E-7</v>
      </c>
      <c r="Y33" s="42">
        <f t="shared" si="34"/>
        <v>24542.016562741395</v>
      </c>
      <c r="Z33" s="23">
        <f>-(Données!I$51*1E-24*H33+Données!F$51)*Y33+Données!F$48*Q33</f>
        <v>-2.4075308590364541E-5</v>
      </c>
      <c r="AA33" s="15">
        <f t="shared" si="35"/>
        <v>24618.048153648841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35.999120991176817</v>
      </c>
      <c r="J34" s="21">
        <f>-(Données!I$44*1E-24*H34+Données!F$44)*I34+(Données!H$50*1E-24*H34)*W34+0.71*(Données!H$49*1E-24*H34)*S34</f>
        <v>1.0943248449618328E-7</v>
      </c>
      <c r="K34" s="42">
        <f t="shared" si="27"/>
        <v>3272.9939342582161</v>
      </c>
      <c r="L34" s="23">
        <f>-(Données!I$45*1E-24*H34+Données!F$45)*K34+(I34*Données!H$44*1E-24*H34)+(Données!H$51*1E-24*H34)*Y34</f>
        <v>-2.4226559704530168E-6</v>
      </c>
      <c r="M34" s="40">
        <f t="shared" si="28"/>
        <v>1283.1704879206056</v>
      </c>
      <c r="N34" s="21">
        <f>-(Données!I$46*1E-24*H34+Données!F$46)*M34+Données!H$45*1E-24*H34*K34</f>
        <v>1.2172132887695814E-6</v>
      </c>
      <c r="O34" s="42">
        <f t="shared" si="29"/>
        <v>196.87262129192536</v>
      </c>
      <c r="P34" s="23">
        <f>-(Données!I$47*1E-24*H34+Données!F$47)*O34+(Données!H$46*1E-24*H34)*M34</f>
        <v>-2.4787994695597206E-7</v>
      </c>
      <c r="Q34" s="40">
        <f t="shared" si="30"/>
        <v>93.964344276400624</v>
      </c>
      <c r="R34" s="43">
        <f>-(Données!I$48*1E-24*H34+Données!F$48)*Q34+Données!H$47*1E-24*H34*O34+(Données!I$49*1E-24*H34*S34)*0.85*0.16</f>
        <v>1.0108984885947027E-7</v>
      </c>
      <c r="S34" s="42">
        <f t="shared" si="31"/>
        <v>52.110610914766184</v>
      </c>
      <c r="T34" s="22">
        <f>-(Données!I$49*1E-24*H34+Données!F$49)*S34+Données!F$47*O34</f>
        <v>-2.5332716211847527E-8</v>
      </c>
      <c r="U34" s="28">
        <f t="shared" si="32"/>
        <v>4935.111119653091</v>
      </c>
      <c r="V34" s="19"/>
      <c r="W34" s="40">
        <f t="shared" si="33"/>
        <v>74.568485025916416</v>
      </c>
      <c r="X34" s="21">
        <f>-(Données!I$50*1E-24*H34+Données!F$50)*W34+Données!F$45*K34</f>
        <v>-5.4597213669889004E-7</v>
      </c>
      <c r="Y34" s="42">
        <f t="shared" si="34"/>
        <v>24478.746651765916</v>
      </c>
      <c r="Z34" s="23">
        <f>-(Données!I$51*1E-24*H34+Données!F$51)*Y34+Données!F$48*Q34</f>
        <v>-2.401324183382287E-5</v>
      </c>
      <c r="AA34" s="15">
        <f t="shared" si="35"/>
        <v>24553.315136791833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36.286709560432783</v>
      </c>
      <c r="J35" s="21">
        <f>-(Données!I$44*1E-24*H35+Données!F$44)*I35+(Données!H$50*1E-24*H35)*W35+0.71*(Données!H$49*1E-24*H35)*S35</f>
        <v>1.0520912194732168E-7</v>
      </c>
      <c r="K35" s="42">
        <f t="shared" si="27"/>
        <v>3266.6271943678657</v>
      </c>
      <c r="L35" s="23">
        <f>-(Données!I$45*1E-24*H35+Données!F$45)*K35+(I35*Données!H$44*1E-24*H35)+(Données!H$51*1E-24*H35)*Y35</f>
        <v>-2.4301793116675095E-6</v>
      </c>
      <c r="M35" s="40">
        <f t="shared" si="28"/>
        <v>1286.3693244434921</v>
      </c>
      <c r="N35" s="21">
        <f>-(Données!I$46*1E-24*H35+Données!F$46)*M35+Données!H$45*1E-24*H35*K35</f>
        <v>1.1993580772907959E-6</v>
      </c>
      <c r="O35" s="42">
        <f t="shared" si="29"/>
        <v>196.22119279132505</v>
      </c>
      <c r="P35" s="23">
        <f>-(Données!I$47*1E-24*H35+Données!F$47)*O35+(Données!H$46*1E-24*H35)*M35</f>
        <v>-2.3643557830299794E-7</v>
      </c>
      <c r="Q35" s="40">
        <f t="shared" si="30"/>
        <v>94.230008399203314</v>
      </c>
      <c r="R35" s="43">
        <f>-(Données!I$48*1E-24*H35+Données!F$48)*Q35+Données!H$47*1E-24*H35*O35+(Données!I$49*1E-24*H35*S35)*0.85*0.16</f>
        <v>9.949693518288959E-8</v>
      </c>
      <c r="S35" s="42">
        <f t="shared" si="31"/>
        <v>52.04403653656145</v>
      </c>
      <c r="T35" s="22">
        <f>-(Données!I$49*1E-24*H35+Données!F$49)*S35+Données!F$47*O35</f>
        <v>-2.5913957028865618E-8</v>
      </c>
      <c r="U35" s="28">
        <f t="shared" si="32"/>
        <v>4931.77846609888</v>
      </c>
      <c r="V35" s="19"/>
      <c r="W35" s="40">
        <f t="shared" si="33"/>
        <v>73.133670250671727</v>
      </c>
      <c r="X35" s="21">
        <f>-(Données!I$50*1E-24*H35+Données!F$50)*W35+Données!F$45*K35</f>
        <v>-5.3541516677227906E-7</v>
      </c>
      <c r="Y35" s="42">
        <f t="shared" si="34"/>
        <v>24415.639852226628</v>
      </c>
      <c r="Z35" s="23">
        <f>-(Données!I$51*1E-24*H35+Données!F$51)*Y35+Données!F$48*Q35</f>
        <v>-2.3951335087167362E-5</v>
      </c>
      <c r="AA35" s="15">
        <f t="shared" si="35"/>
        <v>24488.773522477299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36.563199132910341</v>
      </c>
      <c r="J36" s="21">
        <f>-(Données!I$44*1E-24*H36+Données!F$44)*I36+(Données!H$50*1E-24*H36)*W36+0.71*(Données!H$49*1E-24*H36)*S36</f>
        <v>1.0108866949498161E-7</v>
      </c>
      <c r="K36" s="42">
        <f t="shared" si="27"/>
        <v>3260.2406831368035</v>
      </c>
      <c r="L36" s="23">
        <f>-(Données!I$45*1E-24*H36+Données!F$45)*K36+(I36*Données!H$44*1E-24*H36)+(Données!H$51*1E-24*H36)*Y36</f>
        <v>-2.4374484936289374E-6</v>
      </c>
      <c r="M36" s="40">
        <f t="shared" si="28"/>
        <v>1289.5212374706123</v>
      </c>
      <c r="N36" s="21">
        <f>-(Données!I$46*1E-24*H36+Données!F$46)*M36+Données!H$45*1E-24*H36*K36</f>
        <v>1.1816020427527932E-6</v>
      </c>
      <c r="O36" s="42">
        <f t="shared" si="29"/>
        <v>195.59984009154476</v>
      </c>
      <c r="P36" s="23">
        <f>-(Données!I$47*1E-24*H36+Données!F$47)*O36+(Données!H$46*1E-24*H36)*M36</f>
        <v>-2.2537578721017782E-7</v>
      </c>
      <c r="Q36" s="40">
        <f t="shared" si="30"/>
        <v>94.491486344863944</v>
      </c>
      <c r="R36" s="43">
        <f>-(Données!I$48*1E-24*H36+Données!F$48)*Q36+Données!H$47*1E-24*H36*O36+(Données!I$49*1E-24*H36*S36)*0.85*0.16</f>
        <v>9.7954774375397425E-8</v>
      </c>
      <c r="S36" s="42">
        <f t="shared" si="31"/>
        <v>51.975934657489589</v>
      </c>
      <c r="T36" s="22">
        <f>-(Données!I$49*1E-24*H36+Données!F$49)*S36+Données!F$47*O36</f>
        <v>-2.6439453977807997E-8</v>
      </c>
      <c r="U36" s="28">
        <f t="shared" si="32"/>
        <v>4928.3923808342242</v>
      </c>
      <c r="V36" s="19"/>
      <c r="W36" s="40">
        <f t="shared" si="33"/>
        <v>71.726599192394175</v>
      </c>
      <c r="X36" s="21">
        <f>-(Données!I$50*1E-24*H36+Données!F$50)*W36+Données!F$45*K36</f>
        <v>-5.2506245768892507E-7</v>
      </c>
      <c r="Y36" s="42">
        <f t="shared" si="34"/>
        <v>24352.695743617551</v>
      </c>
      <c r="Z36" s="23">
        <f>-(Données!I$51*1E-24*H36+Données!F$51)*Y36+Données!F$48*Q36</f>
        <v>-2.3889587937880504E-5</v>
      </c>
      <c r="AA36" s="15">
        <f t="shared" si="35"/>
        <v>24424.422342809947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36.828860156343154</v>
      </c>
      <c r="J37" s="21">
        <f>-(Données!I$44*1E-24*H37+Données!F$44)*I37+(Données!H$50*1E-24*H37)*W37+0.71*(Données!H$49*1E-24*H37)*S37</f>
        <v>9.7069254855981958E-8</v>
      </c>
      <c r="K37" s="42">
        <f t="shared" si="27"/>
        <v>3253.8350684955467</v>
      </c>
      <c r="L37" s="23">
        <f>-(Données!I$45*1E-24*H37+Données!F$45)*K37+(I37*Données!H$44*1E-24*H37)+(Données!H$51*1E-24*H37)*Y37</f>
        <v>-2.4444680724321175E-6</v>
      </c>
      <c r="M37" s="40">
        <f t="shared" si="28"/>
        <v>1292.6264876389666</v>
      </c>
      <c r="N37" s="21">
        <f>-(Données!I$46*1E-24*H37+Données!F$46)*M37+Données!H$45*1E-24*H37*K37</f>
        <v>1.1639454368843346E-6</v>
      </c>
      <c r="O37" s="42">
        <f t="shared" si="29"/>
        <v>195.00755252275641</v>
      </c>
      <c r="P37" s="23">
        <f>-(Données!I$47*1E-24*H37+Données!F$47)*O37+(Données!H$46*1E-24*H37)*M37</f>
        <v>-2.1468952859701461E-7</v>
      </c>
      <c r="Q37" s="40">
        <f t="shared" si="30"/>
        <v>94.748911491922485</v>
      </c>
      <c r="R37" s="43">
        <f>-(Données!I$48*1E-24*H37+Données!F$48)*Q37+Données!H$47*1E-24*H37*O37+(Données!I$49*1E-24*H37*S37)*0.85*0.16</f>
        <v>9.6461758645684113E-8</v>
      </c>
      <c r="S37" s="42">
        <f t="shared" si="31"/>
        <v>51.906451772435908</v>
      </c>
      <c r="T37" s="22">
        <f>-(Données!I$49*1E-24*H37+Données!F$49)*S37+Données!F$47*O37</f>
        <v>-2.691167818714242E-8</v>
      </c>
      <c r="U37" s="28">
        <f t="shared" si="32"/>
        <v>4924.953332077971</v>
      </c>
      <c r="V37" s="19"/>
      <c r="W37" s="40">
        <f t="shared" si="33"/>
        <v>70.346735053587679</v>
      </c>
      <c r="X37" s="21">
        <f>-(Données!I$50*1E-24*H37+Données!F$50)*W37+Données!F$45*K37</f>
        <v>-5.1491005706107181E-7</v>
      </c>
      <c r="Y37" s="42">
        <f t="shared" si="34"/>
        <v>24289.913906516802</v>
      </c>
      <c r="Z37" s="23">
        <f>-(Données!I$51*1E-24*H37+Données!F$51)*Y37+Données!F$48*Q37</f>
        <v>-2.3827999974508519E-5</v>
      </c>
      <c r="AA37" s="15">
        <f t="shared" si="35"/>
        <v>24360.260641570389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37.083958158104672</v>
      </c>
      <c r="J38" s="21">
        <f>-(Données!I$44*1E-24*H38+Données!F$44)*I38+(Données!H$50*1E-24*H38)*W38+0.71*(Données!H$49*1E-24*H38)*S38</f>
        <v>9.3149026448272941E-8</v>
      </c>
      <c r="K38" s="42">
        <f t="shared" si="27"/>
        <v>3247.4110064011952</v>
      </c>
      <c r="L38" s="23">
        <f>-(Données!I$45*1E-24*H38+Données!F$45)*K38+(I38*Données!H$44*1E-24*H38)+(Données!H$51*1E-24*H38)*Y38</f>
        <v>-2.4512425279287506E-6</v>
      </c>
      <c r="M38" s="40">
        <f t="shared" si="28"/>
        <v>1295.6853362470986</v>
      </c>
      <c r="N38" s="21">
        <f>-(Données!I$46*1E-24*H38+Données!F$46)*M38+Données!H$45*1E-24*H38*K38</f>
        <v>1.146388492396355E-6</v>
      </c>
      <c r="O38" s="42">
        <f t="shared" si="29"/>
        <v>194.44334844160346</v>
      </c>
      <c r="P38" s="23">
        <f>-(Données!I$47*1E-24*H38+Données!F$47)*O38+(Données!H$46*1E-24*H38)*M38</f>
        <v>-2.0436606297162729E-7</v>
      </c>
      <c r="Q38" s="40">
        <f t="shared" si="30"/>
        <v>95.002412993643347</v>
      </c>
      <c r="R38" s="43">
        <f>-(Données!I$48*1E-24*H38+Données!F$48)*Q38+Données!H$47*1E-24*H38*O38+(Données!I$49*1E-24*H38*S38)*0.85*0.16</f>
        <v>9.5016325362798673E-8</v>
      </c>
      <c r="S38" s="42">
        <f t="shared" si="31"/>
        <v>51.8357278821601</v>
      </c>
      <c r="T38" s="22">
        <f>-(Données!I$49*1E-24*H38+Données!F$49)*S38+Données!F$47*O38</f>
        <v>-2.7333015446860118E-8</v>
      </c>
      <c r="U38" s="28">
        <f t="shared" si="32"/>
        <v>4921.4617901238053</v>
      </c>
      <c r="V38" s="19"/>
      <c r="W38" s="40">
        <f t="shared" si="33"/>
        <v>68.993551423631189</v>
      </c>
      <c r="X38" s="21">
        <f>-(Données!I$50*1E-24*H38+Données!F$50)*W38+Données!F$45*K38</f>
        <v>-5.0495408897764748E-7</v>
      </c>
      <c r="Y38" s="42">
        <f t="shared" si="34"/>
        <v>24227.293922583794</v>
      </c>
      <c r="Z38" s="23">
        <f>-(Données!I$51*1E-24*H38+Données!F$51)*Y38+Données!F$48*Q38</f>
        <v>-2.3766570786658612E-5</v>
      </c>
      <c r="AA38" s="15">
        <f t="shared" si="35"/>
        <v>24296.287474007426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37.32875379961073</v>
      </c>
      <c r="J39" s="21">
        <f>-(Données!I$44*1E-24*H39+Données!F$44)*I39+(Données!H$50*1E-24*H39)*W39+0.71*(Données!H$49*1E-24*H39)*S39</f>
        <v>8.9326153594737912E-8</v>
      </c>
      <c r="K39" s="42">
        <f t="shared" si="27"/>
        <v>3240.9691410377986</v>
      </c>
      <c r="L39" s="23">
        <f>-(Données!I$45*1E-24*H39+Données!F$45)*K39+(I39*Données!H$44*1E-24*H39)+(Données!H$51*1E-24*H39)*Y39</f>
        <v>-2.4577762650342847E-6</v>
      </c>
      <c r="M39" s="40">
        <f t="shared" si="28"/>
        <v>1298.6980452051162</v>
      </c>
      <c r="N39" s="21">
        <f>-(Données!I$46*1E-24*H39+Données!F$46)*M39+Données!H$45*1E-24*H39*K39</f>
        <v>1.1289314234060202E-6</v>
      </c>
      <c r="O39" s="42">
        <f t="shared" si="29"/>
        <v>193.90627442811402</v>
      </c>
      <c r="P39" s="23">
        <f>-(Données!I$47*1E-24*H39+Données!F$47)*O39+(Données!H$46*1E-24*H39)*M39</f>
        <v>-1.9439494802111154E-7</v>
      </c>
      <c r="Q39" s="40">
        <f t="shared" si="30"/>
        <v>95.252115896696779</v>
      </c>
      <c r="R39" s="43">
        <f>-(Données!I$48*1E-24*H39+Données!F$48)*Q39+Données!H$47*1E-24*H39*O39+(Données!I$49*1E-24*H39*S39)*0.85*0.16</f>
        <v>9.3616955840316247E-8</v>
      </c>
      <c r="S39" s="42">
        <f t="shared" si="31"/>
        <v>51.76389671756575</v>
      </c>
      <c r="T39" s="22">
        <f>-(Données!I$49*1E-24*H39+Données!F$49)*S39+Données!F$47*O39</f>
        <v>-2.7705768849746975E-8</v>
      </c>
      <c r="U39" s="28">
        <f t="shared" si="32"/>
        <v>4917.9182270849005</v>
      </c>
      <c r="V39" s="19"/>
      <c r="W39" s="40">
        <f t="shared" si="33"/>
        <v>67.666532077797925</v>
      </c>
      <c r="X39" s="21">
        <f>-(Données!I$50*1E-24*H39+Données!F$50)*W39+Données!F$45*K39</f>
        <v>-4.9519075252450732E-7</v>
      </c>
      <c r="Y39" s="42">
        <f t="shared" si="34"/>
        <v>24164.835374556456</v>
      </c>
      <c r="Z39" s="23">
        <f>-(Données!I$51*1E-24*H39+Données!F$51)*Y39+Données!F$48*Q39</f>
        <v>-2.3705299964996229E-5</v>
      </c>
      <c r="AA39" s="15">
        <f t="shared" si="35"/>
        <v>24232.501906634254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37.563502931257702</v>
      </c>
      <c r="J40" s="21">
        <f>-(Données!I$44*1E-24*H40+Données!F$44)*I40+(Données!H$50*1E-24*H40)*W40+0.71*(Données!H$49*1E-24*H40)*S40</f>
        <v>8.5598826704168111E-8</v>
      </c>
      <c r="K40" s="42">
        <f t="shared" si="27"/>
        <v>3234.5101050132885</v>
      </c>
      <c r="L40" s="23">
        <f>-(Données!I$45*1E-24*H40+Données!F$45)*K40+(I40*Données!H$44*1E-24*H40)+(Données!H$51*1E-24*H40)*Y40</f>
        <v>-2.4640736150101199E-6</v>
      </c>
      <c r="M40" s="40">
        <f t="shared" si="28"/>
        <v>1301.6648769858273</v>
      </c>
      <c r="N40" s="21">
        <f>-(Données!I$46*1E-24*H40+Données!F$46)*M40+Données!H$45*1E-24*H40*K40</f>
        <v>1.1115744258528245E-6</v>
      </c>
      <c r="O40" s="42">
        <f t="shared" si="29"/>
        <v>193.39540450471455</v>
      </c>
      <c r="P40" s="23">
        <f>-(Données!I$47*1E-24*H40+Données!F$47)*O40+(Données!H$46*1E-24*H40)*M40</f>
        <v>-1.8476603043370515E-7</v>
      </c>
      <c r="Q40" s="40">
        <f t="shared" si="30"/>
        <v>95.498141256645127</v>
      </c>
      <c r="R40" s="43">
        <f>-(Données!I$48*1E-24*H40+Données!F$48)*Q40+Données!H$47*1E-24*H40*O40+(Données!I$49*1E-24*H40*S40)*0.85*0.16</f>
        <v>9.2262174153145838E-8</v>
      </c>
      <c r="S40" s="42">
        <f t="shared" si="31"/>
        <v>51.691085957028612</v>
      </c>
      <c r="T40" s="22">
        <f>-(Données!I$49*1E-24*H40+Données!F$49)*S40+Données!F$47*O40</f>
        <v>-2.8032161355134151E-8</v>
      </c>
      <c r="U40" s="28">
        <f t="shared" si="32"/>
        <v>4914.3231166487622</v>
      </c>
      <c r="V40" s="19"/>
      <c r="W40" s="40">
        <f t="shared" si="33"/>
        <v>66.365170780163524</v>
      </c>
      <c r="X40" s="21">
        <f>-(Données!I$50*1E-24*H40+Données!F$50)*W40+Données!F$45*K40</f>
        <v>-4.8561632033330997E-7</v>
      </c>
      <c r="Y40" s="42">
        <f t="shared" si="34"/>
        <v>24102.537846248448</v>
      </c>
      <c r="Z40" s="23">
        <f>-(Données!I$51*1E-24*H40+Données!F$51)*Y40+Données!F$48*Q40</f>
        <v>-2.3644187101242332E-5</v>
      </c>
      <c r="AA40" s="15">
        <f t="shared" si="35"/>
        <v>24168.90301702861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37.788456647836256</v>
      </c>
      <c r="J41" s="21">
        <f>-(Données!I$44*1E-24*H41+Données!F$44)*I41+(Données!H$50*1E-24*H41)*W41+0.71*(Données!H$49*1E-24*H41)*S41</f>
        <v>8.1965257430396273E-8</v>
      </c>
      <c r="K41" s="42">
        <f t="shared" si="27"/>
        <v>3228.0345195530417</v>
      </c>
      <c r="L41" s="23">
        <f>-(Données!I$45*1E-24*H41+Données!F$45)*K41+(I41*Données!H$44*1E-24*H41)+(Données!H$51*1E-24*H41)*Y41</f>
        <v>-2.4701388367217095E-6</v>
      </c>
      <c r="M41" s="40">
        <f t="shared" si="28"/>
        <v>1304.5860945769684</v>
      </c>
      <c r="N41" s="21">
        <f>-(Données!I$46*1E-24*H41+Données!F$46)*M41+Données!H$45*1E-24*H41*K41</f>
        <v>1.0943176779068605E-6</v>
      </c>
      <c r="O41" s="42">
        <f t="shared" si="29"/>
        <v>192.90983937673477</v>
      </c>
      <c r="P41" s="23">
        <f>-(Données!I$47*1E-24*H41+Données!F$47)*O41+(Données!H$46*1E-24*H41)*M41</f>
        <v>-1.7546943794634739E-7</v>
      </c>
      <c r="Q41" s="40">
        <f t="shared" si="30"/>
        <v>95.740606250319601</v>
      </c>
      <c r="R41" s="43">
        <f>-(Données!I$48*1E-24*H41+Données!F$48)*Q41+Données!H$47*1E-24*H41*O41+(Données!I$49*1E-24*H41*S41)*0.85*0.16</f>
        <v>9.0950545986095768E-8</v>
      </c>
      <c r="S41" s="42">
        <f t="shared" si="31"/>
        <v>51.617417436987317</v>
      </c>
      <c r="T41" s="22">
        <f>-(Données!I$49*1E-24*H41+Données!F$49)*S41+Données!F$47*O41</f>
        <v>-2.831433827734239E-8</v>
      </c>
      <c r="U41" s="28">
        <f t="shared" si="32"/>
        <v>4910.6769338418871</v>
      </c>
      <c r="V41" s="19"/>
      <c r="W41" s="40">
        <f t="shared" si="33"/>
        <v>65.08897109032759</v>
      </c>
      <c r="X41" s="21">
        <f>-(Données!I$50*1E-24*H41+Données!F$50)*W41+Données!F$45*K41</f>
        <v>-4.7622713715846945E-7</v>
      </c>
      <c r="Y41" s="42">
        <f t="shared" si="34"/>
        <v>24040.400922546381</v>
      </c>
      <c r="Z41" s="23">
        <f>-(Données!I$51*1E-24*H41+Données!F$51)*Y41+Données!F$48*Q41</f>
        <v>-2.3583231788170652E-5</v>
      </c>
      <c r="AA41" s="15">
        <f t="shared" si="35"/>
        <v>24105.48989363671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38.003861344363337</v>
      </c>
      <c r="J42" s="21">
        <f>-(Données!I$44*1E-24*H42+Données!F$44)*I42+(Données!H$50*1E-24*H42)*W42+0.71*(Données!H$49*1E-24*H42)*S42</f>
        <v>7.8423678810542673E-8</v>
      </c>
      <c r="K42" s="42">
        <f t="shared" si="27"/>
        <v>3221.5429946901372</v>
      </c>
      <c r="L42" s="23">
        <f>-(Données!I$45*1E-24*H42+Données!F$45)*K42+(I42*Données!H$44*1E-24*H42)+(Données!H$51*1E-24*H42)*Y42</f>
        <v>-2.475976117873043E-6</v>
      </c>
      <c r="M42" s="40">
        <f t="shared" si="28"/>
        <v>1307.4619614345077</v>
      </c>
      <c r="N42" s="21">
        <f>-(Données!I$46*1E-24*H42+Données!F$46)*M42+Données!H$45*1E-24*H42*K42</f>
        <v>1.0771613403694237E-6</v>
      </c>
      <c r="O42" s="42">
        <f t="shared" si="29"/>
        <v>192.44870569381177</v>
      </c>
      <c r="P42" s="23">
        <f>-(Données!I$47*1E-24*H42+Données!F$47)*O42+(Données!H$46*1E-24*H42)*M42</f>
        <v>-1.6649557161141394E-7</v>
      </c>
      <c r="Q42" s="40">
        <f t="shared" si="30"/>
        <v>95.979624285171056</v>
      </c>
      <c r="R42" s="43">
        <f>-(Données!I$48*1E-24*H42+Données!F$48)*Q42+Données!H$47*1E-24*H42*O42+(Données!I$49*1E-24*H42*S42)*0.85*0.16</f>
        <v>8.9680677513337264E-8</v>
      </c>
      <c r="S42" s="42">
        <f t="shared" si="31"/>
        <v>51.543007355994462</v>
      </c>
      <c r="T42" s="22">
        <f>-(Données!I$49*1E-24*H42+Données!F$49)*S42+Données!F$47*O42</f>
        <v>-2.8554369700972062E-8</v>
      </c>
      <c r="U42" s="28">
        <f t="shared" si="32"/>
        <v>4906.980154803985</v>
      </c>
      <c r="V42" s="19"/>
      <c r="W42" s="40">
        <f t="shared" si="33"/>
        <v>63.837446173875129</v>
      </c>
      <c r="X42" s="21">
        <f>-(Données!I$50*1E-24*H42+Données!F$50)*W42+Données!F$45*K42</f>
        <v>-4.670196184816431E-7</v>
      </c>
      <c r="Y42" s="42">
        <f t="shared" si="34"/>
        <v>23978.424189407069</v>
      </c>
      <c r="Z42" s="23">
        <f>-(Données!I$51*1E-24*H42+Données!F$51)*Y42+Données!F$48*Q42</f>
        <v>-2.3522433619604998E-5</v>
      </c>
      <c r="AA42" s="15">
        <f t="shared" si="35"/>
        <v>24042.261635580944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38.209958772277446</v>
      </c>
      <c r="J43" s="21">
        <f>-(Données!I$44*1E-24*H43+Données!F$44)*I43+(Données!H$50*1E-24*H43)*W43+0.71*(Données!H$49*1E-24*H43)*S43</f>
        <v>7.4972345383292797E-8</v>
      </c>
      <c r="K43" s="42">
        <f t="shared" si="27"/>
        <v>3215.0361294523668</v>
      </c>
      <c r="L43" s="23">
        <f>-(Données!I$45*1E-24*H43+Données!F$45)*K43+(I43*Données!H$44*1E-24*H43)+(Données!H$51*1E-24*H43)*Y43</f>
        <v>-2.4815895762181097E-6</v>
      </c>
      <c r="M43" s="40">
        <f t="shared" si="28"/>
        <v>1310.2927414369985</v>
      </c>
      <c r="N43" s="21">
        <f>-(Données!I$46*1E-24*H43+Données!F$46)*M43+Données!H$45*1E-24*H43*K43</f>
        <v>1.0601055570660791E-6</v>
      </c>
      <c r="O43" s="42">
        <f t="shared" si="29"/>
        <v>192.01115533161698</v>
      </c>
      <c r="P43" s="23">
        <f>-(Données!I$47*1E-24*H43+Données!F$47)*O43+(Données!H$46*1E-24*H43)*M43</f>
        <v>-1.5783509827656859E-7</v>
      </c>
      <c r="Q43" s="40">
        <f t="shared" si="30"/>
        <v>96.215305105676109</v>
      </c>
      <c r="R43" s="43">
        <f>-(Données!I$48*1E-24*H43+Données!F$48)*Q43+Données!H$47*1E-24*H43*O43+(Données!I$49*1E-24*H43*S43)*0.85*0.16</f>
        <v>8.845121430792878E-8</v>
      </c>
      <c r="S43" s="42">
        <f t="shared" si="31"/>
        <v>51.467966472420308</v>
      </c>
      <c r="T43" s="22">
        <f>-(Données!I$49*1E-24*H43+Données!F$49)*S43+Données!F$47*O43</f>
        <v>-2.8754252825131066E-8</v>
      </c>
      <c r="U43" s="28">
        <f t="shared" si="32"/>
        <v>4903.2332565713559</v>
      </c>
      <c r="V43" s="19"/>
      <c r="W43" s="40">
        <f t="shared" si="33"/>
        <v>62.610118616505375</v>
      </c>
      <c r="X43" s="21">
        <f>-(Données!I$50*1E-24*H43+Données!F$50)*W43+Données!F$45*K43</f>
        <v>-4.579902491432204E-7</v>
      </c>
      <c r="Y43" s="42">
        <f t="shared" si="34"/>
        <v>23916.607233854746</v>
      </c>
      <c r="Z43" s="23">
        <f>-(Données!I$51*1E-24*H43+Données!F$51)*Y43+Données!F$48*Q43</f>
        <v>-2.3461792190416514E-5</v>
      </c>
      <c r="AA43" s="15">
        <f t="shared" si="35"/>
        <v>23979.217352471253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38.406986095944738</v>
      </c>
      <c r="J44" s="21">
        <f>-(Données!I$44*1E-24*H44+Données!F$44)*I44+(Données!H$50*1E-24*H44)*W44+0.71*(Données!H$49*1E-24*H44)*S44</f>
        <v>7.1609533288094187E-8</v>
      </c>
      <c r="K44" s="42">
        <f t="shared" si="27"/>
        <v>3208.5145120460656</v>
      </c>
      <c r="L44" s="23">
        <f>-(Données!I$45*1E-24*H44+Données!F$45)*K44+(I44*Données!H$44*1E-24*H44)+(Données!H$51*1E-24*H44)*Y44</f>
        <v>-2.4869832607497232E-6</v>
      </c>
      <c r="M44" s="40">
        <f t="shared" si="28"/>
        <v>1313.0786988409682</v>
      </c>
      <c r="N44" s="21">
        <f>-(Données!I$46*1E-24*H44+Données!F$46)*M44+Données!H$45*1E-24*H44*K44</f>
        <v>1.0431504552323547E-6</v>
      </c>
      <c r="O44" s="42">
        <f t="shared" si="29"/>
        <v>191.59636469334615</v>
      </c>
      <c r="P44" s="23">
        <f>-(Données!I$47*1E-24*H44+Données!F$47)*O44+(Données!H$46*1E-24*H44)*M44</f>
        <v>-1.4947894327184418E-7</v>
      </c>
      <c r="Q44" s="40">
        <f t="shared" si="30"/>
        <v>96.447754896877342</v>
      </c>
      <c r="R44" s="43">
        <f>-(Données!I$48*1E-24*H44+Données!F$48)*Q44+Données!H$47*1E-24*H44*O44+(Données!I$49*1E-24*H44*S44)*0.85*0.16</f>
        <v>8.7260840280589039E-8</v>
      </c>
      <c r="S44" s="42">
        <f t="shared" si="31"/>
        <v>51.392400295995863</v>
      </c>
      <c r="T44" s="22">
        <f>-(Données!I$49*1E-24*H44+Données!F$49)*S44+Données!F$47*O44</f>
        <v>-2.8915914238632711E-8</v>
      </c>
      <c r="U44" s="28">
        <f t="shared" si="32"/>
        <v>4899.4367168691979</v>
      </c>
      <c r="V44" s="19"/>
      <c r="W44" s="40">
        <f t="shared" si="33"/>
        <v>61.406520241756994</v>
      </c>
      <c r="X44" s="21">
        <f>-(Données!I$50*1E-24*H44+Données!F$50)*W44+Données!F$45*K44</f>
        <v>-4.4913558200029035E-7</v>
      </c>
      <c r="Y44" s="42">
        <f t="shared" si="34"/>
        <v>23854.949643978332</v>
      </c>
      <c r="Z44" s="23">
        <f>-(Données!I$51*1E-24*H44+Données!F$51)*Y44+Données!F$48*Q44</f>
        <v>-2.3401307096520985E-5</v>
      </c>
      <c r="AA44" s="15">
        <f t="shared" si="35"/>
        <v>23916.356164220091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38.595175949425851</v>
      </c>
      <c r="J45" s="21">
        <f>-(Données!I$44*1E-24*H45+Données!F$44)*I45+(Données!H$50*1E-24*H45)*W45+0.71*(Données!H$49*1E-24*H45)*S45</f>
        <v>6.8333540346128242E-8</v>
      </c>
      <c r="K45" s="42">
        <f t="shared" si="27"/>
        <v>3201.9787200368155</v>
      </c>
      <c r="L45" s="23">
        <f>-(Données!I$45*1E-24*H45+Données!F$45)*K45+(I45*Données!H$44*1E-24*H45)+(Données!H$51*1E-24*H45)*Y45</f>
        <v>-2.4921611528663395E-6</v>
      </c>
      <c r="M45" s="40">
        <f t="shared" si="28"/>
        <v>1315.8200982373187</v>
      </c>
      <c r="N45" s="21">
        <f>-(Données!I$46*1E-24*H45+Données!F$46)*M45+Données!H$45*1E-24*H45*K45</f>
        <v>1.0262961458921647E-6</v>
      </c>
      <c r="O45" s="42">
        <f t="shared" si="29"/>
        <v>191.20353403042773</v>
      </c>
      <c r="P45" s="23">
        <f>-(Données!I$47*1E-24*H45+Données!F$47)*O45+(Données!H$46*1E-24*H45)*M45</f>
        <v>-1.4141828329823604E-7</v>
      </c>
      <c r="Q45" s="40">
        <f t="shared" si="30"/>
        <v>96.677076385134725</v>
      </c>
      <c r="R45" s="43">
        <f>-(Données!I$48*1E-24*H45+Données!F$48)*Q45+Données!H$47*1E-24*H45*O45+(Données!I$49*1E-24*H45*S45)*0.85*0.16</f>
        <v>8.6108276646926748E-8</v>
      </c>
      <c r="S45" s="42">
        <f t="shared" si="31"/>
        <v>51.316409273376735</v>
      </c>
      <c r="T45" s="22">
        <f>-(Données!I$49*1E-24*H45+Données!F$49)*S45+Données!F$47*O45</f>
        <v>-2.9041212128139942E-8</v>
      </c>
      <c r="U45" s="28">
        <f t="shared" si="32"/>
        <v>4895.591013912499</v>
      </c>
      <c r="V45" s="19"/>
      <c r="W45" s="40">
        <f t="shared" si="33"/>
        <v>60.226191932260228</v>
      </c>
      <c r="X45" s="21">
        <f>-(Données!I$50*1E-24*H45+Données!F$50)*W45+Données!F$45*K45</f>
        <v>-4.4045223661057662E-7</v>
      </c>
      <c r="Y45" s="42">
        <f t="shared" si="34"/>
        <v>23793.451008928674</v>
      </c>
      <c r="Z45" s="23">
        <f>-(Données!I$51*1E-24*H45+Données!F$51)*Y45+Données!F$48*Q45</f>
        <v>-2.3340977934876138E-5</v>
      </c>
      <c r="AA45" s="15">
        <f t="shared" si="35"/>
        <v>23853.677200860933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38.774756493455477</v>
      </c>
      <c r="J46" s="21">
        <f>-(Données!I$44*1E-24*H46+Données!F$44)*I46+(Données!H$50*1E-24*H46)*W46+0.71*(Données!H$49*1E-24*H46)*S46</f>
        <v>6.514268612388311E-8</v>
      </c>
      <c r="K46" s="42">
        <f t="shared" si="27"/>
        <v>3195.4293205270828</v>
      </c>
      <c r="L46" s="23">
        <f>-(Données!I$45*1E-24*H46+Données!F$45)*K46+(I46*Données!H$44*1E-24*H46)+(Données!H$51*1E-24*H46)*Y46</f>
        <v>-2.4971271675172019E-6</v>
      </c>
      <c r="M46" s="40">
        <f t="shared" si="28"/>
        <v>1318.5172045087234</v>
      </c>
      <c r="N46" s="21">
        <f>-(Données!I$46*1E-24*H46+Données!F$46)*M46+Données!H$45*1E-24*H46*K46</f>
        <v>1.0095427242291413E-6</v>
      </c>
      <c r="O46" s="42">
        <f t="shared" si="29"/>
        <v>190.83188678191996</v>
      </c>
      <c r="P46" s="23">
        <f>-(Données!I$47*1E-24*H46+Données!F$47)*O46+(Données!H$46*1E-24*H46)*M46</f>
        <v>-1.3364453951223256E-7</v>
      </c>
      <c r="Q46" s="40">
        <f t="shared" si="30"/>
        <v>96.903368936162849</v>
      </c>
      <c r="R46" s="43">
        <f>-(Données!I$48*1E-24*H46+Données!F$48)*Q46+Données!H$47*1E-24*H46*O46+(Données!I$49*1E-24*H46*S46)*0.85*0.16</f>
        <v>8.4992280922357305E-8</v>
      </c>
      <c r="S46" s="42">
        <f t="shared" si="31"/>
        <v>51.240088967903986</v>
      </c>
      <c r="T46" s="22">
        <f>-(Données!I$49*1E-24*H46+Données!F$49)*S46+Données!F$47*O46</f>
        <v>-2.9131938421174096E-8</v>
      </c>
      <c r="U46" s="28">
        <f t="shared" si="32"/>
        <v>4891.6966262152491</v>
      </c>
      <c r="V46" s="19"/>
      <c r="W46" s="40">
        <f t="shared" si="33"/>
        <v>59.06868345444763</v>
      </c>
      <c r="X46" s="21">
        <f>-(Données!I$50*1E-24*H46+Données!F$50)*W46+Données!F$45*K46</f>
        <v>-4.3193689794183675E-7</v>
      </c>
      <c r="Y46" s="42">
        <f t="shared" si="34"/>
        <v>23732.11091891582</v>
      </c>
      <c r="Z46" s="23">
        <f>-(Données!I$51*1E-24*H46+Données!F$51)*Y46+Données!F$48*Q46</f>
        <v>-2.3280804303478959E-5</v>
      </c>
      <c r="AA46" s="15">
        <f t="shared" si="35"/>
        <v>23791.179602370266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38.945951472589044</v>
      </c>
      <c r="J47" s="21">
        <f>-(Données!I$44*1E-24*H47+Données!F$44)*I47+(Données!H$50*1E-24*H47)*W47+0.71*(Données!H$49*1E-24*H47)*S47</f>
        <v>6.2035311980123954E-8</v>
      </c>
      <c r="K47" s="42">
        <f t="shared" si="27"/>
        <v>3188.8668703308476</v>
      </c>
      <c r="L47" s="23">
        <f>-(Données!I$45*1E-24*H47+Données!F$45)*K47+(I47*Données!H$44*1E-24*H47)+(Données!H$51*1E-24*H47)*Y47</f>
        <v>-2.501885154326404E-6</v>
      </c>
      <c r="M47" s="40">
        <f t="shared" si="28"/>
        <v>1321.1702827879976</v>
      </c>
      <c r="N47" s="21">
        <f>-(Données!I$46*1E-24*H47+Données!F$46)*M47+Données!H$45*1E-24*H47*K47</f>
        <v>9.9289026995096899E-7</v>
      </c>
      <c r="O47" s="42">
        <f t="shared" si="29"/>
        <v>190.48066893208181</v>
      </c>
      <c r="P47" s="23">
        <f>-(Données!I$47*1E-24*H47+Données!F$47)*O47+(Données!H$46*1E-24*H47)*M47</f>
        <v>-1.2614937080088478E-7</v>
      </c>
      <c r="Q47" s="40">
        <f t="shared" si="30"/>
        <v>97.126728650426799</v>
      </c>
      <c r="R47" s="43">
        <f>-(Données!I$48*1E-24*H47+Données!F$48)*Q47+Données!H$47*1E-24*H47*O47+(Données!I$49*1E-24*H47*S47)*0.85*0.16</f>
        <v>8.3911645943958821E-8</v>
      </c>
      <c r="S47" s="42">
        <f t="shared" si="31"/>
        <v>51.163530233733141</v>
      </c>
      <c r="T47" s="22">
        <f>-(Données!I$49*1E-24*H47+Données!F$49)*S47+Données!F$47*O47</f>
        <v>-2.9189820865855178E-8</v>
      </c>
      <c r="U47" s="28">
        <f t="shared" si="32"/>
        <v>4887.7540324076772</v>
      </c>
      <c r="V47" s="19"/>
      <c r="W47" s="40">
        <f t="shared" si="33"/>
        <v>57.933553286656483</v>
      </c>
      <c r="X47" s="21">
        <f>-(Données!I$50*1E-24*H47+Données!F$50)*W47+Données!F$45*K47</f>
        <v>-4.2358631510623246E-7</v>
      </c>
      <c r="Y47" s="42">
        <f t="shared" si="34"/>
        <v>23670.928965206276</v>
      </c>
      <c r="Z47" s="23">
        <f>-(Données!I$51*1E-24*H47+Données!F$51)*Y47+Données!F$48*Q47</f>
        <v>-2.3220785801362983E-5</v>
      </c>
      <c r="AA47" s="15">
        <f t="shared" si="35"/>
        <v>23728.862518492933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39.108980272472813</v>
      </c>
      <c r="J48" s="21">
        <f>-(Données!I$44*1E-24*H48+Données!F$44)*I48+(Données!H$50*1E-24*H48)*W48+0.71*(Données!H$49*1E-24*H48)*S48</f>
        <v>5.9009781097029235E-8</v>
      </c>
      <c r="K48" s="42">
        <f t="shared" si="27"/>
        <v>3182.2919161452778</v>
      </c>
      <c r="L48" s="23">
        <f>-(Données!I$45*1E-24*H48+Données!F$45)*K48+(I48*Données!H$44*1E-24*H48)+(Données!H$51*1E-24*H48)*Y48</f>
        <v>-2.5064388986962388E-6</v>
      </c>
      <c r="M48" s="40">
        <f t="shared" si="28"/>
        <v>1323.7795984174288</v>
      </c>
      <c r="N48" s="21">
        <f>-(Données!I$46*1E-24*H48+Données!F$46)*M48+Données!H$45*1E-24*H48*K48</f>
        <v>9.763388476468696E-7</v>
      </c>
      <c r="O48" s="42">
        <f t="shared" si="29"/>
        <v>190.14914838561708</v>
      </c>
      <c r="P48" s="23">
        <f>-(Données!I$47*1E-24*H48+Données!F$47)*O48+(Données!H$46*1E-24*H48)*M48</f>
        <v>-1.1892466724213607E-7</v>
      </c>
      <c r="Q48" s="40">
        <f t="shared" si="30"/>
        <v>97.347248455967517</v>
      </c>
      <c r="R48" s="43">
        <f>-(Données!I$48*1E-24*H48+Données!F$48)*Q48+Données!H$47*1E-24*H48*O48+(Données!I$49*1E-24*H48*S48)*0.85*0.16</f>
        <v>8.2865198918538117E-8</v>
      </c>
      <c r="S48" s="42">
        <f t="shared" si="31"/>
        <v>51.086819384497673</v>
      </c>
      <c r="T48" s="22">
        <f>-(Données!I$49*1E-24*H48+Données!F$49)*S48+Données!F$47*O48</f>
        <v>-2.9216525049186184E-8</v>
      </c>
      <c r="U48" s="28">
        <f t="shared" si="32"/>
        <v>4883.7637110612623</v>
      </c>
      <c r="V48" s="19"/>
      <c r="W48" s="40">
        <f t="shared" si="33"/>
        <v>56.820368450557304</v>
      </c>
      <c r="X48" s="21">
        <f>-(Données!I$50*1E-24*H48+Données!F$50)*W48+Données!F$45*K48</f>
        <v>-4.15397300119189E-7</v>
      </c>
      <c r="Y48" s="42">
        <f t="shared" si="34"/>
        <v>23609.904740120295</v>
      </c>
      <c r="Z48" s="23">
        <f>-(Données!I$51*1E-24*H48+Données!F$51)*Y48+Données!F$48*Q48</f>
        <v>-2.3160922028595653E-5</v>
      </c>
      <c r="AA48" s="15">
        <f t="shared" si="35"/>
        <v>23666.725108570852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39.264057977195804</v>
      </c>
      <c r="J49" s="21">
        <f>-(Données!I$44*1E-24*H49+Données!F$44)*I49+(Données!H$50*1E-24*H49)*W49+0.71*(Données!H$49*1E-24*H49)*S49</f>
        <v>5.606447849623341E-8</v>
      </c>
      <c r="K49" s="42">
        <f t="shared" si="27"/>
        <v>3175.7049947195042</v>
      </c>
      <c r="L49" s="23">
        <f>-(Données!I$45*1E-24*H49+Données!F$45)*K49+(I49*Données!H$44*1E-24*H49)+(Données!H$51*1E-24*H49)*Y49</f>
        <v>-2.5107921228903127E-6</v>
      </c>
      <c r="M49" s="40">
        <f t="shared" si="28"/>
        <v>1326.3454169090448</v>
      </c>
      <c r="N49" s="21">
        <f>-(Données!I$46*1E-24*H49+Données!F$46)*M49+Données!H$45*1E-24*H49*K49</f>
        <v>9.5988850713836986E-7</v>
      </c>
      <c r="O49" s="42">
        <f t="shared" si="29"/>
        <v>189.83661436010476</v>
      </c>
      <c r="P49" s="23">
        <f>-(Données!I$47*1E-24*H49+Données!F$47)*O49+(Données!H$46*1E-24*H49)*M49</f>
        <v>-1.1196254374531543E-7</v>
      </c>
      <c r="Q49" s="40">
        <f t="shared" si="30"/>
        <v>97.56501819872544</v>
      </c>
      <c r="R49" s="43">
        <f>-(Données!I$48*1E-24*H49+Données!F$48)*Q49+Données!H$47*1E-24*H49*O49+(Données!I$49*1E-24*H49*S49)*0.85*0.16</f>
        <v>8.1851800496199338E-8</v>
      </c>
      <c r="S49" s="42">
        <f t="shared" si="31"/>
        <v>51.01003835666841</v>
      </c>
      <c r="T49" s="22">
        <f>-(Données!I$49*1E-24*H49+Données!F$49)*S49+Données!F$47*O49</f>
        <v>-2.9213656355642091E-8</v>
      </c>
      <c r="U49" s="28">
        <f t="shared" si="32"/>
        <v>4879.7261405212448</v>
      </c>
      <c r="V49" s="19"/>
      <c r="W49" s="40">
        <f t="shared" si="33"/>
        <v>55.728704345844072</v>
      </c>
      <c r="X49" s="21">
        <f>-(Données!I$50*1E-24*H49+Données!F$50)*W49+Données!F$45*K49</f>
        <v>-4.0736672668226901E-7</v>
      </c>
      <c r="Y49" s="42">
        <f t="shared" si="34"/>
        <v>23549.037837029147</v>
      </c>
      <c r="Z49" s="23">
        <f>-(Données!I$51*1E-24*H49+Données!F$51)*Y49+Données!F$48*Q49</f>
        <v>-2.3101212586275604E-5</v>
      </c>
      <c r="AA49" s="15">
        <f t="shared" si="35"/>
        <v>23604.766541374993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39.411395426683903</v>
      </c>
      <c r="J50" s="21">
        <f>-(Données!I$44*1E-24*H50+Données!F$44)*I50+(Données!H$50*1E-24*H50)*W50+0.71*(Données!H$49*1E-24*H50)*S50</f>
        <v>5.3197811040491007E-8</v>
      </c>
      <c r="K50" s="42">
        <f t="shared" si="27"/>
        <v>3169.1066330205485</v>
      </c>
      <c r="L50" s="23">
        <f>-(Données!I$45*1E-24*H50+Données!F$45)*K50+(I50*Données!H$44*1E-24*H50)+(Données!H$51*1E-24*H50)*Y50</f>
        <v>-2.5149484870968401E-6</v>
      </c>
      <c r="M50" s="40">
        <f t="shared" si="28"/>
        <v>1328.8680039058045</v>
      </c>
      <c r="N50" s="21">
        <f>-(Données!I$46*1E-24*H50+Données!F$46)*M50+Données!H$45*1E-24*H50*K50</f>
        <v>9.4353928382346154E-7</v>
      </c>
      <c r="O50" s="42">
        <f t="shared" si="29"/>
        <v>189.54237679514208</v>
      </c>
      <c r="P50" s="23">
        <f>-(Données!I$47*1E-24*H50+Données!F$47)*O50+(Données!H$46*1E-24*H50)*M50</f>
        <v>-1.0525533386680115E-7</v>
      </c>
      <c r="Q50" s="40">
        <f t="shared" si="30"/>
        <v>97.780124730429449</v>
      </c>
      <c r="R50" s="43">
        <f>-(Données!I$48*1E-24*H50+Données!F$48)*Q50+Données!H$47*1E-24*H50*O50+(Données!I$49*1E-24*H50*S50)*0.85*0.16</f>
        <v>8.0870343868725629E-8</v>
      </c>
      <c r="S50" s="42">
        <f t="shared" si="31"/>
        <v>50.933264867765786</v>
      </c>
      <c r="T50" s="22">
        <f>-(Données!I$49*1E-24*H50+Données!F$49)*S50+Données!F$47*O50</f>
        <v>-2.9182761867777959E-8</v>
      </c>
      <c r="U50" s="28">
        <f t="shared" si="32"/>
        <v>4875.6417987463747</v>
      </c>
      <c r="V50" s="19"/>
      <c r="W50" s="40">
        <f t="shared" si="33"/>
        <v>54.658144588123072</v>
      </c>
      <c r="X50" s="21">
        <f>-(Données!I$50*1E-24*H50+Données!F$50)*W50+Données!F$45*K50</f>
        <v>-3.9949152898959672E-7</v>
      </c>
      <c r="Y50" s="42">
        <f t="shared" si="34"/>
        <v>23488.327850352416</v>
      </c>
      <c r="Z50" s="23">
        <f>-(Données!I$51*1E-24*H50+Données!F$51)*Y50+Données!F$48*Q50</f>
        <v>-2.3041657076530049E-5</v>
      </c>
      <c r="AA50" s="15">
        <f t="shared" si="35"/>
        <v>23542.98599494054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39.551199274098316</v>
      </c>
      <c r="J51" s="21">
        <f>-(Données!I$44*1E-24*H51+Données!F$44)*I51+(Données!H$50*1E-24*H51)*W51+0.71*(Données!H$49*1E-24*H51)*S51</f>
        <v>5.0408207421649633E-8</v>
      </c>
      <c r="K51" s="42">
        <f t="shared" si="27"/>
        <v>3162.4973483964582</v>
      </c>
      <c r="L51" s="23">
        <f>-(Données!I$45*1E-24*H51+Données!F$45)*K51+(I51*Données!H$44*1E-24*H51)+(Données!H$51*1E-24*H51)*Y51</f>
        <v>-2.5189115904725601E-6</v>
      </c>
      <c r="M51" s="40">
        <f t="shared" si="28"/>
        <v>1331.3476251436925</v>
      </c>
      <c r="N51" s="21">
        <f>-(Données!I$46*1E-24*H51+Données!F$46)*M51+Données!H$45*1E-24*H51*K51</f>
        <v>9.2729119901428177E-7</v>
      </c>
      <c r="O51" s="42">
        <f t="shared" si="29"/>
        <v>189.26576577774011</v>
      </c>
      <c r="P51" s="23">
        <f>-(Données!I$47*1E-24*H51+Données!F$47)*O51+(Données!H$46*1E-24*H51)*M51</f>
        <v>-9.8795583796034976E-8</v>
      </c>
      <c r="Q51" s="40">
        <f t="shared" si="30"/>
        <v>97.992651994116457</v>
      </c>
      <c r="R51" s="43">
        <f>-(Données!I$48*1E-24*H51+Données!F$48)*Q51+Données!H$47*1E-24*H51*O51+(Données!I$49*1E-24*H51*S51)*0.85*0.16</f>
        <v>7.9919753892104094E-8</v>
      </c>
      <c r="S51" s="42">
        <f t="shared" si="31"/>
        <v>50.856572569577267</v>
      </c>
      <c r="T51" s="22">
        <f>-(Données!I$49*1E-24*H51+Données!F$49)*S51+Données!F$47*O51</f>
        <v>-2.9125332210517232E-8</v>
      </c>
      <c r="U51" s="28">
        <f t="shared" si="32"/>
        <v>4871.5111631556829</v>
      </c>
      <c r="V51" s="19"/>
      <c r="W51" s="40">
        <f t="shared" si="33"/>
        <v>53.60828084993841</v>
      </c>
      <c r="X51" s="21">
        <f>-(Données!I$50*1E-24*H51+Données!F$50)*W51+Données!F$45*K51</f>
        <v>-3.9176870055737533E-7</v>
      </c>
      <c r="Y51" s="42">
        <f t="shared" si="34"/>
        <v>23427.774375555295</v>
      </c>
      <c r="Z51" s="23">
        <f>-(Données!I$51*1E-24*H51+Données!F$51)*Y51+Données!F$48*Q51</f>
        <v>-2.2982255102512073E-5</v>
      </c>
      <c r="AA51" s="15">
        <f t="shared" si="35"/>
        <v>23481.382656405232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39.683672043202414</v>
      </c>
      <c r="J52" s="21">
        <f>-(Données!I$44*1E-24*H52+Données!F$44)*I52+(Données!H$50*1E-24*H52)*W52+0.71*(Données!H$49*1E-24*H52)*S52</f>
        <v>4.7694118135597118E-8</v>
      </c>
      <c r="K52" s="42">
        <f t="shared" si="27"/>
        <v>3155.8776487366963</v>
      </c>
      <c r="L52" s="23">
        <f>-(Données!I$45*1E-24*H52+Données!F$45)*K52+(I52*Données!H$44*1E-24*H52)+(Données!H$51*1E-24*H52)*Y52</f>
        <v>-2.5226849721676707E-6</v>
      </c>
      <c r="M52" s="40">
        <f t="shared" si="28"/>
        <v>1333.7845464147022</v>
      </c>
      <c r="N52" s="21">
        <f>-(Données!I$46*1E-24*H52+Données!F$46)*M52+Données!H$45*1E-24*H52*K52</f>
        <v>9.1114426026844262E-7</v>
      </c>
      <c r="O52" s="42">
        <f t="shared" si="29"/>
        <v>189.00613098352414</v>
      </c>
      <c r="P52" s="23">
        <f>-(Données!I$47*1E-24*H52+Données!F$47)*O52+(Données!H$46*1E-24*H52)*M52</f>
        <v>-9.2576046507169556E-8</v>
      </c>
      <c r="Q52" s="40">
        <f t="shared" si="30"/>
        <v>98.202681107344901</v>
      </c>
      <c r="R52" s="43">
        <f>-(Données!I$48*1E-24*H52+Données!F$48)*Q52+Données!H$47*1E-24*H52*O52+(Données!I$49*1E-24*H52*S52)*0.85*0.16</f>
        <v>7.8998986232541732E-8</v>
      </c>
      <c r="S52" s="42">
        <f t="shared" si="31"/>
        <v>50.780031196528029</v>
      </c>
      <c r="T52" s="22">
        <f>-(Données!I$49*1E-24*H52+Données!F$49)*S52+Données!F$47*O52</f>
        <v>-2.9042803340739124E-8</v>
      </c>
      <c r="U52" s="28">
        <f t="shared" si="32"/>
        <v>4867.3347104819977</v>
      </c>
      <c r="V52" s="19"/>
      <c r="W52" s="40">
        <f t="shared" si="33"/>
        <v>52.578712704873631</v>
      </c>
      <c r="X52" s="21">
        <f>-(Données!I$50*1E-24*H52+Données!F$50)*W52+Données!F$45*K52</f>
        <v>-3.8419529307605354E-7</v>
      </c>
      <c r="Y52" s="42">
        <f t="shared" si="34"/>
        <v>23367.377009145894</v>
      </c>
      <c r="Z52" s="23">
        <f>-(Données!I$51*1E-24*H52+Données!F$51)*Y52+Données!F$48*Q52</f>
        <v>-2.2923006268398033E-5</v>
      </c>
      <c r="AA52" s="15">
        <f t="shared" si="35"/>
        <v>23419.955721850769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39.809012185662766</v>
      </c>
      <c r="J53" s="21">
        <f>-(Données!I$44*1E-24*H53+Données!F$44)*I53+(Données!H$50*1E-24*H53)*W53+0.71*(Données!H$49*1E-24*H53)*S53</f>
        <v>4.5054015444821446E-8</v>
      </c>
      <c r="K53" s="42">
        <f t="shared" si="27"/>
        <v>3149.2480326298396</v>
      </c>
      <c r="L53" s="23">
        <f>-(Données!I$45*1E-24*H53+Données!F$45)*K53+(I53*Données!H$44*1E-24*H53)+(Données!H$51*1E-24*H53)*Y53</f>
        <v>-2.5262721123321575E-6</v>
      </c>
      <c r="M53" s="40">
        <f t="shared" si="28"/>
        <v>1336.1790335306875</v>
      </c>
      <c r="N53" s="21">
        <f>-(Données!I$46*1E-24*H53+Données!F$46)*M53+Données!H$45*1E-24*H53*K53</f>
        <v>8.950984617141152E-7</v>
      </c>
      <c r="O53" s="42">
        <f t="shared" si="29"/>
        <v>188.76284113330331</v>
      </c>
      <c r="P53" s="23">
        <f>-(Données!I$47*1E-24*H53+Données!F$47)*O53+(Données!H$46*1E-24*H53)*M53</f>
        <v>-8.6589676071781991E-8</v>
      </c>
      <c r="Q53" s="40">
        <f t="shared" si="30"/>
        <v>98.410290443164016</v>
      </c>
      <c r="R53" s="43">
        <f>-(Données!I$48*1E-24*H53+Données!F$48)*Q53+Données!H$47*1E-24*H53*O53+(Données!I$49*1E-24*H53*S53)*0.85*0.16</f>
        <v>7.8107026535338495E-8</v>
      </c>
      <c r="S53" s="42">
        <f t="shared" si="31"/>
        <v>50.703706709348566</v>
      </c>
      <c r="T53" s="22">
        <f>-(Données!I$49*1E-24*H53+Données!F$49)*S53+Données!F$47*O53</f>
        <v>-2.8936558283734968E-8</v>
      </c>
      <c r="U53" s="28">
        <f t="shared" si="32"/>
        <v>4863.1129166320061</v>
      </c>
      <c r="V53" s="19"/>
      <c r="W53" s="40">
        <f t="shared" si="33"/>
        <v>51.569047474669759</v>
      </c>
      <c r="X53" s="21">
        <f>-(Données!I$50*1E-24*H53+Données!F$50)*W53+Données!F$45*K53</f>
        <v>-3.7676841528469982E-7</v>
      </c>
      <c r="Y53" s="42">
        <f t="shared" si="34"/>
        <v>23307.135348672542</v>
      </c>
      <c r="Z53" s="23">
        <f>-(Données!I$51*1E-24*H53+Données!F$51)*Y53+Données!F$48*Q53</f>
        <v>-2.2863910179384865E-5</v>
      </c>
      <c r="AA53" s="15">
        <f t="shared" si="35"/>
        <v>23358.704396147212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39.927414138251756</v>
      </c>
      <c r="J54" s="21">
        <f>-(Données!I$44*1E-24*H54+Données!F$44)*I54+(Données!H$50*1E-24*H54)*W54+0.71*(Données!H$49*1E-24*H54)*S54</f>
        <v>4.248639332919967E-8</v>
      </c>
      <c r="K54" s="42">
        <f t="shared" si="27"/>
        <v>3142.6089895186306</v>
      </c>
      <c r="L54" s="23">
        <f>-(Données!I$45*1E-24*H54+Données!F$45)*K54+(I54*Données!H$44*1E-24*H54)+(Données!H$51*1E-24*H54)*Y54</f>
        <v>-2.52967643310397E-6</v>
      </c>
      <c r="M54" s="40">
        <f t="shared" si="28"/>
        <v>1338.5313522880722</v>
      </c>
      <c r="N54" s="21">
        <f>-(Données!I$46*1E-24*H54+Données!F$46)*M54+Données!H$45*1E-24*H54*K54</f>
        <v>8.7915378436898242E-7</v>
      </c>
      <c r="O54" s="42">
        <f t="shared" si="29"/>
        <v>188.53528346458666</v>
      </c>
      <c r="P54" s="23">
        <f>-(Données!I$47*1E-24*H54+Données!F$47)*O54+(Données!H$46*1E-24*H54)*M54</f>
        <v>-8.0829622128211375E-8</v>
      </c>
      <c r="Q54" s="40">
        <f t="shared" si="30"/>
        <v>98.615555708898881</v>
      </c>
      <c r="R54" s="43">
        <f>-(Données!I$48*1E-24*H54+Données!F$48)*Q54+Données!H$47*1E-24*H54*O54+(Données!I$49*1E-24*H54*S54)*0.85*0.16</f>
        <v>7.7242889616000376E-8</v>
      </c>
      <c r="S54" s="42">
        <f t="shared" si="31"/>
        <v>50.627661434178911</v>
      </c>
      <c r="T54" s="22">
        <f>-(Données!I$49*1E-24*H54+Données!F$49)*S54+Données!F$47*O54</f>
        <v>-2.8807928818060668E-8</v>
      </c>
      <c r="U54" s="28">
        <f t="shared" si="32"/>
        <v>4858.8462565526179</v>
      </c>
      <c r="V54" s="19"/>
      <c r="W54" s="40">
        <f t="shared" si="33"/>
        <v>50.578900079301569</v>
      </c>
      <c r="X54" s="21">
        <f>-(Données!I$50*1E-24*H54+Données!F$50)*W54+Données!F$45*K54</f>
        <v>-3.6948523186715773E-7</v>
      </c>
      <c r="Y54" s="42">
        <f t="shared" si="34"/>
        <v>23247.04899272112</v>
      </c>
      <c r="Z54" s="23">
        <f>-(Données!I$51*1E-24*H54+Données!F$51)*Y54+Données!F$48*Q54</f>
        <v>-2.2804966441687495E-5</v>
      </c>
      <c r="AA54" s="15">
        <f t="shared" si="35"/>
        <v>23297.627892800421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40.039068379920892</v>
      </c>
      <c r="J55" s="21">
        <f>-(Données!I$44*1E-24*H55+Données!F$44)*I55+(Données!H$50*1E-24*H55)*W55+0.71*(Données!H$49*1E-24*H55)*S55</f>
        <v>3.9989767425610926E-8</v>
      </c>
      <c r="K55" s="42">
        <f t="shared" si="27"/>
        <v>3135.9609998524334</v>
      </c>
      <c r="L55" s="23">
        <f>-(Données!I$45*1E-24*H55+Données!F$45)*K55+(I55*Données!H$44*1E-24*H55)+(Données!H$51*1E-24*H55)*Y55</f>
        <v>-2.5329012995793516E-6</v>
      </c>
      <c r="M55" s="40">
        <f t="shared" si="28"/>
        <v>1340.8417684333938</v>
      </c>
      <c r="N55" s="21">
        <f>-(Données!I$46*1E-24*H55+Données!F$46)*M55+Données!H$45*1E-24*H55*K55</f>
        <v>8.6331019645318676E-7</v>
      </c>
      <c r="O55" s="42">
        <f t="shared" si="29"/>
        <v>188.32286321763371</v>
      </c>
      <c r="P55" s="23">
        <f>-(Données!I$47*1E-24*H55+Données!F$47)*O55+(Données!H$46*1E-24*H55)*M55</f>
        <v>-7.5289224503186512E-8</v>
      </c>
      <c r="Q55" s="40">
        <f t="shared" si="30"/>
        <v>98.818550022809731</v>
      </c>
      <c r="R55" s="43">
        <f>-(Données!I$48*1E-24*H55+Données!F$48)*Q55+Données!H$47*1E-24*H55*O55+(Données!I$49*1E-24*H55*S55)*0.85*0.16</f>
        <v>7.6405618672992922E-8</v>
      </c>
      <c r="S55" s="42">
        <f t="shared" si="31"/>
        <v>50.551954197245045</v>
      </c>
      <c r="T55" s="22">
        <f>-(Données!I$49*1E-24*H55+Données!F$49)*S55+Données!F$47*O55</f>
        <v>-2.8658197110268408E-8</v>
      </c>
      <c r="U55" s="28">
        <f t="shared" si="32"/>
        <v>4854.5352041034366</v>
      </c>
      <c r="V55" s="19"/>
      <c r="W55" s="40">
        <f t="shared" si="33"/>
        <v>49.607892889954677</v>
      </c>
      <c r="X55" s="21">
        <f>-(Données!I$50*1E-24*H55+Données!F$50)*W55+Données!F$45*K55</f>
        <v>-3.6234296236955783E-7</v>
      </c>
      <c r="Y55" s="42">
        <f t="shared" si="34"/>
        <v>23187.117540912364</v>
      </c>
      <c r="Z55" s="23">
        <f>-(Données!I$51*1E-24*H55+Données!F$51)*Y55+Données!F$48*Q55</f>
        <v>-2.2746174662536172E-5</v>
      </c>
      <c r="AA55" s="15">
        <f t="shared" si="35"/>
        <v>23236.725433802319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40.144161488715397</v>
      </c>
      <c r="J56" s="21">
        <f>-(Données!I$44*1E-24*H56+Données!F$44)*I56+(Données!H$50*1E-24*H56)*W56+0.71*(Données!H$49*1E-24*H56)*S56</f>
        <v>3.7562674956944775E-8</v>
      </c>
      <c r="K56" s="42">
        <f t="shared" si="27"/>
        <v>3129.3045352371387</v>
      </c>
      <c r="L56" s="23">
        <f>-(Données!I$45*1E-24*H56+Données!F$45)*K56+(I56*Données!H$44*1E-24*H56)+(Données!H$51*1E-24*H56)*Y56</f>
        <v>-2.5359500207657181E-6</v>
      </c>
      <c r="M56" s="40">
        <f t="shared" si="28"/>
        <v>1343.1105476296727</v>
      </c>
      <c r="N56" s="21">
        <f>-(Données!I$46*1E-24*H56+Données!F$46)*M56+Données!H$45*1E-24*H56*K56</f>
        <v>8.4756765369636783E-7</v>
      </c>
      <c r="O56" s="42">
        <f t="shared" si="29"/>
        <v>188.12500313563933</v>
      </c>
      <c r="P56" s="23">
        <f>-(Données!I$47*1E-24*H56+Données!F$47)*O56+(Données!H$46*1E-24*H56)*M56</f>
        <v>-6.9962007981548662E-8</v>
      </c>
      <c r="Q56" s="40">
        <f t="shared" si="30"/>
        <v>99.019343988682351</v>
      </c>
      <c r="R56" s="43">
        <f>-(Données!I$48*1E-24*H56+Données!F$48)*Q56+Données!H$47*1E-24*H56*O56+(Données!I$49*1E-24*H56*S56)*0.85*0.16</f>
        <v>7.5594284521550988E-8</v>
      </c>
      <c r="S56" s="42">
        <f t="shared" si="31"/>
        <v>50.476640455239263</v>
      </c>
      <c r="T56" s="22">
        <f>-(Données!I$49*1E-24*H56+Données!F$49)*S56+Données!F$47*O56</f>
        <v>-2.8488597300960817E-8</v>
      </c>
      <c r="U56" s="28">
        <f t="shared" si="32"/>
        <v>4850.1802319350882</v>
      </c>
      <c r="V56" s="19"/>
      <c r="W56" s="40">
        <f t="shared" si="33"/>
        <v>48.65565558484748</v>
      </c>
      <c r="X56" s="21">
        <f>-(Données!I$50*1E-24*H56+Données!F$50)*W56+Données!F$45*K56</f>
        <v>-3.5533888013877578E-7</v>
      </c>
      <c r="Y56" s="42">
        <f t="shared" si="34"/>
        <v>23127.340593899218</v>
      </c>
      <c r="Z56" s="23">
        <f>-(Données!I$51*1E-24*H56+Données!F$51)*Y56+Données!F$48*Q56</f>
        <v>-2.2687534450173877E-5</v>
      </c>
      <c r="AA56" s="15">
        <f t="shared" si="35"/>
        <v>23175.996249484066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40.242876198502252</v>
      </c>
      <c r="J57" s="21">
        <f>-(Données!I$44*1E-24*H57+Données!F$44)*I57+(Données!H$50*1E-24*H57)*W57+0.71*(Données!H$49*1E-24*H57)*S57</f>
        <v>3.5203674651055368E-8</v>
      </c>
      <c r="K57" s="42">
        <f t="shared" si="27"/>
        <v>3122.6400585825663</v>
      </c>
      <c r="L57" s="23">
        <f>-(Données!I$45*1E-24*H57+Données!F$45)*K57+(I57*Données!H$44*1E-24*H57)+(Données!H$51*1E-24*H57)*Y57</f>
        <v>-2.5388258505175106E-6</v>
      </c>
      <c r="M57" s="40">
        <f t="shared" si="28"/>
        <v>1345.3379554235869</v>
      </c>
      <c r="N57" s="21">
        <f>-(Données!I$46*1E-24*H57+Données!F$46)*M57+Données!H$45*1E-24*H57*K57</f>
        <v>8.3192609963890588E-7</v>
      </c>
      <c r="O57" s="42">
        <f t="shared" si="29"/>
        <v>187.94114297866383</v>
      </c>
      <c r="P57" s="23">
        <f>-(Données!I$47*1E-24*H57+Données!F$47)*O57+(Données!H$46*1E-24*H57)*M57</f>
        <v>-6.4841677219975818E-8</v>
      </c>
      <c r="Q57" s="40">
        <f t="shared" si="30"/>
        <v>99.218005768404993</v>
      </c>
      <c r="R57" s="43">
        <f>-(Données!I$48*1E-24*H57+Données!F$48)*Q57+Données!H$47*1E-24*H57*O57+(Données!I$49*1E-24*H57*S57)*0.85*0.16</f>
        <v>7.4807984847976554E-8</v>
      </c>
      <c r="S57" s="42">
        <f t="shared" si="31"/>
        <v>50.401772421532335</v>
      </c>
      <c r="T57" s="22">
        <f>-(Données!I$49*1E-24*H57+Données!F$49)*S57+Données!F$47*O57</f>
        <v>-2.8300317043565545E-8</v>
      </c>
      <c r="U57" s="28">
        <f t="shared" si="32"/>
        <v>4845.7818113732583</v>
      </c>
      <c r="V57" s="19"/>
      <c r="W57" s="40">
        <f t="shared" si="33"/>
        <v>47.721825007842774</v>
      </c>
      <c r="X57" s="21">
        <f>-(Données!I$50*1E-24*H57+Données!F$50)*W57+Données!F$45*K57</f>
        <v>-3.4847031128142967E-7</v>
      </c>
      <c r="Y57" s="42">
        <f t="shared" si="34"/>
        <v>23067.717753364162</v>
      </c>
      <c r="Z57" s="23">
        <f>-(Données!I$51*1E-24*H57+Données!F$51)*Y57+Données!F$48*Q57</f>
        <v>-2.2629045413853684E-5</v>
      </c>
      <c r="AA57" s="15">
        <f t="shared" si="35"/>
        <v>23115.439578372007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40.335391455485222</v>
      </c>
      <c r="J58" s="21">
        <f>-(Données!I$44*1E-24*H58+Données!F$44)*I58+(Données!H$50*1E-24*H58)*W58+0.71*(Données!H$49*1E-24*H58)*S58</f>
        <v>3.2911346650193535E-8</v>
      </c>
      <c r="K58" s="42">
        <f t="shared" si="27"/>
        <v>3115.9680242474064</v>
      </c>
      <c r="L58" s="23">
        <f>-(Données!I$45*1E-24*H58+Données!F$45)*K58+(I58*Données!H$44*1E-24*H58)+(Données!H$51*1E-24*H58)*Y58</f>
        <v>-2.541531988455263E-6</v>
      </c>
      <c r="M58" s="40">
        <f t="shared" si="28"/>
        <v>1347.524257213438</v>
      </c>
      <c r="N58" s="21">
        <f>-(Données!I$46*1E-24*H58+Données!F$46)*M58+Données!H$45*1E-24*H58*K58</f>
        <v>8.1638546592747655E-7</v>
      </c>
      <c r="O58" s="42">
        <f t="shared" si="29"/>
        <v>187.77073905092973</v>
      </c>
      <c r="P58" s="23">
        <f>-(Données!I$47*1E-24*H58+Données!F$47)*O58+(Données!H$46*1E-24*H58)*M58</f>
        <v>-5.9922111800739107E-8</v>
      </c>
      <c r="Q58" s="40">
        <f t="shared" si="30"/>
        <v>99.414601152585476</v>
      </c>
      <c r="R58" s="43">
        <f>-(Données!I$48*1E-24*H58+Données!F$48)*Q58+Données!H$47*1E-24*H58*O58+(Données!I$49*1E-24*H58*S58)*0.85*0.16</f>
        <v>7.4045843483874043E-8</v>
      </c>
      <c r="S58" s="42">
        <f t="shared" si="31"/>
        <v>50.327399188341843</v>
      </c>
      <c r="T58" s="22">
        <f>-(Données!I$49*1E-24*H58+Données!F$49)*S58+Données!F$47*O58</f>
        <v>-2.8094498997195153E-8</v>
      </c>
      <c r="U58" s="28">
        <f t="shared" si="32"/>
        <v>4841.3404123081864</v>
      </c>
      <c r="V58" s="19"/>
      <c r="W58" s="40">
        <f t="shared" si="33"/>
        <v>46.806045029795179</v>
      </c>
      <c r="X58" s="21">
        <f>-(Données!I$50*1E-24*H58+Données!F$50)*W58+Données!F$45*K58</f>
        <v>-3.4173463364301919E-7</v>
      </c>
      <c r="Y58" s="42">
        <f t="shared" si="34"/>
        <v>23008.248622016556</v>
      </c>
      <c r="Z58" s="23">
        <f>-(Données!I$51*1E-24*H58+Données!F$51)*Y58+Données!F$48*Q58</f>
        <v>-2.2570707163836155E-5</v>
      </c>
      <c r="AA58" s="15">
        <f t="shared" si="35"/>
        <v>23055.054667046352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40.421882474481933</v>
      </c>
      <c r="J59" s="21">
        <f>-(Données!I$44*1E-24*H59+Données!F$44)*I59+(Données!H$50*1E-24*H59)*W59+0.71*(Données!H$49*1E-24*H59)*S59</f>
        <v>3.0684292411426229E-8</v>
      </c>
      <c r="K59" s="42">
        <f t="shared" si="27"/>
        <v>3109.288878181746</v>
      </c>
      <c r="L59" s="23">
        <f>-(Données!I$45*1E-24*H59+Données!F$45)*K59+(I59*Données!H$44*1E-24*H59)+(Données!H$51*1E-24*H59)*Y59</f>
        <v>-2.5440715808682991E-6</v>
      </c>
      <c r="M59" s="40">
        <f t="shared" si="28"/>
        <v>1349.6697182178955</v>
      </c>
      <c r="N59" s="21">
        <f>-(Données!I$46*1E-24*H59+Données!F$46)*M59+Données!H$45*1E-24*H59*K59</f>
        <v>8.0094567260501902E-7</v>
      </c>
      <c r="O59" s="42">
        <f t="shared" si="29"/>
        <v>187.61326374111738</v>
      </c>
      <c r="P59" s="23">
        <f>-(Données!I$47*1E-24*H59+Données!F$47)*O59+(Données!H$46*1E-24*H59)*M59</f>
        <v>-5.519736142161867E-8</v>
      </c>
      <c r="Q59" s="40">
        <f t="shared" si="30"/>
        <v>99.6091936292611</v>
      </c>
      <c r="R59" s="43">
        <f>-(Données!I$48*1E-24*H59+Données!F$48)*Q59+Données!H$47*1E-24*H59*O59+(Données!I$49*1E-24*H59*S59)*0.85*0.16</f>
        <v>7.3307009699783286E-8</v>
      </c>
      <c r="S59" s="42">
        <f t="shared" si="31"/>
        <v>50.253566844977215</v>
      </c>
      <c r="T59" s="22">
        <f>-(Données!I$49*1E-24*H59+Données!F$49)*S59+Données!F$47*O59</f>
        <v>-2.7872242274911826E-8</v>
      </c>
      <c r="U59" s="28">
        <f t="shared" si="32"/>
        <v>4836.8565030894797</v>
      </c>
      <c r="V59" s="19"/>
      <c r="W59" s="40">
        <f t="shared" si="33"/>
        <v>45.907966412581324</v>
      </c>
      <c r="X59" s="21">
        <f>-(Données!I$50*1E-24*H59+Données!F$50)*W59+Données!F$45*K59</f>
        <v>-3.3512927580681786E-7</v>
      </c>
      <c r="Y59" s="42">
        <f t="shared" si="34"/>
        <v>22948.932803589993</v>
      </c>
      <c r="Z59" s="23">
        <f>-(Données!I$51*1E-24*H59+Données!F$51)*Y59+Données!F$48*Q59</f>
        <v>-2.2512519311386761E-5</v>
      </c>
      <c r="AA59" s="15">
        <f t="shared" si="35"/>
        <v>22994.840770002575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40.502520794939159</v>
      </c>
      <c r="J60" s="21">
        <f>-(Données!I$44*1E-24*H60+Données!F$44)*I60+(Données!H$50*1E-24*H60)*W60+0.71*(Données!H$49*1E-24*H60)*S60</f>
        <v>2.852113459853556E-8</v>
      </c>
      <c r="K60" s="42">
        <f t="shared" si="27"/>
        <v>3102.6030580672241</v>
      </c>
      <c r="L60" s="23">
        <f>-(Données!I$45*1E-24*H60+Données!F$45)*K60+(I60*Données!H$44*1E-24*H60)+(Données!H$51*1E-24*H60)*Y60</f>
        <v>-2.5464477216014066E-6</v>
      </c>
      <c r="M60" s="40">
        <f t="shared" si="28"/>
        <v>1351.7746034455015</v>
      </c>
      <c r="N60" s="21">
        <f>-(Données!I$46*1E-24*H60+Données!F$46)*M60+Données!H$45*1E-24*H60*K60</f>
        <v>7.8560662839521885E-7</v>
      </c>
      <c r="O60" s="42">
        <f t="shared" si="29"/>
        <v>187.46820507530137</v>
      </c>
      <c r="P60" s="23">
        <f>-(Données!I$47*1E-24*H60+Données!F$47)*O60+(Données!H$46*1E-24*H60)*M60</f>
        <v>-5.0661641218230285E-8</v>
      </c>
      <c r="Q60" s="40">
        <f t="shared" si="30"/>
        <v>99.801844450752128</v>
      </c>
      <c r="R60" s="43">
        <f>-(Données!I$48*1E-24*H60+Données!F$48)*Q60+Données!H$47*1E-24*H60*O60+(Données!I$49*1E-24*H60*S60)*0.85*0.16</f>
        <v>7.2590657517689985E-8</v>
      </c>
      <c r="S60" s="42">
        <f t="shared" si="31"/>
        <v>50.180318592278745</v>
      </c>
      <c r="T60" s="22">
        <f>-(Données!I$49*1E-24*H60+Données!F$49)*S60+Données!F$47*O60</f>
        <v>-2.7634603848684302E-8</v>
      </c>
      <c r="U60" s="28">
        <f t="shared" si="32"/>
        <v>4832.3305504259979</v>
      </c>
      <c r="V60" s="19"/>
      <c r="W60" s="40">
        <f t="shared" si="33"/>
        <v>45.027246675761006</v>
      </c>
      <c r="X60" s="21">
        <f>-(Données!I$50*1E-24*H60+Données!F$50)*W60+Données!F$45*K60</f>
        <v>-3.2865171611213551E-7</v>
      </c>
      <c r="Y60" s="42">
        <f t="shared" si="34"/>
        <v>22889.769902839667</v>
      </c>
      <c r="Z60" s="23">
        <f>-(Données!I$51*1E-24*H60+Données!F$51)*Y60+Données!F$48*Q60</f>
        <v>-2.2454481468773262E-5</v>
      </c>
      <c r="AA60" s="15">
        <f t="shared" si="35"/>
        <v>22934.797149515427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40.57747433666411</v>
      </c>
      <c r="J61" s="21">
        <f>-(Données!I$44*1E-24*H61+Données!F$44)*I61+(Données!H$50*1E-24*H61)*W61+0.71*(Données!H$49*1E-24*H61)*S61</f>
        <v>2.6420516965871048E-8</v>
      </c>
      <c r="K61" s="42">
        <f t="shared" si="27"/>
        <v>3095.9109934548555</v>
      </c>
      <c r="L61" s="23">
        <f>-(Données!I$45*1E-24*H61+Données!F$45)*K61+(I61*Données!H$44*1E-24*H61)+(Données!H$51*1E-24*H61)*Y61</f>
        <v>-2.548663452925756E-6</v>
      </c>
      <c r="M61" s="40">
        <f t="shared" si="28"/>
        <v>1353.8391776649241</v>
      </c>
      <c r="N61" s="21">
        <f>-(Données!I$46*1E-24*H61+Données!F$46)*M61+Données!H$45*1E-24*H61*K61</f>
        <v>7.7036823098160999E-7</v>
      </c>
      <c r="O61" s="42">
        <f t="shared" si="29"/>
        <v>187.33506628217987</v>
      </c>
      <c r="P61" s="23">
        <f>-(Données!I$47*1E-24*H61+Données!F$47)*O61+(Données!H$46*1E-24*H61)*M61</f>
        <v>-4.6309327215100142E-8</v>
      </c>
      <c r="Q61" s="40">
        <f t="shared" si="30"/>
        <v>99.992612698708612</v>
      </c>
      <c r="R61" s="43">
        <f>-(Données!I$48*1E-24*H61+Données!F$48)*Q61+Données!H$47*1E-24*H61*O61+(Données!I$49*1E-24*H61*S61)*0.85*0.16</f>
        <v>7.1895985041902703E-8</v>
      </c>
      <c r="S61" s="42">
        <f t="shared" si="31"/>
        <v>50.1076948533644</v>
      </c>
      <c r="T61" s="22">
        <f>-(Données!I$49*1E-24*H61+Données!F$49)*S61+Données!F$47*O61</f>
        <v>-2.7382599912285536E-8</v>
      </c>
      <c r="U61" s="28">
        <f t="shared" si="32"/>
        <v>4827.7630192906963</v>
      </c>
      <c r="V61" s="19"/>
      <c r="W61" s="40">
        <f t="shared" si="33"/>
        <v>44.163549965818312</v>
      </c>
      <c r="X61" s="21">
        <f>-(Données!I$50*1E-24*H61+Données!F$50)*W61+Données!F$45*K61</f>
        <v>-3.2229948169157587E-7</v>
      </c>
      <c r="Y61" s="42">
        <f t="shared" si="34"/>
        <v>22830.759525539732</v>
      </c>
      <c r="Z61" s="23">
        <f>-(Données!I$51*1E-24*H61+Données!F$51)*Y61+Données!F$48*Q61</f>
        <v>-2.239659324926313E-5</v>
      </c>
      <c r="AA61" s="15">
        <f t="shared" si="35"/>
        <v>22874.923075505551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40.646907455250421</v>
      </c>
      <c r="J62" s="21">
        <f>-(Données!I$44*1E-24*H62+Données!F$44)*I62+(Données!H$50*1E-24*H62)*W62+0.71*(Données!H$49*1E-24*H62)*S62</f>
        <v>2.4381104234610066E-8</v>
      </c>
      <c r="K62" s="42">
        <f t="shared" si="27"/>
        <v>3089.2131059005665</v>
      </c>
      <c r="L62" s="23">
        <f>-(Données!I$45*1E-24*H62+Données!F$45)*K62+(I62*Données!H$44*1E-24*H62)+(Données!H$51*1E-24*H62)*Y62</f>
        <v>-2.5507217663944484E-6</v>
      </c>
      <c r="M62" s="40">
        <f t="shared" si="28"/>
        <v>1355.8637053759437</v>
      </c>
      <c r="N62" s="21">
        <f>-(Données!I$46*1E-24*H62+Données!F$46)*M62+Données!H$45*1E-24*H62*K62</f>
        <v>7.5523036728138956E-7</v>
      </c>
      <c r="O62" s="42">
        <f t="shared" si="29"/>
        <v>187.21336537025857</v>
      </c>
      <c r="P62" s="23">
        <f>-(Données!I$47*1E-24*H62+Données!F$47)*O62+(Données!H$46*1E-24*H62)*M62</f>
        <v>-4.2134951901941257E-8</v>
      </c>
      <c r="Q62" s="40">
        <f t="shared" si="30"/>
        <v>100.18155534739873</v>
      </c>
      <c r="R62" s="43">
        <f>-(Données!I$48*1E-24*H62+Données!F$48)*Q62+Données!H$47*1E-24*H62*O62+(Données!I$49*1E-24*H62*S62)*0.85*0.16</f>
        <v>7.1222213807804449E-8</v>
      </c>
      <c r="S62" s="42">
        <f t="shared" si="31"/>
        <v>50.035733380794916</v>
      </c>
      <c r="T62" s="22">
        <f>-(Données!I$49*1E-24*H62+Données!F$49)*S62+Données!F$47*O62</f>
        <v>-2.7117207203344103E-8</v>
      </c>
      <c r="U62" s="28">
        <f t="shared" si="32"/>
        <v>4823.1543728302131</v>
      </c>
      <c r="V62" s="19"/>
      <c r="W62" s="40">
        <f t="shared" si="33"/>
        <v>43.316546927932848</v>
      </c>
      <c r="X62" s="21">
        <f>-(Données!I$50*1E-24*H62+Données!F$50)*W62+Données!F$45*K62</f>
        <v>-3.1607014752692263E-7</v>
      </c>
      <c r="Y62" s="42">
        <f t="shared" si="34"/>
        <v>22771.901278480669</v>
      </c>
      <c r="Z62" s="23">
        <f>-(Données!I$51*1E-24*H62+Données!F$51)*Y62+Données!F$48*Q62</f>
        <v>-2.2338854267120962E-5</v>
      </c>
      <c r="AA62" s="15">
        <f t="shared" si="35"/>
        <v>22815.217825408603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40.710980997178979</v>
      </c>
      <c r="J63" s="21">
        <f>-(Données!I$44*1E-24*H63+Données!F$44)*I63+(Données!H$50*1E-24*H63)*W63+0.71*(Données!H$49*1E-24*H63)*S63</f>
        <v>2.2401581961864575E-8</v>
      </c>
      <c r="K63" s="42">
        <f t="shared" si="27"/>
        <v>3082.509809098482</v>
      </c>
      <c r="L63" s="23">
        <f>-(Données!I$45*1E-24*H63+Données!F$45)*K63+(I63*Données!H$44*1E-24*H63)+(Données!H$51*1E-24*H63)*Y63</f>
        <v>-2.5526256036829412E-6</v>
      </c>
      <c r="M63" s="40">
        <f t="shared" si="28"/>
        <v>1357.8484507811593</v>
      </c>
      <c r="N63" s="21">
        <f>-(Données!I$46*1E-24*H63+Données!F$46)*M63+Données!H$45*1E-24*H63*K63</f>
        <v>7.4019291371404003E-7</v>
      </c>
      <c r="O63" s="42">
        <f t="shared" si="29"/>
        <v>187.10263471666028</v>
      </c>
      <c r="P63" s="23">
        <f>-(Données!I$47*1E-24*H63+Données!F$47)*O63+(Données!H$46*1E-24*H63)*M63</f>
        <v>-3.8133199931672233E-8</v>
      </c>
      <c r="Q63" s="40">
        <f t="shared" si="30"/>
        <v>100.36872732528563</v>
      </c>
      <c r="R63" s="43">
        <f>-(Données!I$48*1E-24*H63+Données!F$48)*Q63+Données!H$47*1E-24*H63*O63+(Données!I$49*1E-24*H63*S63)*0.85*0.16</f>
        <v>7.0568588147995214E-8</v>
      </c>
      <c r="S63" s="42">
        <f t="shared" si="31"/>
        <v>49.96446936026453</v>
      </c>
      <c r="T63" s="22">
        <f>-(Données!I$49*1E-24*H63+Données!F$49)*S63+Données!F$47*O63</f>
        <v>-2.6839364285729376E-8</v>
      </c>
      <c r="U63" s="28">
        <f t="shared" si="32"/>
        <v>4818.5050722790302</v>
      </c>
      <c r="V63" s="19"/>
      <c r="W63" s="40">
        <f t="shared" si="33"/>
        <v>42.485914580232098</v>
      </c>
      <c r="X63" s="21">
        <f>-(Données!I$50*1E-24*H63+Données!F$50)*W63+Données!F$45*K63</f>
        <v>-3.0996133552329312E-7</v>
      </c>
      <c r="Y63" s="42">
        <f t="shared" si="34"/>
        <v>22713.194769466674</v>
      </c>
      <c r="Z63" s="23">
        <f>-(Données!I$51*1E-24*H63+Données!F$51)*Y63+Données!F$48*Q63</f>
        <v>-2.2281264137605921E-5</v>
      </c>
      <c r="AA63" s="15">
        <f t="shared" si="35"/>
        <v>22755.680684046907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40.769852354574759</v>
      </c>
      <c r="J64" s="21">
        <f>-(Données!I$44*1E-24*H64+Données!F$44)*I64+(Données!H$50*1E-24*H64)*W64+0.71*(Données!H$49*1E-24*H64)*S64</f>
        <v>2.0480656403056028E-8</v>
      </c>
      <c r="K64" s="42">
        <f t="shared" si="27"/>
        <v>3075.8015090120034</v>
      </c>
      <c r="L64" s="23">
        <f>-(Données!I$45*1E-24*H64+Données!F$45)*K64+(I64*Données!H$44*1E-24*H64)+(Données!H$51*1E-24*H64)*Y64</f>
        <v>-2.5543778574147159E-6</v>
      </c>
      <c r="M64" s="40">
        <f t="shared" si="28"/>
        <v>1359.7936777583998</v>
      </c>
      <c r="N64" s="21">
        <f>-(Données!I$46*1E-24*H64+Données!F$46)*M64+Données!H$45*1E-24*H64*K64</f>
        <v>7.2525573646485424E-7</v>
      </c>
      <c r="O64" s="42">
        <f t="shared" si="29"/>
        <v>187.00242066723985</v>
      </c>
      <c r="P64" s="23">
        <f>-(Données!I$47*1E-24*H64+Données!F$47)*O64+(Données!H$46*1E-24*H64)*M64</f>
        <v>-3.4298903936823284E-8</v>
      </c>
      <c r="Q64" s="40">
        <f t="shared" si="30"/>
        <v>100.55418157493857</v>
      </c>
      <c r="R64" s="43">
        <f>-(Données!I$48*1E-24*H64+Données!F$48)*Q64+Données!H$47*1E-24*H64*O64+(Données!I$49*1E-24*H64*S64)*0.85*0.16</f>
        <v>6.9934374575359388E-8</v>
      </c>
      <c r="S64" s="42">
        <f t="shared" si="31"/>
        <v>49.893935510921636</v>
      </c>
      <c r="T64" s="22">
        <f>-(Données!I$49*1E-24*H64+Données!F$49)*S64+Données!F$47*O64</f>
        <v>-2.6549972793415961E-8</v>
      </c>
      <c r="U64" s="28">
        <f t="shared" si="32"/>
        <v>4813.8155768780771</v>
      </c>
      <c r="V64" s="19"/>
      <c r="W64" s="40">
        <f t="shared" si="33"/>
        <v>41.671336190476886</v>
      </c>
      <c r="X64" s="21">
        <f>-(Données!I$50*1E-24*H64+Données!F$50)*W64+Données!F$45*K64</f>
        <v>-3.0397071360120523E-7</v>
      </c>
      <c r="Y64" s="42">
        <f t="shared" si="34"/>
        <v>22654.639607313045</v>
      </c>
      <c r="Z64" s="23">
        <f>-(Données!I$51*1E-24*H64+Données!F$51)*Y64+Données!F$48*Q64</f>
        <v>-2.2223822476969148E-5</v>
      </c>
      <c r="AA64" s="15">
        <f t="shared" si="35"/>
        <v>22696.310943503522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40.823675519601991</v>
      </c>
      <c r="J65" s="21">
        <f>-(Données!I$44*1E-24*H65+Données!F$44)*I65+(Données!H$50*1E-24*H65)*W65+0.71*(Données!H$49*1E-24*H65)*S65</f>
        <v>1.8617054367963127E-8</v>
      </c>
      <c r="K65" s="42">
        <f t="shared" si="27"/>
        <v>3069.0886040027176</v>
      </c>
      <c r="L65" s="23">
        <f>-(Données!I$45*1E-24*H65+Données!F$45)*K65+(I65*Données!H$44*1E-24*H65)+(Données!H$51*1E-24*H65)*Y65</f>
        <v>-2.5559813719724337E-6</v>
      </c>
      <c r="M65" s="40">
        <f t="shared" si="28"/>
        <v>1361.6996498338294</v>
      </c>
      <c r="N65" s="21">
        <f>-(Données!I$46*1E-24*H65+Données!F$46)*M65+Données!H$45*1E-24*H65*K65</f>
        <v>7.1041869174346765E-7</v>
      </c>
      <c r="O65" s="42">
        <f t="shared" si="29"/>
        <v>186.91228314769387</v>
      </c>
      <c r="P65" s="23">
        <f>-(Données!I$47*1E-24*H65+Données!F$47)*O65+(Données!H$46*1E-24*H65)*M65</f>
        <v>-3.062704046105741E-8</v>
      </c>
      <c r="Q65" s="40">
        <f t="shared" si="30"/>
        <v>100.73796911132261</v>
      </c>
      <c r="R65" s="43">
        <f>-(Données!I$48*1E-24*H65+Données!F$48)*Q65+Données!H$47*1E-24*H65*O65+(Données!I$49*1E-24*H65*S65)*0.85*0.16</f>
        <v>6.9318861182601204E-8</v>
      </c>
      <c r="S65" s="42">
        <f t="shared" si="31"/>
        <v>49.824162182420537</v>
      </c>
      <c r="T65" s="22">
        <f>-(Données!I$49*1E-24*H65+Données!F$49)*S65+Données!F$47*O65</f>
        <v>-2.6249898636940732E-8</v>
      </c>
      <c r="U65" s="28">
        <f t="shared" si="32"/>
        <v>4809.0863437975877</v>
      </c>
      <c r="V65" s="19"/>
      <c r="W65" s="40">
        <f t="shared" si="33"/>
        <v>40.872501155132916</v>
      </c>
      <c r="X65" s="21">
        <f>-(Données!I$50*1E-24*H65+Données!F$50)*W65+Données!F$45*K65</f>
        <v>-2.9809599480621314E-7</v>
      </c>
      <c r="Y65" s="42">
        <f t="shared" si="34"/>
        <v>22596.235401843569</v>
      </c>
      <c r="Z65" s="23">
        <f>-(Données!I$51*1E-24*H65+Données!F$51)*Y65+Données!F$48*Q65</f>
        <v>-2.2166528902451211E-5</v>
      </c>
      <c r="AA65" s="15">
        <f t="shared" si="35"/>
        <v>22637.107902998701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40.872601138480995</v>
      </c>
      <c r="J66" s="21">
        <f>-(Données!I$44*1E-24*H66+Données!F$44)*I66+(Données!H$50*1E-24*H66)*W66+0.71*(Données!H$49*1E-24*H66)*S66</f>
        <v>1.6809523070832673E-8</v>
      </c>
      <c r="K66" s="42">
        <f t="shared" si="27"/>
        <v>3062.3714849571738</v>
      </c>
      <c r="L66" s="23">
        <f>-(Données!I$45*1E-24*H66+Données!F$45)*K66+(I66*Données!H$44*1E-24*H66)+(Données!H$51*1E-24*H66)*Y66</f>
        <v>-2.5574389442949226E-6</v>
      </c>
      <c r="M66" s="40">
        <f t="shared" si="28"/>
        <v>1363.5666301557312</v>
      </c>
      <c r="N66" s="21">
        <f>-(Données!I$46*1E-24*H66+Données!F$46)*M66+Données!H$45*1E-24*H66*K66</f>
        <v>6.9568162603745793E-7</v>
      </c>
      <c r="O66" s="42">
        <f t="shared" si="29"/>
        <v>186.8317952853622</v>
      </c>
      <c r="P66" s="23">
        <f>-(Données!I$47*1E-24*H66+Données!F$47)*O66+(Données!H$46*1E-24*H66)*M66</f>
        <v>-2.7112726002637156E-8</v>
      </c>
      <c r="Q66" s="40">
        <f t="shared" si="30"/>
        <v>100.92013907851049</v>
      </c>
      <c r="R66" s="43">
        <f>-(Données!I$48*1E-24*H66+Données!F$48)*Q66+Données!H$47*1E-24*H66*O66+(Données!I$49*1E-24*H66*S66)*0.85*0.16</f>
        <v>6.8721357057806301E-8</v>
      </c>
      <c r="S66" s="42">
        <f t="shared" si="31"/>
        <v>49.755177448802655</v>
      </c>
      <c r="T66" s="22">
        <f>-(Données!I$49*1E-24*H66+Données!F$49)*S66+Données!F$47*O66</f>
        <v>-2.5939973173534645E-8</v>
      </c>
      <c r="U66" s="28">
        <f t="shared" si="32"/>
        <v>4804.3178280640614</v>
      </c>
      <c r="V66" s="19"/>
      <c r="W66" s="40">
        <f t="shared" si="33"/>
        <v>40.089104880782187</v>
      </c>
      <c r="X66" s="21">
        <f>-(Données!I$50*1E-24*H66+Données!F$50)*W66+Données!F$45*K66</f>
        <v>-2.9233493643576958E-7</v>
      </c>
      <c r="Y66" s="42">
        <f t="shared" si="34"/>
        <v>22537.981763887929</v>
      </c>
      <c r="Z66" s="23">
        <f>-(Données!I$51*1E-24*H66+Données!F$51)*Y66+Données!F$48*Q66</f>
        <v>-2.2109383032279561E-5</v>
      </c>
      <c r="AA66" s="15">
        <f t="shared" si="35"/>
        <v>22578.070868768711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40.916776565111142</v>
      </c>
      <c r="J67" s="21">
        <f>-(Données!I$44*1E-24*H67+Données!F$44)*I67+(Données!H$50*1E-24*H67)*W67+0.71*(Données!H$49*1E-24*H67)*S67</f>
        <v>1.505682997492742E-8</v>
      </c>
      <c r="K67" s="42">
        <f t="shared" si="27"/>
        <v>3055.6505354115666</v>
      </c>
      <c r="L67" s="23">
        <f>-(Données!I$45*1E-24*H67+Données!F$45)*K67+(I67*Données!H$44*1E-24*H67)+(Données!H$51*1E-24*H67)*Y67</f>
        <v>-2.5587533246602322E-6</v>
      </c>
      <c r="M67" s="40">
        <f t="shared" si="28"/>
        <v>1365.3948814689577</v>
      </c>
      <c r="N67" s="21">
        <f>-(Données!I$46*1E-24*H67+Données!F$46)*M67+Données!H$45*1E-24*H67*K67</f>
        <v>6.8104437636114135E-7</v>
      </c>
      <c r="O67" s="42">
        <f t="shared" si="29"/>
        <v>186.76054304142727</v>
      </c>
      <c r="P67" s="23">
        <f>-(Données!I$47*1E-24*H67+Données!F$47)*O67+(Données!H$46*1E-24*H67)*M67</f>
        <v>-2.3751213166742291E-8</v>
      </c>
      <c r="Q67" s="40">
        <f t="shared" si="30"/>
        <v>101.10073880485841</v>
      </c>
      <c r="R67" s="43">
        <f>-(Données!I$48*1E-24*H67+Données!F$48)*Q67+Données!H$47*1E-24*H67*O67+(Données!I$49*1E-24*H67*S67)*0.85*0.16</f>
        <v>6.8141191715597765E-8</v>
      </c>
      <c r="S67" s="42">
        <f t="shared" si="31"/>
        <v>49.687007199302606</v>
      </c>
      <c r="T67" s="22">
        <f>-(Données!I$49*1E-24*H67+Données!F$49)*S67+Données!F$47*O67</f>
        <v>-2.5620994341979805E-8</v>
      </c>
      <c r="U67" s="28">
        <f t="shared" si="32"/>
        <v>4799.5104824912232</v>
      </c>
      <c r="V67" s="19"/>
      <c r="W67" s="40">
        <f t="shared" si="33"/>
        <v>39.320848667828983</v>
      </c>
      <c r="X67" s="21">
        <f>-(Données!I$50*1E-24*H67+Données!F$50)*W67+Données!F$45*K67</f>
        <v>-2.8668533918298306E-7</v>
      </c>
      <c r="Y67" s="42">
        <f t="shared" si="34"/>
        <v>22479.878305279097</v>
      </c>
      <c r="Z67" s="23">
        <f>-(Données!I$51*1E-24*H67+Données!F$51)*Y67+Données!F$48*Q67</f>
        <v>-2.2052384485665963E-5</v>
      </c>
      <c r="AA67" s="15">
        <f t="shared" si="35"/>
        <v>22519.199153946927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40.956345914285251</v>
      </c>
      <c r="J68" s="21">
        <f>-(Données!I$44*1E-24*H68+Données!F$44)*I68+(Données!H$50*1E-24*H68)*W68+0.71*(Données!H$49*1E-24*H68)*S68</f>
        <v>1.3357762631871428E-8</v>
      </c>
      <c r="K68" s="42">
        <f t="shared" si="27"/>
        <v>3048.9261316743596</v>
      </c>
      <c r="L68" s="23">
        <f>-(Données!I$45*1E-24*H68+Données!F$45)*K68+(I68*Données!H$44*1E-24*H68)+(Données!H$51*1E-24*H68)*Y68</f>
        <v>-2.559927217455031E-6</v>
      </c>
      <c r="M68" s="40">
        <f t="shared" si="28"/>
        <v>1367.1846660900349</v>
      </c>
      <c r="N68" s="21">
        <f>-(Données!I$46*1E-24*H68+Données!F$46)*M68+Données!H$45*1E-24*H68*K68</f>
        <v>6.6650677049961612E-7</v>
      </c>
      <c r="O68" s="42">
        <f t="shared" si="29"/>
        <v>186.69812485322507</v>
      </c>
      <c r="P68" s="23">
        <f>-(Données!I$47*1E-24*H68+Données!F$47)*O68+(Données!H$46*1E-24*H68)*M68</f>
        <v>-2.0537886923641206E-8</v>
      </c>
      <c r="Q68" s="40">
        <f t="shared" si="30"/>
        <v>101.279813856687</v>
      </c>
      <c r="R68" s="43">
        <f>-(Données!I$48*1E-24*H68+Données!F$48)*Q68+Données!H$47*1E-24*H68*O68+(Données!I$49*1E-24*H68*S68)*0.85*0.16</f>
        <v>6.7577714543468005E-8</v>
      </c>
      <c r="S68" s="42">
        <f t="shared" si="31"/>
        <v>49.619675226171886</v>
      </c>
      <c r="T68" s="22">
        <f>-(Données!I$49*1E-24*H68+Données!F$49)*S68+Données!F$47*O68</f>
        <v>-2.5293727763214012E-8</v>
      </c>
      <c r="U68" s="28">
        <f t="shared" si="32"/>
        <v>4794.6647576147634</v>
      </c>
      <c r="V68" s="19"/>
      <c r="W68" s="40">
        <f t="shared" si="33"/>
        <v>38.567439596456104</v>
      </c>
      <c r="X68" s="21">
        <f>-(Données!I$50*1E-24*H68+Données!F$50)*W68+Données!F$45*K68</f>
        <v>-2.8114504629694177E-7</v>
      </c>
      <c r="Y68" s="42">
        <f t="shared" si="34"/>
        <v>22421.924638850767</v>
      </c>
      <c r="Z68" s="23">
        <f>-(Données!I$51*1E-24*H68+Données!F$51)*Y68+Données!F$48*Q68</f>
        <v>-2.1995532882803976E-5</v>
      </c>
      <c r="AA68" s="15">
        <f t="shared" si="35"/>
        <v>22460.492078447223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40.991450114481808</v>
      </c>
      <c r="J69" s="21">
        <f>-(Données!I$44*1E-24*H69+Données!F$44)*I69+(Données!H$50*1E-24*H69)*W69+0.71*(Données!H$49*1E-24*H69)*S69</f>
        <v>1.1711128516138606E-8</v>
      </c>
      <c r="K69" s="42">
        <f t="shared" si="27"/>
        <v>3042.198642946888</v>
      </c>
      <c r="L69" s="23">
        <f>-(Données!I$45*1E-24*H69+Données!F$45)*K69+(I69*Données!H$44*1E-24*H69)+(Données!H$51*1E-24*H69)*Y69</f>
        <v>-2.5609632819306612E-6</v>
      </c>
      <c r="M69" s="40">
        <f t="shared" si="28"/>
        <v>1368.9362458829078</v>
      </c>
      <c r="N69" s="21">
        <f>-(Données!I$46*1E-24*H69+Données!F$46)*M69+Données!H$45*1E-24*H69*K69</f>
        <v>6.5206862724815851E-7</v>
      </c>
      <c r="O69" s="42">
        <f t="shared" si="29"/>
        <v>186.64415128638973</v>
      </c>
      <c r="P69" s="23">
        <f>-(Données!I$47*1E-24*H69+Données!F$47)*O69+(Données!H$46*1E-24*H69)*M69</f>
        <v>-1.7468260969794595E-8</v>
      </c>
      <c r="Q69" s="40">
        <f t="shared" si="30"/>
        <v>101.45740809050723</v>
      </c>
      <c r="R69" s="43">
        <f>-(Données!I$48*1E-24*H69+Données!F$48)*Q69+Données!H$47*1E-24*H69*O69+(Données!I$49*1E-24*H69*S69)*0.85*0.16</f>
        <v>6.7030294262878177E-8</v>
      </c>
      <c r="S69" s="42">
        <f t="shared" si="31"/>
        <v>49.553203309610161</v>
      </c>
      <c r="T69" s="22">
        <f>-(Données!I$49*1E-24*H69+Données!F$49)*S69+Données!F$47*O69</f>
        <v>-2.4958907807674806E-8</v>
      </c>
      <c r="U69" s="28">
        <f t="shared" si="32"/>
        <v>4789.7811016307851</v>
      </c>
      <c r="V69" s="19"/>
      <c r="W69" s="40">
        <f t="shared" si="33"/>
        <v>37.82859041478774</v>
      </c>
      <c r="X69" s="21">
        <f>-(Données!I$50*1E-24*H69+Données!F$50)*W69+Données!F$45*K69</f>
        <v>-2.7571194275928502E-7</v>
      </c>
      <c r="Y69" s="42">
        <f t="shared" si="34"/>
        <v>22364.12037843476</v>
      </c>
      <c r="Z69" s="23">
        <f>-(Données!I$51*1E-24*H69+Données!F$51)*Y69+Données!F$48*Q69</f>
        <v>-2.1938827844866401E-5</v>
      </c>
      <c r="AA69" s="15">
        <f t="shared" si="35"/>
        <v>22401.948968849549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41.02222696022222</v>
      </c>
      <c r="J70" s="21">
        <f>-(Données!I$44*1E-24*H70+Données!F$44)*I70+(Données!H$50*1E-24*H70)*W70+0.71*(Données!H$49*1E-24*H70)*S70</f>
        <v>1.0115754855016276E-8</v>
      </c>
      <c r="K70" s="42">
        <f t="shared" si="27"/>
        <v>3035.4684314419742</v>
      </c>
      <c r="L70" s="23">
        <f>-(Données!I$45*1E-24*H70+Données!F$45)*K70+(I70*Données!H$44*1E-24*H70)+(Données!H$51*1E-24*H70)*Y70</f>
        <v>-2.5618641329461018E-6</v>
      </c>
      <c r="M70" s="40">
        <f t="shared" si="28"/>
        <v>1370.649882235316</v>
      </c>
      <c r="N70" s="21">
        <f>-(Données!I$46*1E-24*H70+Données!F$46)*M70+Données!H$45*1E-24*H70*K70</f>
        <v>6.3772975664705164E-7</v>
      </c>
      <c r="O70" s="42">
        <f t="shared" si="29"/>
        <v>186.5982446965611</v>
      </c>
      <c r="P70" s="23">
        <f>-(Données!I$47*1E-24*H70+Données!F$47)*O70+(Données!H$46*1E-24*H70)*M70</f>
        <v>-1.4537974189044551E-8</v>
      </c>
      <c r="Q70" s="40">
        <f t="shared" si="30"/>
        <v>101.63356370383008</v>
      </c>
      <c r="R70" s="43">
        <f>-(Données!I$48*1E-24*H70+Données!F$48)*Q70+Données!H$47*1E-24*H70*O70+(Données!I$49*1E-24*H70*S70)*0.85*0.16</f>
        <v>6.6498318404728733E-8</v>
      </c>
      <c r="S70" s="42">
        <f t="shared" si="31"/>
        <v>49.48761129989159</v>
      </c>
      <c r="T70" s="22">
        <f>-(Données!I$49*1E-24*H70+Données!F$49)*S70+Données!F$47*O70</f>
        <v>-2.4617238630346465E-8</v>
      </c>
      <c r="U70" s="28">
        <f t="shared" si="32"/>
        <v>4784.8599603377952</v>
      </c>
      <c r="V70" s="19"/>
      <c r="W70" s="40">
        <f t="shared" si="33"/>
        <v>37.104019429216336</v>
      </c>
      <c r="X70" s="21">
        <f>-(Données!I$50*1E-24*H70+Données!F$50)*W70+Données!F$45*K70</f>
        <v>-2.7038395447670666E-7</v>
      </c>
      <c r="Y70" s="42">
        <f t="shared" si="34"/>
        <v>22306.46513885845</v>
      </c>
      <c r="Z70" s="23">
        <f>-(Données!I$51*1E-24*H70+Données!F$51)*Y70+Données!F$48*Q70</f>
        <v>-2.1882268994002767E-5</v>
      </c>
      <c r="AA70" s="15">
        <f t="shared" si="35"/>
        <v>22343.569158287664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41.048811163981206</v>
      </c>
      <c r="J71" s="21">
        <f>-(Données!I$44*1E-24*H71+Données!F$44)*I71+(Données!H$50*1E-24*H71)*W71+0.71*(Données!H$49*1E-24*H71)*S71</f>
        <v>8.5704884543631901E-9</v>
      </c>
      <c r="K71" s="42">
        <f t="shared" si="27"/>
        <v>3028.735852500592</v>
      </c>
      <c r="L71" s="23">
        <f>-(Données!I$45*1E-24*H71+Données!F$45)*K71+(I71*Données!H$44*1E-24*H71)+(Données!H$51*1E-24*H71)*Y71</f>
        <v>-2.5626323416980434E-6</v>
      </c>
      <c r="M71" s="40">
        <f t="shared" si="28"/>
        <v>1372.3258360357845</v>
      </c>
      <c r="N71" s="21">
        <f>-(Données!I$46*1E-24*H71+Données!F$46)*M71+Données!H$45*1E-24*H71*K71</f>
        <v>6.2348996021193235E-7</v>
      </c>
      <c r="O71" s="42">
        <f t="shared" si="29"/>
        <v>186.5600389003923</v>
      </c>
      <c r="P71" s="23">
        <f>-(Données!I$47*1E-24*H71+Données!F$47)*O71+(Données!H$46*1E-24*H71)*M71</f>
        <v>-1.174278721114469E-8</v>
      </c>
      <c r="Q71" s="40">
        <f t="shared" si="30"/>
        <v>101.80832128459771</v>
      </c>
      <c r="R71" s="43">
        <f>-(Données!I$48*1E-24*H71+Données!F$48)*Q71+Données!H$47*1E-24*H71*O71+(Données!I$49*1E-24*H71*S71)*0.85*0.16</f>
        <v>6.5981192798815195E-8</v>
      </c>
      <c r="S71" s="42">
        <f t="shared" si="31"/>
        <v>49.422917196771039</v>
      </c>
      <c r="T71" s="22">
        <f>-(Données!I$49*1E-24*H71+Données!F$49)*S71+Données!F$47*O71</f>
        <v>-2.4269395174448415E-8</v>
      </c>
      <c r="U71" s="28">
        <f t="shared" si="32"/>
        <v>4779.9017770821183</v>
      </c>
      <c r="V71" s="19"/>
      <c r="W71" s="40">
        <f t="shared" si="33"/>
        <v>36.393450396851549</v>
      </c>
      <c r="X71" s="21">
        <f>-(Données!I$50*1E-24*H71+Données!F$50)*W71+Données!F$45*K71</f>
        <v>-2.6515904748908282E-7</v>
      </c>
      <c r="Y71" s="42">
        <f t="shared" si="34"/>
        <v>22248.958535942209</v>
      </c>
      <c r="Z71" s="23">
        <f>-(Données!I$51*1E-24*H71+Données!F$51)*Y71+Données!F$48*Q71</f>
        <v>-2.1825855953336803E-5</v>
      </c>
      <c r="AA71" s="15">
        <f t="shared" si="35"/>
        <v>22285.351986339061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41.07133440763927</v>
      </c>
      <c r="J72" s="21">
        <f>-(Données!I$44*1E-24*H72+Données!F$44)*I72+(Données!H$50*1E-24*H72)*W72+0.71*(Données!H$49*1E-24*H72)*S72</f>
        <v>7.0741955204681761E-9</v>
      </c>
      <c r="K72" s="42">
        <f t="shared" si="27"/>
        <v>3022.0012547066094</v>
      </c>
      <c r="L72" s="23">
        <f>-(Données!I$45*1E-24*H72+Données!F$45)*K72+(I72*Données!H$44*1E-24*H72)+(Données!H$51*1E-24*H72)*Y72</f>
        <v>-2.5632704364383688E-6</v>
      </c>
      <c r="M72" s="40">
        <f t="shared" si="28"/>
        <v>1373.9643676512214</v>
      </c>
      <c r="N72" s="21">
        <f>-(Données!I$46*1E-24*H72+Données!F$46)*M72+Données!H$45*1E-24*H72*K72</f>
        <v>6.0934903115972068E-7</v>
      </c>
      <c r="O72" s="42">
        <f t="shared" si="29"/>
        <v>186.5291788556014</v>
      </c>
      <c r="P72" s="23">
        <f>-(Données!I$47*1E-24*H72+Données!F$47)*O72+(Données!H$46*1E-24*H72)*M72</f>
        <v>-9.0785790649288403E-9</v>
      </c>
      <c r="Q72" s="40">
        <f t="shared" si="30"/>
        <v>101.981719859273</v>
      </c>
      <c r="R72" s="43">
        <f>-(Données!I$48*1E-24*H72+Données!F$48)*Q72+Données!H$47*1E-24*H72*O72+(Données!I$49*1E-24*H72*S72)*0.85*0.16</f>
        <v>6.5478341076892716E-8</v>
      </c>
      <c r="S72" s="42">
        <f t="shared" si="31"/>
        <v>49.359137226252585</v>
      </c>
      <c r="T72" s="22">
        <f>-(Données!I$49*1E-24*H72+Données!F$49)*S72+Données!F$47*O72</f>
        <v>-2.3916024144674228E-8</v>
      </c>
      <c r="U72" s="28">
        <f t="shared" si="32"/>
        <v>4774.9069927065975</v>
      </c>
      <c r="V72" s="19"/>
      <c r="W72" s="40">
        <f t="shared" si="33"/>
        <v>35.696612420050236</v>
      </c>
      <c r="X72" s="21">
        <f>-(Données!I$50*1E-24*H72+Données!F$50)*W72+Données!F$45*K72</f>
        <v>-2.6003522719292191E-7</v>
      </c>
      <c r="Y72" s="42">
        <f t="shared" si="34"/>
        <v>22191.600186496838</v>
      </c>
      <c r="Z72" s="23">
        <f>-(Données!I$51*1E-24*H72+Données!F$51)*Y72+Données!F$48*Q72</f>
        <v>-2.1769588346963929E-5</v>
      </c>
      <c r="AA72" s="15">
        <f t="shared" si="35"/>
        <v>22227.29679891689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41.089925393467063</v>
      </c>
      <c r="J73" s="21">
        <f>-(Données!I$44*1E-24*H73+Données!F$44)*I73+(Données!H$50*1E-24*H73)*W73+0.71*(Données!H$49*1E-24*H73)*S73</f>
        <v>5.6257614783030743E-9</v>
      </c>
      <c r="K73" s="42">
        <f t="shared" si="27"/>
        <v>3015.2649799996493</v>
      </c>
      <c r="L73" s="23">
        <f>-(Données!I$45*1E-24*H73+Données!F$45)*K73+(I73*Données!H$44*1E-24*H73)+(Données!H$51*1E-24*H73)*Y73</f>
        <v>-2.5637809031793387E-6</v>
      </c>
      <c r="M73" s="40">
        <f t="shared" si="28"/>
        <v>1375.5657369051091</v>
      </c>
      <c r="N73" s="21">
        <f>-(Données!I$46*1E-24*H73+Données!F$46)*M73+Données!H$45*1E-24*H73*K73</f>
        <v>5.9530675463023717E-7</v>
      </c>
      <c r="O73" s="42">
        <f t="shared" si="29"/>
        <v>186.50532034981876</v>
      </c>
      <c r="P73" s="23">
        <f>-(Données!I$47*1E-24*H73+Données!F$47)*O73+(Données!H$46*1E-24*H73)*M73</f>
        <v>-6.541343923520875E-9</v>
      </c>
      <c r="Q73" s="40">
        <f t="shared" si="30"/>
        <v>102.15379693962308</v>
      </c>
      <c r="R73" s="43">
        <f>-(Données!I$48*1E-24*H73+Données!F$48)*Q73+Données!H$47*1E-24*H73*O73+(Données!I$49*1E-24*H73*S73)*0.85*0.16</f>
        <v>6.4989204188986047E-8</v>
      </c>
      <c r="S73" s="42">
        <f t="shared" si="31"/>
        <v>49.296285914800379</v>
      </c>
      <c r="T73" s="22">
        <f>-(Données!I$49*1E-24*H73+Données!F$49)*S73+Données!F$47*O73</f>
        <v>-2.3557744950865001E-8</v>
      </c>
      <c r="U73" s="28">
        <f t="shared" si="32"/>
        <v>4769.8760455024685</v>
      </c>
      <c r="V73" s="19"/>
      <c r="W73" s="40">
        <f t="shared" si="33"/>
        <v>35.01323984298724</v>
      </c>
      <c r="X73" s="21">
        <f>-(Données!I$50*1E-24*H73+Données!F$50)*W73+Données!F$45*K73</f>
        <v>-2.550105375798391E-7</v>
      </c>
      <c r="Y73" s="42">
        <f t="shared" si="34"/>
        <v>22134.389708321018</v>
      </c>
      <c r="Z73" s="23">
        <f>-(Données!I$51*1E-24*H73+Données!F$51)*Y73+Données!F$48*Q73</f>
        <v>-2.171346579994875E-5</v>
      </c>
      <c r="AA73" s="15">
        <f t="shared" si="35"/>
        <v>22169.402948164006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41.104709894632045</v>
      </c>
      <c r="J74" s="21">
        <f>-(Données!I$44*1E-24*H74+Données!F$44)*I74+(Données!H$50*1E-24*H74)*W74+0.71*(Données!H$49*1E-24*H74)*S74</f>
        <v>4.2240907864525231E-9</v>
      </c>
      <c r="K74" s="42">
        <f t="shared" si="27"/>
        <v>3008.5273637860942</v>
      </c>
      <c r="L74" s="23">
        <f>-(Données!I$45*1E-24*H74+Données!F$45)*K74+(I74*Données!H$44*1E-24*H74)+(Données!H$51*1E-24*H74)*Y74</f>
        <v>-2.5641661863866272E-6</v>
      </c>
      <c r="M74" s="40">
        <f t="shared" si="28"/>
        <v>1377.1302030562774</v>
      </c>
      <c r="N74" s="21">
        <f>-(Données!I$46*1E-24*H74+Données!F$46)*M74+Données!H$45*1E-24*H74*K74</f>
        <v>5.8136290790355998E-7</v>
      </c>
      <c r="O74" s="42">
        <f t="shared" si="29"/>
        <v>186.48812969798774</v>
      </c>
      <c r="P74" s="23">
        <f>-(Données!I$47*1E-24*H74+Données!F$47)*O74+(Données!H$46*1E-24*H74)*M74</f>
        <v>-4.1271879390424681E-9</v>
      </c>
      <c r="Q74" s="40">
        <f t="shared" si="30"/>
        <v>102.32458856823173</v>
      </c>
      <c r="R74" s="43">
        <f>-(Données!I$48*1E-24*H74+Données!F$48)*Q74+Données!H$47*1E-24*H74*O74+(Données!I$49*1E-24*H74*S74)*0.85*0.16</f>
        <v>6.451323993258756E-8</v>
      </c>
      <c r="S74" s="42">
        <f t="shared" si="31"/>
        <v>49.234376161069505</v>
      </c>
      <c r="T74" s="22">
        <f>-(Données!I$49*1E-24*H74+Données!F$49)*S74+Données!F$47*O74</f>
        <v>-2.31951506229781E-8</v>
      </c>
      <c r="U74" s="28">
        <f t="shared" si="32"/>
        <v>4764.8093711642914</v>
      </c>
      <c r="V74" s="19"/>
      <c r="W74" s="40">
        <f t="shared" si="33"/>
        <v>34.343072150227421</v>
      </c>
      <c r="X74" s="21">
        <f>-(Données!I$50*1E-24*H74+Données!F$50)*W74+Données!F$45*K74</f>
        <v>-2.5008306048976664E-7</v>
      </c>
      <c r="Y74" s="42">
        <f t="shared" si="34"/>
        <v>22077.326720198751</v>
      </c>
      <c r="Z74" s="23">
        <f>-(Données!I$51*1E-24*H74+Données!F$51)*Y74+Données!F$48*Q74</f>
        <v>-2.1657487938322535E-5</v>
      </c>
      <c r="AA74" s="15">
        <f t="shared" si="35"/>
        <v>22111.669792348977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41.115810805218842</v>
      </c>
      <c r="J75" s="21">
        <f>-(Données!I$44*1E-24*H75+Données!F$44)*I75+(Données!H$50*1E-24*H75)*W75+0.71*(Données!H$49*1E-24*H75)*S75</f>
        <v>2.8681067489904026E-9</v>
      </c>
      <c r="K75" s="42">
        <f t="shared" si="27"/>
        <v>3001.7887350482702</v>
      </c>
      <c r="L75" s="23">
        <f>-(Données!I$45*1E-24*H75+Données!F$45)*K75+(I75*Données!H$44*1E-24*H75)+(Données!H$51*1E-24*H75)*Y75</f>
        <v>-2.5644286896604279E-6</v>
      </c>
      <c r="M75" s="40">
        <f t="shared" si="28"/>
        <v>1378.6580247782481</v>
      </c>
      <c r="N75" s="21">
        <f>-(Données!I$46*1E-24*H75+Données!F$46)*M75+Données!H$45*1E-24*H75*K75</f>
        <v>5.6751726061321459E-7</v>
      </c>
      <c r="O75" s="42">
        <f t="shared" si="29"/>
        <v>186.47728344808394</v>
      </c>
      <c r="P75" s="23">
        <f>-(Données!I$47*1E-24*H75+Données!F$47)*O75+(Données!H$46*1E-24*H75)*M75</f>
        <v>-1.8323261643517921E-9</v>
      </c>
      <c r="Q75" s="40">
        <f t="shared" si="30"/>
        <v>102.49412936277457</v>
      </c>
      <c r="R75" s="43">
        <f>-(Données!I$48*1E-24*H75+Données!F$48)*Q75+Données!H$47*1E-24*H75*O75+(Données!I$49*1E-24*H75*S75)*0.85*0.16</f>
        <v>6.4049922494398337E-8</v>
      </c>
      <c r="S75" s="42">
        <f t="shared" si="31"/>
        <v>49.173419305232322</v>
      </c>
      <c r="T75" s="22">
        <f>-(Données!I$49*1E-24*H75+Données!F$49)*S75+Données!F$47*O75</f>
        <v>-2.2828808698184976E-8</v>
      </c>
      <c r="U75" s="28">
        <f t="shared" si="32"/>
        <v>4759.7074027478275</v>
      </c>
      <c r="V75" s="19"/>
      <c r="W75" s="40">
        <f t="shared" si="33"/>
        <v>33.685853867260313</v>
      </c>
      <c r="X75" s="21">
        <f>-(Données!I$50*1E-24*H75+Données!F$50)*W75+Données!F$45*K75</f>
        <v>-2.4525091487861297E-7</v>
      </c>
      <c r="Y75" s="42">
        <f t="shared" si="34"/>
        <v>22020.410841896839</v>
      </c>
      <c r="Z75" s="23">
        <f>-(Données!I$51*1E-24*H75+Données!F$51)*Y75+Données!F$48*Q75</f>
        <v>-2.1601654389080743E-5</v>
      </c>
      <c r="AA75" s="15">
        <f t="shared" si="35"/>
        <v>22054.096695764099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41.123348189755191</v>
      </c>
      <c r="J76" s="21">
        <f>-(Données!I$44*1E-24*H76+Données!F$44)*I76+(Données!H$50*1E-24*H76)*W76+0.71*(Données!H$49*1E-24*H76)*S76</f>
        <v>1.5567513245632942E-9</v>
      </c>
      <c r="K76" s="42">
        <f t="shared" si="27"/>
        <v>2995.0494164518427</v>
      </c>
      <c r="L76" s="23">
        <f>-(Données!I$45*1E-24*H76+Données!F$45)*K76+(I76*Données!H$44*1E-24*H76)+(Données!H$51*1E-24*H76)*Y76</f>
        <v>-2.56457077640504E-6</v>
      </c>
      <c r="M76" s="40">
        <f t="shared" si="28"/>
        <v>1380.1494601391396</v>
      </c>
      <c r="N76" s="21">
        <f>-(Données!I$46*1E-24*H76+Données!F$46)*M76+Données!H$45*1E-24*H76*K76</f>
        <v>5.5376957495526857E-7</v>
      </c>
      <c r="O76" s="42">
        <f t="shared" si="29"/>
        <v>186.47246809492401</v>
      </c>
      <c r="P76" s="23">
        <f>-(Données!I$47*1E-24*H76+Données!F$47)*O76+(Données!H$46*1E-24*H76)*M76</f>
        <v>3.4692044058818184E-10</v>
      </c>
      <c r="Q76" s="40">
        <f t="shared" si="30"/>
        <v>102.66245255908986</v>
      </c>
      <c r="R76" s="43">
        <f>-(Données!I$48*1E-24*H76+Données!F$48)*Q76+Données!H$47*1E-24*H76*O76+(Données!I$49*1E-24*H76*S76)*0.85*0.16</f>
        <v>6.3598742004276514E-8</v>
      </c>
      <c r="S76" s="42">
        <f t="shared" si="31"/>
        <v>49.113425195973491</v>
      </c>
      <c r="T76" s="22">
        <f>-(Données!I$49*1E-24*H76+Données!F$49)*S76+Données!F$47*O76</f>
        <v>-2.245926208090909E-8</v>
      </c>
      <c r="U76" s="28">
        <f t="shared" si="32"/>
        <v>4754.5705706307244</v>
      </c>
      <c r="V76" s="19"/>
      <c r="W76" s="40">
        <f t="shared" si="33"/>
        <v>33.04133446295932</v>
      </c>
      <c r="X76" s="21">
        <f>-(Données!I$50*1E-24*H76+Données!F$50)*W76+Données!F$45*K76</f>
        <v>-2.4051225610009235E-7</v>
      </c>
      <c r="Y76" s="42">
        <f t="shared" si="34"/>
        <v>21963.641694162336</v>
      </c>
      <c r="Z76" s="23">
        <f>-(Données!I$51*1E-24*H76+Données!F$51)*Y76+Données!F$48*Q76</f>
        <v>-2.1545964780180541E-5</v>
      </c>
      <c r="AA76" s="15">
        <f t="shared" si="35"/>
        <v>21996.683028625295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41.127439332236143</v>
      </c>
      <c r="J77" s="21">
        <f>-(Données!I$44*1E-24*H77+Données!F$44)*I77+(Données!H$50*1E-24*H77)*W77+0.71*(Données!H$49*1E-24*H77)*S77</f>
        <v>2.8898493292908109E-10</v>
      </c>
      <c r="K77" s="42">
        <f t="shared" si="27"/>
        <v>2988.3097244514502</v>
      </c>
      <c r="L77" s="23">
        <f>-(Données!I$45*1E-24*H77+Données!F$45)*K77+(I77*Données!H$44*1E-24*H77)+(Données!H$51*1E-24*H77)*Y77</f>
        <v>-2.5645947704869011E-6</v>
      </c>
      <c r="M77" s="40">
        <f t="shared" si="28"/>
        <v>1381.604766582122</v>
      </c>
      <c r="N77" s="21">
        <f>-(Données!I$46*1E-24*H77+Données!F$46)*M77+Données!H$45*1E-24*H77*K77</f>
        <v>5.4011960589339063E-7</v>
      </c>
      <c r="O77" s="42">
        <f t="shared" si="29"/>
        <v>186.47337980184187</v>
      </c>
      <c r="P77" s="23">
        <f>-(Données!I$47*1E-24*H77+Données!F$47)*O77+(Données!H$46*1E-24*H77)*M77</f>
        <v>2.414127920043662E-9</v>
      </c>
      <c r="Q77" s="40">
        <f t="shared" si="30"/>
        <v>102.8295900530771</v>
      </c>
      <c r="R77" s="43">
        <f>-(Données!I$48*1E-24*H77+Données!F$48)*Q77+Données!H$47*1E-24*H77*O77+(Données!I$49*1E-24*H77*S77)*0.85*0.16</f>
        <v>6.3159204101065115E-8</v>
      </c>
      <c r="S77" s="42">
        <f t="shared" si="31"/>
        <v>49.054402255224865</v>
      </c>
      <c r="T77" s="22">
        <f>-(Données!I$49*1E-24*H77+Données!F$49)*S77+Données!F$47*O77</f>
        <v>-2.2087029876592627E-8</v>
      </c>
      <c r="U77" s="28">
        <f t="shared" si="32"/>
        <v>4749.399302475952</v>
      </c>
      <c r="V77" s="19"/>
      <c r="W77" s="40">
        <f t="shared" si="33"/>
        <v>32.409268253928275</v>
      </c>
      <c r="X77" s="21">
        <f>-(Données!I$50*1E-24*H77+Données!F$50)*W77+Données!F$45*K77</f>
        <v>-2.3586527520144994E-7</v>
      </c>
      <c r="Y77" s="42">
        <f t="shared" si="34"/>
        <v>21907.01889872002</v>
      </c>
      <c r="Z77" s="23">
        <f>-(Données!I$51*1E-24*H77+Données!F$51)*Y77+Données!F$48*Q77</f>
        <v>-2.1490418740538293E-5</v>
      </c>
      <c r="AA77" s="15">
        <f t="shared" si="35"/>
        <v>21939.428166973947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41.128198784639878</v>
      </c>
      <c r="J78" s="21">
        <f>-(Données!I$44*1E-24*H78+Données!F$44)*I78+(Données!H$50*1E-24*H78)*W78+0.71*(Données!H$49*1E-24*H78)*S78</f>
        <v>-9.3621374081102632E-10</v>
      </c>
      <c r="K78" s="42">
        <f t="shared" si="27"/>
        <v>2981.5699693946108</v>
      </c>
      <c r="L78" s="23">
        <f>-(Données!I$45*1E-24*H78+Données!F$45)*K78+(I78*Données!H$44*1E-24*H78)+(Données!H$51*1E-24*H78)*Y78</f>
        <v>-2.5645029568815003E-6</v>
      </c>
      <c r="M78" s="40">
        <f t="shared" si="28"/>
        <v>1383.0242009064098</v>
      </c>
      <c r="N78" s="21">
        <f>-(Données!I$46*1E-24*H78+Données!F$46)*M78+Données!H$45*1E-24*H78*K78</f>
        <v>5.2656710135997561E-7</v>
      </c>
      <c r="O78" s="42">
        <f t="shared" si="29"/>
        <v>186.47972413001574</v>
      </c>
      <c r="P78" s="23">
        <f>-(Données!I$47*1E-24*H78+Données!F$47)*O78+(Données!H$46*1E-24*H78)*M78</f>
        <v>4.3727721538104123E-9</v>
      </c>
      <c r="Q78" s="40">
        <f t="shared" si="30"/>
        <v>102.9955724414547</v>
      </c>
      <c r="R78" s="43">
        <f>-(Données!I$48*1E-24*H78+Données!F$48)*Q78+Données!H$47*1E-24*H78*O78+(Données!I$49*1E-24*H78*S78)*0.85*0.16</f>
        <v>6.2730829509980322E-8</v>
      </c>
      <c r="S78" s="42">
        <f t="shared" si="31"/>
        <v>48.996357540709177</v>
      </c>
      <c r="T78" s="22">
        <f>-(Données!I$49*1E-24*H78+Données!F$49)*S78+Données!F$47*O78</f>
        <v>-2.1712608199957253E-8</v>
      </c>
      <c r="U78" s="28">
        <f t="shared" si="32"/>
        <v>4744.1940231978406</v>
      </c>
      <c r="V78" s="19"/>
      <c r="W78" s="40">
        <f t="shared" si="33"/>
        <v>31.789414310698863</v>
      </c>
      <c r="X78" s="21">
        <f>-(Données!I$50*1E-24*H78+Données!F$50)*W78+Données!F$45*K78</f>
        <v>-2.3130819823281407E-7</v>
      </c>
      <c r="Y78" s="42">
        <f t="shared" si="34"/>
        <v>21850.542078269886</v>
      </c>
      <c r="Z78" s="23">
        <f>-(Données!I$51*1E-24*H78+Données!F$51)*Y78+Données!F$48*Q78</f>
        <v>-2.1435015900027115E-5</v>
      </c>
      <c r="AA78" s="15">
        <f t="shared" si="35"/>
        <v>21882.331492580586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41.125738414929025</v>
      </c>
      <c r="J79" s="21">
        <f>-(Données!I$44*1E-24*H79+Données!F$44)*I79+(Données!H$50*1E-24*H79)*W79+0.71*(Données!H$49*1E-24*H79)*S79</f>
        <v>-2.1198479440580263E-9</v>
      </c>
      <c r="K79" s="42">
        <f t="shared" si="27"/>
        <v>2974.8304556239264</v>
      </c>
      <c r="L79" s="23">
        <f>-(Données!I$45*1E-24*H79+Données!F$45)*K79+(I79*Données!H$44*1E-24*H79)+(Données!H$51*1E-24*H79)*Y79</f>
        <v>-2.564297582309273E-6</v>
      </c>
      <c r="M79" s="40">
        <f t="shared" si="28"/>
        <v>1384.4080192487838</v>
      </c>
      <c r="N79" s="21">
        <f>-(Données!I$46*1E-24*H79+Données!F$46)*M79+Données!H$45*1E-24*H79*K79</f>
        <v>5.1311180245336215E-7</v>
      </c>
      <c r="O79" s="42">
        <f t="shared" si="29"/>
        <v>186.49121577523596</v>
      </c>
      <c r="P79" s="23">
        <f>-(Données!I$47*1E-24*H79+Données!F$47)*O79+(Données!H$46*1E-24*H79)*M79</f>
        <v>6.2262316107006003E-9</v>
      </c>
      <c r="Q79" s="40">
        <f t="shared" si="30"/>
        <v>103.16042906140693</v>
      </c>
      <c r="R79" s="43">
        <f>-(Données!I$48*1E-24*H79+Données!F$48)*Q79+Données!H$47*1E-24*H79*O79+(Données!I$49*1E-24*H79*S79)*0.85*0.16</f>
        <v>6.2313153631251975E-8</v>
      </c>
      <c r="S79" s="42">
        <f t="shared" si="31"/>
        <v>48.939296806359692</v>
      </c>
      <c r="T79" s="22">
        <f>-(Données!I$49*1E-24*H79+Données!F$49)*S79+Données!F$47*O79</f>
        <v>-2.1336470958502441E-8</v>
      </c>
      <c r="U79" s="28">
        <f t="shared" si="32"/>
        <v>4738.9551549306416</v>
      </c>
      <c r="V79" s="19"/>
      <c r="W79" s="40">
        <f t="shared" si="33"/>
        <v>31.181536365743028</v>
      </c>
      <c r="X79" s="21">
        <f>-(Données!I$50*1E-24*H79+Données!F$50)*W79+Données!F$45*K79</f>
        <v>-2.2683928556991202E-7</v>
      </c>
      <c r="Y79" s="42">
        <f t="shared" si="34"/>
        <v>21794.210856484613</v>
      </c>
      <c r="Z79" s="23">
        <f>-(Données!I$51*1E-24*H79+Données!F$51)*Y79+Données!F$48*Q79</f>
        <v>-2.1379755889474382E-5</v>
      </c>
      <c r="AA79" s="15">
        <f t="shared" si="35"/>
        <v>21825.392392850357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41.120167454532037</v>
      </c>
      <c r="J80" s="21">
        <f>-(Données!I$44*1E-24*H80+Données!F$44)*I80+(Données!H$50*1E-24*H80)*W80+0.71*(Données!H$49*1E-24*H80)*S80</f>
        <v>-3.2629030564204276E-9</v>
      </c>
      <c r="K80" s="42">
        <f t="shared" si="27"/>
        <v>2968.0914815776177</v>
      </c>
      <c r="L80" s="23">
        <f>-(Données!I$45*1E-24*H80+Données!F$45)*K80+(I80*Données!H$44*1E-24*H80)+(Données!H$51*1E-24*H80)*Y80</f>
        <v>-2.5639808558606872E-6</v>
      </c>
      <c r="M80" s="40">
        <f t="shared" si="28"/>
        <v>1385.7564770656313</v>
      </c>
      <c r="N80" s="21">
        <f>-(Données!I$46*1E-24*H80+Données!F$46)*M80+Données!H$45*1E-24*H80*K80</f>
        <v>4.9975344363126492E-7</v>
      </c>
      <c r="O80" s="42">
        <f t="shared" si="29"/>
        <v>186.50757831190887</v>
      </c>
      <c r="P80" s="23">
        <f>-(Données!I$47*1E-24*H80+Données!F$47)*O80+(Données!H$46*1E-24*H80)*M80</f>
        <v>7.9777900263425919E-9</v>
      </c>
      <c r="Q80" s="40">
        <f t="shared" si="30"/>
        <v>103.32418802914987</v>
      </c>
      <c r="R80" s="43">
        <f>-(Données!I$48*1E-24*H80+Données!F$48)*Q80+Données!H$47*1E-24*H80*O80+(Données!I$49*1E-24*H80*S80)*0.85*0.16</f>
        <v>6.1905726139713595E-8</v>
      </c>
      <c r="S80" s="42">
        <f t="shared" si="31"/>
        <v>48.883224560680745</v>
      </c>
      <c r="T80" s="22">
        <f>-(Données!I$49*1E-24*H80+Données!F$49)*S80+Données!F$47*O80</f>
        <v>-2.0959070611964905E-8</v>
      </c>
      <c r="U80" s="28">
        <f t="shared" si="32"/>
        <v>4733.6831169995212</v>
      </c>
      <c r="V80" s="19"/>
      <c r="W80" s="40">
        <f t="shared" si="33"/>
        <v>30.5854027232653</v>
      </c>
      <c r="X80" s="21">
        <f>-(Données!I$50*1E-24*H80+Données!F$50)*W80+Données!F$45*K80</f>
        <v>-2.2245683124989017E-7</v>
      </c>
      <c r="Y80" s="42">
        <f t="shared" si="34"/>
        <v>21738.024858007073</v>
      </c>
      <c r="Z80" s="23">
        <f>-(Données!I$51*1E-24*H80+Données!F$51)*Y80+Données!F$48*Q80</f>
        <v>-2.1324638340659287E-5</v>
      </c>
      <c r="AA80" s="15">
        <f t="shared" si="35"/>
        <v>21768.610260730336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41.111592545299764</v>
      </c>
      <c r="J81" s="21">
        <f>-(Données!I$44*1E-24*H81+Données!F$44)*I81+(Données!H$50*1E-24*H81)*W81+0.71*(Données!H$49*1E-24*H81)*S81</f>
        <v>-4.36634679106891E-9</v>
      </c>
      <c r="K81" s="42">
        <f t="shared" si="27"/>
        <v>2961.353339888416</v>
      </c>
      <c r="L81" s="23">
        <f>-(Données!I$45*1E-24*H81+Données!F$45)*K81+(I81*Données!H$44*1E-24*H81)+(Données!H$51*1E-24*H81)*Y81</f>
        <v>-2.5635549496107898E-6</v>
      </c>
      <c r="M81" s="40">
        <f t="shared" si="28"/>
        <v>1387.0698291154943</v>
      </c>
      <c r="N81" s="21">
        <f>-(Données!I$46*1E-24*H81+Données!F$46)*M81+Données!H$45*1E-24*H81*K81</f>
        <v>4.8649175290043844E-7</v>
      </c>
      <c r="O81" s="42">
        <f t="shared" si="29"/>
        <v>186.52854394409809</v>
      </c>
      <c r="P81" s="23">
        <f>-(Données!I$47*1E-24*H81+Données!F$47)*O81+(Données!H$46*1E-24*H81)*M81</f>
        <v>9.6306390073968768E-9</v>
      </c>
      <c r="Q81" s="40">
        <f t="shared" si="30"/>
        <v>103.48687627744503</v>
      </c>
      <c r="R81" s="43">
        <f>-(Données!I$48*1E-24*H81+Données!F$48)*Q81+Données!H$47*1E-24*H81*O81+(Données!I$49*1E-24*H81*S81)*0.85*0.16</f>
        <v>6.1508110595049644E-8</v>
      </c>
      <c r="S81" s="42">
        <f t="shared" si="31"/>
        <v>48.828144123112502</v>
      </c>
      <c r="T81" s="22">
        <f>-(Données!I$49*1E-24*H81+Données!F$49)*S81+Données!F$47*O81</f>
        <v>-2.058083890844036E-8</v>
      </c>
      <c r="U81" s="28">
        <f t="shared" si="32"/>
        <v>4728.3783258938656</v>
      </c>
      <c r="V81" s="19"/>
      <c r="W81" s="40">
        <f t="shared" si="33"/>
        <v>30.000786170740589</v>
      </c>
      <c r="X81" s="21">
        <f>-(Données!I$50*1E-24*H81+Données!F$50)*W81+Données!F$45*K81</f>
        <v>-2.1815916231998562E-7</v>
      </c>
      <c r="Y81" s="42">
        <f t="shared" si="34"/>
        <v>21681.98370844782</v>
      </c>
      <c r="Z81" s="23">
        <f>-(Données!I$51*1E-24*H81+Données!F$51)*Y81+Données!F$48*Q81</f>
        <v>-2.1269662886310367E-5</v>
      </c>
      <c r="AA81" s="15">
        <f t="shared" si="35"/>
        <v>21711.984494618562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41.100117785932838</v>
      </c>
      <c r="J82" s="21">
        <f>-(Données!I$44*1E-24*H82+Données!F$44)*I82+(Données!H$50*1E-24*H82)*W82+0.71*(Données!H$49*1E-24*H82)*S82</f>
        <v>-5.431129397540973E-9</v>
      </c>
      <c r="K82" s="42">
        <f t="shared" si="27"/>
        <v>2954.6163174808389</v>
      </c>
      <c r="L82" s="23">
        <f>-(Données!I$45*1E-24*H82+Données!F$45)*K82+(I82*Données!H$44*1E-24*H82)+(Données!H$51*1E-24*H82)*Y82</f>
        <v>-2.5630219992233784E-6</v>
      </c>
      <c r="M82" s="40">
        <f t="shared" si="28"/>
        <v>1388.3483294421167</v>
      </c>
      <c r="N82" s="21">
        <f>-(Données!I$46*1E-24*H82+Données!F$46)*M82+Données!H$45*1E-24*H82*K82</f>
        <v>4.7332645200268087E-7</v>
      </c>
      <c r="O82" s="42">
        <f t="shared" si="29"/>
        <v>186.55385326340954</v>
      </c>
      <c r="P82" s="23">
        <f>-(Données!I$47*1E-24*H82+Données!F$47)*O82+(Données!H$46*1E-24*H82)*M82</f>
        <v>1.1187880564204062E-8</v>
      </c>
      <c r="Q82" s="40">
        <f t="shared" si="30"/>
        <v>103.64851959208883</v>
      </c>
      <c r="R82" s="43">
        <f>-(Données!I$48*1E-24*H82+Données!F$48)*Q82+Données!H$47*1E-24*H82*O82+(Données!I$49*1E-24*H82*S82)*0.85*0.16</f>
        <v>6.1119884062414202E-8</v>
      </c>
      <c r="S82" s="42">
        <f t="shared" si="31"/>
        <v>48.774057678461119</v>
      </c>
      <c r="T82" s="22">
        <f>-(Données!I$49*1E-24*H82+Données!F$49)*S82+Données!F$47*O82</f>
        <v>-2.0202187597849964E-8</v>
      </c>
      <c r="U82" s="28">
        <f t="shared" si="32"/>
        <v>4723.0411952428467</v>
      </c>
      <c r="V82" s="19"/>
      <c r="W82" s="40">
        <f t="shared" si="33"/>
        <v>29.427463892163669</v>
      </c>
      <c r="X82" s="21">
        <f>-(Données!I$50*1E-24*H82+Données!F$50)*W82+Données!F$45*K82</f>
        <v>-2.1394463819880034E-7</v>
      </c>
      <c r="Y82" s="42">
        <f t="shared" si="34"/>
        <v>21626.087034382595</v>
      </c>
      <c r="Z82" s="23">
        <f>-(Données!I$51*1E-24*H82+Données!F$51)*Y82+Données!F$48*Q82</f>
        <v>-2.1214829160103062E-5</v>
      </c>
      <c r="AA82" s="15">
        <f t="shared" si="35"/>
        <v>21655.514498274759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41.085844777876098</v>
      </c>
      <c r="J83" s="21">
        <f>-(Données!I$44*1E-24*H83+Données!F$44)*I83+(Données!H$50*1E-24*H83)*W83+0.71*(Données!H$49*1E-24*H83)*S83</f>
        <v>-6.4581838658031902E-9</v>
      </c>
      <c r="K83" s="42">
        <f t="shared" si="27"/>
        <v>2947.88069566688</v>
      </c>
      <c r="L83" s="23">
        <f>-(Données!I$45*1E-24*H83+Données!F$45)*K83+(I83*Données!H$44*1E-24*H83)+(Données!H$51*1E-24*H83)*Y83</f>
        <v>-2.5623841045449303E-6</v>
      </c>
      <c r="M83" s="40">
        <f t="shared" si="28"/>
        <v>1389.5922313579797</v>
      </c>
      <c r="N83" s="21">
        <f>-(Données!I$46*1E-24*H83+Données!F$46)*M83+Données!H$45*1E-24*H83*K83</f>
        <v>4.6025725659721119E-7</v>
      </c>
      <c r="O83" s="42">
        <f t="shared" si="29"/>
        <v>186.58325501353227</v>
      </c>
      <c r="P83" s="23">
        <f>-(Données!I$47*1E-24*H83+Données!F$47)*O83+(Données!H$46*1E-24*H83)*M83</f>
        <v>1.2652529573846147E-8</v>
      </c>
      <c r="Q83" s="40">
        <f t="shared" si="30"/>
        <v>103.80914264740485</v>
      </c>
      <c r="R83" s="43">
        <f>-(Données!I$48*1E-24*H83+Données!F$48)*Q83+Données!H$47*1E-24*H83*O83+(Données!I$49*1E-24*H83*S83)*0.85*0.16</f>
        <v>6.074063674314346E-8</v>
      </c>
      <c r="S83" s="42">
        <f t="shared" si="31"/>
        <v>48.720966329453972</v>
      </c>
      <c r="T83" s="22">
        <f>-(Données!I$49*1E-24*H83+Données!F$49)*S83+Données!F$47*O83</f>
        <v>-1.9823509123414499E-8</v>
      </c>
      <c r="U83" s="28">
        <f t="shared" si="32"/>
        <v>4717.6721357931265</v>
      </c>
      <c r="V83" s="19"/>
      <c r="W83" s="40">
        <f t="shared" si="33"/>
        <v>28.865217382977221</v>
      </c>
      <c r="X83" s="21">
        <f>-(Données!I$50*1E-24*H83+Données!F$50)*W83+Données!F$45*K83</f>
        <v>-2.0981165004993386E-7</v>
      </c>
      <c r="Y83" s="42">
        <f t="shared" si="34"/>
        <v>21570.334463349845</v>
      </c>
      <c r="Z83" s="23">
        <f>-(Données!I$51*1E-24*H83+Données!F$51)*Y83+Données!F$48*Q83</f>
        <v>-2.1160136796657282E-5</v>
      </c>
      <c r="AA83" s="15">
        <f t="shared" si="35"/>
        <v>21599.199680732821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41.068872670676768</v>
      </c>
      <c r="J84" s="21">
        <f>-(Données!I$44*1E-24*H84+Données!F$44)*I84+(Données!H$50*1E-24*H84)*W84+0.71*(Données!H$49*1E-24*H84)*S84</f>
        <v>-7.4484261313882155E-9</v>
      </c>
      <c r="K84" s="42">
        <f t="shared" si="27"/>
        <v>2941.146750240136</v>
      </c>
      <c r="L84" s="23">
        <f>-(Données!I$45*1E-24*H84+Données!F$45)*K84+(I84*Données!H$44*1E-24*H84)+(Données!H$51*1E-24*H84)*Y84</f>
        <v>-2.5616433301886254E-6</v>
      </c>
      <c r="M84" s="40">
        <f t="shared" si="28"/>
        <v>1390.8017874283171</v>
      </c>
      <c r="N84" s="21">
        <f>-(Données!I$46*1E-24*H84+Données!F$46)*M84+Données!H$45*1E-24*H84*K84</f>
        <v>4.4728387643950877E-7</v>
      </c>
      <c r="O84" s="42">
        <f t="shared" si="29"/>
        <v>186.61650586125234</v>
      </c>
      <c r="P84" s="23">
        <f>-(Données!I$47*1E-24*H84+Données!F$47)*O84+(Données!H$46*1E-24*H84)*M84</f>
        <v>1.4027516175530283E-8</v>
      </c>
      <c r="Q84" s="40">
        <f t="shared" si="30"/>
        <v>103.96876904076584</v>
      </c>
      <c r="R84" s="43">
        <f>-(Données!I$48*1E-24*H84+Données!F$48)*Q84+Données!H$47*1E-24*H84*O84+(Données!I$49*1E-24*H84*S84)*0.85*0.16</f>
        <v>6.036997161529289E-8</v>
      </c>
      <c r="S84" s="42">
        <f t="shared" si="31"/>
        <v>48.668870147477641</v>
      </c>
      <c r="T84" s="22">
        <f>-(Données!I$49*1E-24*H84+Données!F$49)*S84+Données!F$47*O84</f>
        <v>-1.9445177291779034E-8</v>
      </c>
      <c r="U84" s="28">
        <f t="shared" si="32"/>
        <v>4712.2715553886255</v>
      </c>
      <c r="V84" s="19"/>
      <c r="W84" s="40">
        <f t="shared" si="33"/>
        <v>28.313832366645993</v>
      </c>
      <c r="X84" s="21">
        <f>-(Données!I$50*1E-24*H84+Données!F$50)*W84+Données!F$45*K84</f>
        <v>-2.0575862016773575E-7</v>
      </c>
      <c r="Y84" s="42">
        <f t="shared" si="34"/>
        <v>21514.72562384823</v>
      </c>
      <c r="Z84" s="23">
        <f>-(Données!I$51*1E-24*H84+Données!F$51)*Y84+Données!F$48*Q84</f>
        <v>-2.110558543153494E-5</v>
      </c>
      <c r="AA84" s="15">
        <f t="shared" si="35"/>
        <v>21543.039456214876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41.049298206803478</v>
      </c>
      <c r="J85" s="21">
        <f>-(Données!I$44*1E-24*H85+Données!F$44)*I85+(Données!H$50*1E-24*H85)*W85+0.71*(Données!H$49*1E-24*H85)*S85</f>
        <v>-8.4027552814306512E-9</v>
      </c>
      <c r="K85" s="42">
        <f t="shared" si="27"/>
        <v>2934.4147515684003</v>
      </c>
      <c r="L85" s="23">
        <f>-(Données!I$45*1E-24*H85+Données!F$45)*K85+(I85*Données!H$44*1E-24*H85)+(Données!H$51*1E-24*H85)*Y85</f>
        <v>-2.5608017061084746E-6</v>
      </c>
      <c r="M85" s="40">
        <f t="shared" si="28"/>
        <v>1391.9772494556</v>
      </c>
      <c r="N85" s="21">
        <f>-(Données!I$46*1E-24*H85+Données!F$46)*M85+Données!H$45*1E-24*H85*K85</f>
        <v>4.3440601555666109E-7</v>
      </c>
      <c r="O85" s="42">
        <f t="shared" si="29"/>
        <v>186.65337017376163</v>
      </c>
      <c r="P85" s="23">
        <f>-(Données!I$47*1E-24*H85+Données!F$47)*O85+(Données!H$46*1E-24*H85)*M85</f>
        <v>1.5315688100169093E-8</v>
      </c>
      <c r="Q85" s="40">
        <f t="shared" si="30"/>
        <v>104.12742132617082</v>
      </c>
      <c r="R85" s="43">
        <f>-(Données!I$48*1E-24*H85+Données!F$48)*Q85+Données!H$47*1E-24*H85*O85+(Données!I$49*1E-24*H85*S85)*0.85*0.16</f>
        <v>6.0007504083735418E-8</v>
      </c>
      <c r="S85" s="42">
        <f t="shared" si="31"/>
        <v>48.617768221554847</v>
      </c>
      <c r="T85" s="22">
        <f>-(Données!I$49*1E-24*H85+Données!F$49)*S85+Données!F$47*O85</f>
        <v>-1.9067547922414665E-8</v>
      </c>
      <c r="U85" s="28">
        <f t="shared" si="32"/>
        <v>4706.8398589522913</v>
      </c>
      <c r="V85" s="19"/>
      <c r="W85" s="40">
        <f t="shared" si="33"/>
        <v>27.773098712845183</v>
      </c>
      <c r="X85" s="21">
        <f>-(Données!I$50*1E-24*H85+Données!F$50)*W85+Données!F$45*K85</f>
        <v>-2.017840013749429E-7</v>
      </c>
      <c r="Y85" s="42">
        <f t="shared" si="34"/>
        <v>21459.260145334156</v>
      </c>
      <c r="Z85" s="23">
        <f>-(Données!I$51*1E-24*H85+Données!F$51)*Y85+Données!F$48*Q85</f>
        <v>-2.1051174701237555E-5</v>
      </c>
      <c r="AA85" s="15">
        <f t="shared" si="35"/>
        <v>21487.033244047001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41.027215765923877</v>
      </c>
      <c r="J86" s="21">
        <f>-(Données!I$44*1E-24*H86+Données!F$44)*I86+(Données!H$50*1E-24*H86)*W86+0.71*(Données!H$49*1E-24*H86)*S86</f>
        <v>-9.322053761435784E-9</v>
      </c>
      <c r="K86" s="42">
        <f t="shared" si="27"/>
        <v>2927.6849646847472</v>
      </c>
      <c r="L86" s="23">
        <f>-(Données!I$45*1E-24*H86+Données!F$45)*K86+(I86*Données!H$44*1E-24*H86)+(Données!H$51*1E-24*H86)*Y86</f>
        <v>-2.5598612281638952E-6</v>
      </c>
      <c r="M86" s="40">
        <f t="shared" si="28"/>
        <v>1393.1188684644828</v>
      </c>
      <c r="N86" s="21">
        <f>-(Données!I$46*1E-24*H86+Données!F$46)*M86+Données!H$45*1E-24*H86*K86</f>
        <v>4.2162337241929062E-7</v>
      </c>
      <c r="O86" s="42">
        <f t="shared" si="29"/>
        <v>186.69361980208888</v>
      </c>
      <c r="P86" s="23">
        <f>-(Données!I$47*1E-24*H86+Données!F$47)*O86+(Données!H$46*1E-24*H86)*M86</f>
        <v>1.6519812935961717E-8</v>
      </c>
      <c r="Q86" s="40">
        <f t="shared" si="30"/>
        <v>104.28512104690287</v>
      </c>
      <c r="R86" s="43">
        <f>-(Données!I$48*1E-24*H86+Données!F$48)*Q86+Données!H$47*1E-24*H86*O86+(Données!I$49*1E-24*H86*S86)*0.85*0.16</f>
        <v>5.965286163956534E-8</v>
      </c>
      <c r="S86" s="42">
        <f t="shared" si="31"/>
        <v>48.56765870561474</v>
      </c>
      <c r="T86" s="22">
        <f>-(Données!I$49*1E-24*H86+Données!F$49)*S86+Données!F$47*O86</f>
        <v>-1.8690959476903956E-8</v>
      </c>
      <c r="U86" s="28">
        <f t="shared" si="32"/>
        <v>4701.3774484697597</v>
      </c>
      <c r="V86" s="19"/>
      <c r="W86" s="40">
        <f t="shared" si="33"/>
        <v>27.242810357231832</v>
      </c>
      <c r="X86" s="21">
        <f>-(Données!I$50*1E-24*H86+Données!F$50)*W86+Données!F$45*K86</f>
        <v>-1.978862764319724E-7</v>
      </c>
      <c r="Y86" s="42">
        <f t="shared" si="34"/>
        <v>21403.937658219304</v>
      </c>
      <c r="Z86" s="23">
        <f>-(Données!I$51*1E-24*H86+Données!F$51)*Y86+Données!F$48*Q86</f>
        <v>-2.099690424320381E-5</v>
      </c>
      <c r="AA86" s="15">
        <f t="shared" si="35"/>
        <v>21431.180468576535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41.002717408638823</v>
      </c>
      <c r="J87" s="21">
        <f>-(Données!I$44*1E-24*H87+Données!F$44)*I87+(Données!H$50*1E-24*H87)*W87+0.71*(Données!H$49*1E-24*H87)*S87</f>
        <v>-1.0207187582619486E-8</v>
      </c>
      <c r="K87" s="42">
        <f t="shared" si="27"/>
        <v>2920.9576493771324</v>
      </c>
      <c r="L87" s="23">
        <f>-(Données!I$45*1E-24*H87+Données!F$45)*K87+(I87*Données!H$44*1E-24*H87)+(Données!H$51*1E-24*H87)*Y87</f>
        <v>-2.558823858674798E-6</v>
      </c>
      <c r="M87" s="40">
        <f t="shared" si="28"/>
        <v>1394.2268946872007</v>
      </c>
      <c r="N87" s="21">
        <f>-(Données!I$46*1E-24*H87+Données!F$46)*M87+Données!H$45*1E-24*H87*K87</f>
        <v>4.0893564011011992E-7</v>
      </c>
      <c r="O87" s="42">
        <f t="shared" si="29"/>
        <v>186.73703387048459</v>
      </c>
      <c r="P87" s="23">
        <f>-(Données!I$47*1E-24*H87+Données!F$47)*O87+(Données!H$46*1E-24*H87)*M87</f>
        <v>1.7642580331748851E-8</v>
      </c>
      <c r="Q87" s="40">
        <f t="shared" si="30"/>
        <v>104.44188876729164</v>
      </c>
      <c r="R87" s="43">
        <f>-(Données!I$48*1E-24*H87+Données!F$48)*Q87+Données!H$47*1E-24*H87*O87+(Données!I$49*1E-24*H87*S87)*0.85*0.16</f>
        <v>5.9305683528559792E-8</v>
      </c>
      <c r="S87" s="42">
        <f t="shared" si="31"/>
        <v>48.518538864109438</v>
      </c>
      <c r="T87" s="22">
        <f>-(Données!I$49*1E-24*H87+Données!F$49)*S87+Données!F$47*O87</f>
        <v>-1.831573366870059E-8</v>
      </c>
      <c r="U87" s="28">
        <f t="shared" si="32"/>
        <v>4695.8847229748581</v>
      </c>
      <c r="V87" s="19"/>
      <c r="W87" s="40">
        <f t="shared" si="33"/>
        <v>26.722765222768608</v>
      </c>
      <c r="X87" s="21">
        <f>-(Données!I$50*1E-24*H87+Données!F$50)*W87+Données!F$45*K87</f>
        <v>-1.9406395745764342E-7</v>
      </c>
      <c r="Y87" s="42">
        <f t="shared" si="34"/>
        <v>21348.757793868164</v>
      </c>
      <c r="Z87" s="23">
        <f>-(Données!I$51*1E-24*H87+Données!F$51)*Y87+Données!F$48*Q87</f>
        <v>-2.0942773695807136E-5</v>
      </c>
      <c r="AA87" s="15">
        <f t="shared" si="35"/>
        <v>21375.480559090935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40.975892919671701</v>
      </c>
      <c r="J88" s="21">
        <f>-(Données!I$44*1E-24*H88+Données!F$44)*I88+(Données!H$50*1E-24*H88)*W88+0.71*(Données!H$49*1E-24*H88)*S88</f>
        <v>-1.105900652966859E-8</v>
      </c>
      <c r="K88" s="42">
        <f t="shared" si="27"/>
        <v>2914.2330602765351</v>
      </c>
      <c r="L88" s="23">
        <f>-(Données!I$45*1E-24*H88+Données!F$45)*K88+(I88*Données!H$44*1E-24*H88)+(Données!H$51*1E-24*H88)*Y88</f>
        <v>-2.5576915269674362E-6</v>
      </c>
      <c r="M88" s="40">
        <f t="shared" si="28"/>
        <v>1395.30157754941</v>
      </c>
      <c r="N88" s="21">
        <f>-(Données!I$46*1E-24*H88+Données!F$46)*M88+Données!H$45*1E-24*H88*K88</f>
        <v>3.9634250648923538E-7</v>
      </c>
      <c r="O88" s="42">
        <f t="shared" si="29"/>
        <v>186.78339857159642</v>
      </c>
      <c r="P88" s="23">
        <f>-(Données!I$47*1E-24*H88+Données!F$47)*O88+(Données!H$46*1E-24*H88)*M88</f>
        <v>1.8686604139841785E-8</v>
      </c>
      <c r="Q88" s="40">
        <f t="shared" si="30"/>
        <v>104.5977441036047</v>
      </c>
      <c r="R88" s="43">
        <f>-(Données!I$48*1E-24*H88+Données!F$48)*Q88+Données!H$47*1E-24*H88*O88+(Données!I$49*1E-24*H88*S88)*0.85*0.16</f>
        <v>5.896562042845425E-8</v>
      </c>
      <c r="S88" s="42">
        <f t="shared" si="31"/>
        <v>48.47040511602809</v>
      </c>
      <c r="T88" s="22">
        <f>-(Données!I$49*1E-24*H88+Données!F$49)*S88+Données!F$47*O88</f>
        <v>-1.794217605393643E-8</v>
      </c>
      <c r="U88" s="28">
        <f t="shared" si="32"/>
        <v>4690.3620785368457</v>
      </c>
      <c r="V88" s="19"/>
      <c r="W88" s="40">
        <f t="shared" si="33"/>
        <v>26.212765142569921</v>
      </c>
      <c r="X88" s="21">
        <f>-(Données!I$50*1E-24*H88+Données!F$50)*W88+Données!F$45*K88</f>
        <v>-1.9031558536110804E-7</v>
      </c>
      <c r="Y88" s="42">
        <f t="shared" si="34"/>
        <v>21293.720184595582</v>
      </c>
      <c r="Z88" s="23">
        <f>-(Données!I$51*1E-24*H88+Données!F$51)*Y88+Données!F$48*Q88</f>
        <v>-2.0888782698353298E-5</v>
      </c>
      <c r="AA88" s="15">
        <f t="shared" si="35"/>
        <v>21319.932949738151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40.946829850511733</v>
      </c>
      <c r="J89" s="21">
        <f>-(Données!I$44*1E-24*H89+Données!F$44)*I89+(Données!H$50*1E-24*H89)*W89+0.71*(Données!H$49*1E-24*H89)*S89</f>
        <v>-1.1878344368774454E-8</v>
      </c>
      <c r="K89" s="42">
        <f t="shared" si="27"/>
        <v>2907.5114469436649</v>
      </c>
      <c r="L89" s="23">
        <f>-(Données!I$45*1E-24*H89+Données!F$45)*K89+(I89*Données!H$44*1E-24*H89)+(Données!H$51*1E-24*H89)*Y89</f>
        <v>-2.5564661299110986E-6</v>
      </c>
      <c r="M89" s="40">
        <f t="shared" si="28"/>
        <v>1396.3431656564637</v>
      </c>
      <c r="N89" s="21">
        <f>-(Données!I$46*1E-24*H89+Données!F$46)*M89+Données!H$45*1E-24*H89*K89</f>
        <v>3.8384365435610217E-7</v>
      </c>
      <c r="O89" s="42">
        <f t="shared" si="29"/>
        <v>186.83250696727592</v>
      </c>
      <c r="P89" s="23">
        <f>-(Données!I$47*1E-24*H89+Données!F$47)*O89+(Données!H$46*1E-24*H89)*M89</f>
        <v>1.9654424500013132E-8</v>
      </c>
      <c r="Q89" s="40">
        <f t="shared" si="30"/>
        <v>104.75270575409067</v>
      </c>
      <c r="R89" s="43">
        <f>-(Données!I$48*1E-24*H89+Données!F$48)*Q89+Données!H$47*1E-24*H89*O89+(Données!I$49*1E-24*H89*S89)*0.85*0.16</f>
        <v>5.8632334134799813E-8</v>
      </c>
      <c r="S89" s="42">
        <f t="shared" si="31"/>
        <v>48.423253077358346</v>
      </c>
      <c r="T89" s="22">
        <f>-(Données!I$49*1E-24*H89+Données!F$49)*S89+Données!F$47*O89</f>
        <v>-1.7570576603833366E-8</v>
      </c>
      <c r="U89" s="28">
        <f t="shared" si="32"/>
        <v>4684.8099082493645</v>
      </c>
      <c r="V89" s="19"/>
      <c r="W89" s="40">
        <f t="shared" si="33"/>
        <v>25.712615784240928</v>
      </c>
      <c r="X89" s="21">
        <f>-(Données!I$50*1E-24*H89+Données!F$50)*W89+Données!F$45*K89</f>
        <v>-1.866397292847733E-7</v>
      </c>
      <c r="Y89" s="42">
        <f t="shared" si="34"/>
        <v>21238.82446366431</v>
      </c>
      <c r="Z89" s="23">
        <f>-(Données!I$51*1E-24*H89+Données!F$51)*Y89+Données!F$48*Q89</f>
        <v>-2.0834930891078001E-5</v>
      </c>
      <c r="AA89" s="15">
        <f t="shared" si="35"/>
        <v>21264.53707944855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40.915613561510597</v>
      </c>
      <c r="J90" s="21">
        <f>-(Données!I$44*1E-24*H90+Données!F$44)*I90+(Données!H$50*1E-24*H90)*W90+0.71*(Données!H$49*1E-24*H90)*S90</f>
        <v>-1.2666019055802615E-8</v>
      </c>
      <c r="K90" s="42">
        <f t="shared" si="27"/>
        <v>2900.7930539542585</v>
      </c>
      <c r="L90" s="23">
        <f>-(Données!I$45*1E-24*H90+Données!F$45)*K90+(I90*Données!H$44*1E-24*H90)+(Données!H$51*1E-24*H90)*Y90</f>
        <v>-2.5551495324459501E-6</v>
      </c>
      <c r="M90" s="40">
        <f t="shared" si="28"/>
        <v>1397.3519067801114</v>
      </c>
      <c r="N90" s="21">
        <f>-(Données!I$46*1E-24*H90+Données!F$46)*M90+Données!H$45*1E-24*H90*K90</f>
        <v>3.7143876160839735E-7</v>
      </c>
      <c r="O90" s="42">
        <f t="shared" si="29"/>
        <v>186.88415879486195</v>
      </c>
      <c r="P90" s="23">
        <f>-(Données!I$47*1E-24*H90+Données!F$47)*O90+(Données!H$46*1E-24*H90)*M90</f>
        <v>2.0548509866246354E-8</v>
      </c>
      <c r="Q90" s="40">
        <f t="shared" si="30"/>
        <v>104.90679152819692</v>
      </c>
      <c r="R90" s="43">
        <f>-(Données!I$48*1E-24*H90+Données!F$48)*Q90+Données!H$47*1E-24*H90*O90+(Données!I$49*1E-24*H90*S90)*0.85*0.16</f>
        <v>5.8305497255168452E-8</v>
      </c>
      <c r="S90" s="42">
        <f t="shared" si="31"/>
        <v>48.377077602043471</v>
      </c>
      <c r="T90" s="22">
        <f>-(Données!I$49*1E-24*H90+Données!F$49)*S90+Données!F$47*O90</f>
        <v>-1.7201210259260444E-8</v>
      </c>
      <c r="U90" s="28">
        <f t="shared" si="32"/>
        <v>4679.2286022209828</v>
      </c>
      <c r="V90" s="19"/>
      <c r="W90" s="40">
        <f t="shared" si="33"/>
        <v>25.222126575680544</v>
      </c>
      <c r="X90" s="21">
        <f>-(Données!I$50*1E-24*H90+Données!F$50)*W90+Données!F$45*K90</f>
        <v>-1.8303498605800262E-7</v>
      </c>
      <c r="Y90" s="42">
        <f t="shared" si="34"/>
        <v>21184.070265282557</v>
      </c>
      <c r="Z90" s="23">
        <f>-(Données!I$51*1E-24*H90+Données!F$51)*Y90+Données!F$48*Q90</f>
        <v>-2.0781217915144476E-5</v>
      </c>
      <c r="AA90" s="15">
        <f t="shared" si="35"/>
        <v>21209.292391858238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40.882327263431947</v>
      </c>
      <c r="J91" s="21">
        <f>-(Données!I$44*1E-24*H91+Données!F$44)*I91+(Données!H$50*1E-24*H91)*W91+0.71*(Données!H$49*1E-24*H91)*S91</f>
        <v>-1.3422832944464632E-8</v>
      </c>
      <c r="K91" s="42">
        <f t="shared" si="27"/>
        <v>2894.0781209829906</v>
      </c>
      <c r="L91" s="23">
        <f>-(Données!I$45*1E-24*H91+Données!F$45)*K91+(I91*Données!H$44*1E-24*H91)+(Données!H$51*1E-24*H91)*Y91</f>
        <v>-2.5537435681020195E-6</v>
      </c>
      <c r="M91" s="40">
        <f t="shared" si="28"/>
        <v>1398.3280478456184</v>
      </c>
      <c r="N91" s="21">
        <f>-(Données!I$46*1E-24*H91+Données!F$46)*M91+Données!H$45*1E-24*H91*K91</f>
        <v>3.5912750139770929E-7</v>
      </c>
      <c r="O91" s="42">
        <f t="shared" si="29"/>
        <v>186.93816027879043</v>
      </c>
      <c r="P91" s="23">
        <f>-(Données!I$47*1E-24*H91+Données!F$47)*O91+(Données!H$46*1E-24*H91)*M91</f>
        <v>2.1371258977842412E-8</v>
      </c>
      <c r="Q91" s="40">
        <f t="shared" si="30"/>
        <v>105.0600183749835</v>
      </c>
      <c r="R91" s="43">
        <f>-(Données!I$48*1E-24*H91+Données!F$48)*Q91+Données!H$47*1E-24*H91*O91+(Données!I$49*1E-24*H91*S91)*0.85*0.16</f>
        <v>5.7984792911488521E-8</v>
      </c>
      <c r="S91" s="42">
        <f t="shared" si="31"/>
        <v>48.331872821482136</v>
      </c>
      <c r="T91" s="22">
        <f>-(Données!I$49*1E-24*H91+Données!F$49)*S91+Données!F$47*O91</f>
        <v>-1.6834337467962074E-8</v>
      </c>
      <c r="U91" s="28">
        <f t="shared" si="32"/>
        <v>4673.6185475672974</v>
      </c>
      <c r="V91" s="19"/>
      <c r="W91" s="40">
        <f t="shared" si="33"/>
        <v>24.741110632320112</v>
      </c>
      <c r="X91" s="21">
        <f>-(Données!I$50*1E-24*H91+Données!F$50)*W91+Données!F$45*K91</f>
        <v>-1.7949997966138706E-7</v>
      </c>
      <c r="Y91" s="42">
        <f t="shared" si="34"/>
        <v>21129.457224601556</v>
      </c>
      <c r="Z91" s="23">
        <f>-(Données!I$51*1E-24*H91+Données!F$51)*Y91+Données!F$48*Q91</f>
        <v>-2.0727643412641108E-5</v>
      </c>
      <c r="AA91" s="15">
        <f t="shared" si="35"/>
        <v>21154.198335233876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40.84705205845389</v>
      </c>
      <c r="J92" s="21">
        <f>-(Données!I$44*1E-24*H92+Données!F$44)*I92+(Données!H$50*1E-24*H92)*W92+0.71*(Données!H$49*1E-24*H92)*S92</f>
        <v>-1.4149572994367698E-8</v>
      </c>
      <c r="K92" s="42">
        <f t="shared" si="27"/>
        <v>2887.3668828860186</v>
      </c>
      <c r="L92" s="23">
        <f>-(Données!I$45*1E-24*H92+Données!F$45)*K92+(I92*Données!H$44*1E-24*H92)+(Données!H$51*1E-24*H92)*Y92</f>
        <v>-2.5522500395096545E-6</v>
      </c>
      <c r="M92" s="40">
        <f t="shared" si="28"/>
        <v>1399.2718349192915</v>
      </c>
      <c r="N92" s="21">
        <f>-(Données!I$46*1E-24*H92+Données!F$46)*M92+Données!H$45*1E-24*H92*K92</f>
        <v>3.4690954228217262E-7</v>
      </c>
      <c r="O92" s="42">
        <f t="shared" si="29"/>
        <v>186.9943239473842</v>
      </c>
      <c r="P92" s="23">
        <f>-(Données!I$47*1E-24*H92+Données!F$47)*O92+(Données!H$46*1E-24*H92)*M92</f>
        <v>2.2125002776401863E-8</v>
      </c>
      <c r="Q92" s="40">
        <f t="shared" si="30"/>
        <v>105.21240241075489</v>
      </c>
      <c r="R92" s="43">
        <f>-(Données!I$48*1E-24*H92+Données!F$48)*Q92+Données!H$47*1E-24*H92*O92+(Données!I$49*1E-24*H92*S92)*0.85*0.16</f>
        <v>5.7669914450289781E-8</v>
      </c>
      <c r="S92" s="42">
        <f t="shared" si="31"/>
        <v>48.287632182616335</v>
      </c>
      <c r="T92" s="22">
        <f>-(Données!I$49*1E-24*H92+Données!F$49)*S92+Données!F$47*O92</f>
        <v>-1.6470204704967721E-8</v>
      </c>
      <c r="U92" s="28">
        <f t="shared" si="32"/>
        <v>4667.9801284045197</v>
      </c>
      <c r="V92" s="19"/>
      <c r="W92" s="40">
        <f t="shared" si="33"/>
        <v>24.269384685769985</v>
      </c>
      <c r="X92" s="21">
        <f>-(Données!I$50*1E-24*H92+Données!F$50)*W92+Données!F$45*K92</f>
        <v>-1.7603336070138286E-7</v>
      </c>
      <c r="Y92" s="42">
        <f t="shared" si="34"/>
        <v>21074.984977713135</v>
      </c>
      <c r="Z92" s="23">
        <f>-(Données!I$51*1E-24*H92+Données!F$51)*Y92+Données!F$48*Q92</f>
        <v>-2.0674207026579015E-5</v>
      </c>
      <c r="AA92" s="15">
        <f t="shared" si="35"/>
        <v>21099.254362398904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40.80986698062469</v>
      </c>
      <c r="J93" s="21">
        <f>-(Données!I$44*1E-24*H93+Données!F$44)*I93+(Données!H$50*1E-24*H93)*W93+0.71*(Données!H$49*1E-24*H93)*S93</f>
        <v>-1.4847010978820776E-8</v>
      </c>
      <c r="K93" s="42">
        <f t="shared" si="27"/>
        <v>2880.6595697821872</v>
      </c>
      <c r="L93" s="23">
        <f>-(Données!I$45*1E-24*H93+Données!F$45)*K93+(I93*Données!H$44*1E-24*H93)+(Données!H$51*1E-24*H93)*Y93</f>
        <v>-2.5506707189014538E-6</v>
      </c>
      <c r="M93" s="40">
        <f t="shared" si="28"/>
        <v>1400.183513196409</v>
      </c>
      <c r="N93" s="21">
        <f>-(Données!I$46*1E-24*H93+Données!F$46)*M93+Données!H$45*1E-24*H93*K93</f>
        <v>3.3478454837606401E-7</v>
      </c>
      <c r="O93" s="42">
        <f t="shared" si="29"/>
        <v>187.05246845468059</v>
      </c>
      <c r="P93" s="23">
        <f>-(Données!I$47*1E-24*H93+Données!F$47)*O93+(Données!H$46*1E-24*H93)*M93</f>
        <v>2.2812006270178259E-8</v>
      </c>
      <c r="Q93" s="40">
        <f t="shared" si="30"/>
        <v>105.36395894593025</v>
      </c>
      <c r="R93" s="43">
        <f>-(Données!I$48*1E-24*H93+Données!F$48)*Q93+Données!H$47*1E-24*H93*O93+(Données!I$49*1E-24*H93*S93)*0.85*0.16</f>
        <v>5.7360565160648841E-8</v>
      </c>
      <c r="S93" s="42">
        <f t="shared" si="31"/>
        <v>48.244348484651681</v>
      </c>
      <c r="T93" s="22">
        <f>-(Données!I$49*1E-24*H93+Données!F$49)*S93+Données!F$47*O93</f>
        <v>-1.6109044976679681E-8</v>
      </c>
      <c r="U93" s="28">
        <f t="shared" si="32"/>
        <v>4662.3137258444831</v>
      </c>
      <c r="V93" s="19"/>
      <c r="W93" s="40">
        <f t="shared" si="33"/>
        <v>23.80676901384675</v>
      </c>
      <c r="X93" s="21">
        <f>-(Données!I$50*1E-24*H93+Données!F$50)*W93+Données!F$45*K93</f>
        <v>-1.7263380589511389E-7</v>
      </c>
      <c r="Y93" s="42">
        <f t="shared" si="34"/>
        <v>21020.653161647286</v>
      </c>
      <c r="Z93" s="23">
        <f>-(Données!I$51*1E-24*H93+Données!F$51)*Y93+Données!F$48*Q93</f>
        <v>-2.0620908400889709E-5</v>
      </c>
      <c r="AA93" s="15">
        <f t="shared" si="35"/>
        <v>21044.459930661131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40.770849035772351</v>
      </c>
      <c r="J94" s="21">
        <f>-(Données!I$44*1E-24*H94+Données!F$44)*I94+(Données!H$50*1E-24*H94)*W94+0.71*(Données!H$49*1E-24*H94)*S94</f>
        <v>-1.5515903692284088E-8</v>
      </c>
      <c r="K94" s="42">
        <f t="shared" si="27"/>
        <v>2873.9564071329141</v>
      </c>
      <c r="L94" s="23">
        <f>-(Données!I$45*1E-24*H94+Données!F$45)*K94+(I94*Données!H$44*1E-24*H94)+(Données!H$51*1E-24*H94)*Y94</f>
        <v>-2.5490073486059416E-6</v>
      </c>
      <c r="M94" s="40">
        <f t="shared" si="28"/>
        <v>1401.0633269895413</v>
      </c>
      <c r="N94" s="21">
        <f>-(Données!I$46*1E-24*H94+Données!F$46)*M94+Données!H$45*1E-24*H94*K94</f>
        <v>3.2275217949645402E-7</v>
      </c>
      <c r="O94" s="42">
        <f t="shared" si="29"/>
        <v>187.11241840715863</v>
      </c>
      <c r="P94" s="23">
        <f>-(Données!I$47*1E-24*H94+Données!F$47)*O94+(Données!H$46*1E-24*H94)*M94</f>
        <v>2.343447034725297E-8</v>
      </c>
      <c r="Q94" s="40">
        <f t="shared" si="30"/>
        <v>105.51470251117243</v>
      </c>
      <c r="R94" s="43">
        <f>-(Données!I$48*1E-24*H94+Données!F$48)*Q94+Données!H$47*1E-24*H94*O94+(Données!I$49*1E-24*H94*S94)*0.85*0.16</f>
        <v>5.705645799962919E-8</v>
      </c>
      <c r="S94" s="42">
        <f t="shared" si="31"/>
        <v>48.202013914452969</v>
      </c>
      <c r="T94" s="22">
        <f>-(Données!I$49*1E-24*H94+Données!F$49)*S94+Données!F$47*O94</f>
        <v>-1.5751078309119392E-8</v>
      </c>
      <c r="U94" s="28">
        <f t="shared" si="32"/>
        <v>4656.6197179910123</v>
      </c>
      <c r="V94" s="19"/>
      <c r="W94" s="40">
        <f t="shared" si="33"/>
        <v>23.353087371954391</v>
      </c>
      <c r="X94" s="21">
        <f>-(Données!I$50*1E-24*H94+Données!F$50)*W94+Données!F$45*K94</f>
        <v>-1.6930001756514297E-7</v>
      </c>
      <c r="Y94" s="42">
        <f t="shared" si="34"/>
        <v>20966.461414369747</v>
      </c>
      <c r="Z94" s="23">
        <f>-(Données!I$51*1E-24*H94+Données!F$51)*Y94+Données!F$48*Q94</f>
        <v>-2.0567747180422685E-5</v>
      </c>
      <c r="AA94" s="15">
        <f t="shared" si="35"/>
        <v>20989.814501741701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40.730073240869025</v>
      </c>
      <c r="J95" s="21">
        <f>-(Données!I$44*1E-24*H95+Données!F$44)*I95+(Données!H$50*1E-24*H95)*W95+0.71*(Données!H$49*1E-24*H95)*S95</f>
        <v>-1.6156993157353157E-8</v>
      </c>
      <c r="K95" s="42">
        <f t="shared" ref="K95:K136" si="39">K94+L94*D$5</f>
        <v>2867.2576158207776</v>
      </c>
      <c r="L95" s="23">
        <f>-(Données!I$45*1E-24*H95+Données!F$45)*K95+(I95*Données!H$44*1E-24*H95)+(Données!H$51*1E-24*H95)*Y95</f>
        <v>-2.5472616415330864E-6</v>
      </c>
      <c r="M95" s="40">
        <f t="shared" ref="M95:M136" si="40">M94+N94*D$5</f>
        <v>1401.911519717258</v>
      </c>
      <c r="N95" s="21">
        <f>-(Données!I$46*1E-24*H95+Données!F$46)*M95+Données!H$45*1E-24*H95*K95</f>
        <v>3.1081209130692957E-7</v>
      </c>
      <c r="O95" s="42">
        <f t="shared" ref="O95:O136" si="41">O94+P94*D$5</f>
        <v>187.17400419523122</v>
      </c>
      <c r="P95" s="23">
        <f>-(Données!I$47*1E-24*H95+Données!F$47)*O95+(Données!H$46*1E-24*H95)*M95</f>
        <v>2.3994533538935378E-8</v>
      </c>
      <c r="Q95" s="40">
        <f t="shared" ref="Q95:Q136" si="42">Q94+R94*D$5</f>
        <v>105.66464688279545</v>
      </c>
      <c r="R95" s="43">
        <f>-(Données!I$48*1E-24*H95+Données!F$48)*Q95+Données!H$47*1E-24*H95*O95+(Données!I$49*1E-24*H95*S95)*0.85*0.16</f>
        <v>5.6757315325016072E-8</v>
      </c>
      <c r="S95" s="42">
        <f t="shared" ref="S95:S136" si="43">S94+T94*D$5</f>
        <v>48.160620080656606</v>
      </c>
      <c r="T95" s="22">
        <f>-(Données!I$49*1E-24*H95+Données!F$49)*S95+Données!F$47*O95</f>
        <v>-1.5396512220801153E-8</v>
      </c>
      <c r="U95" s="28">
        <f t="shared" ref="U95:U136" si="44">I95+K95+M95+O95+Q95+S95</f>
        <v>4650.8984799375885</v>
      </c>
      <c r="V95" s="19"/>
      <c r="W95" s="40">
        <f t="shared" ref="W95:W136" si="45">W94+X94*D$5</f>
        <v>22.908166925793196</v>
      </c>
      <c r="X95" s="21">
        <f>-(Données!I$50*1E-24*H95+Données!F$50)*W95+Données!F$45*K95</f>
        <v>-1.6603072314401875E-7</v>
      </c>
      <c r="Y95" s="42">
        <f t="shared" ref="Y95:Y136" si="46">Y94+Z94*D$5</f>
        <v>20912.409374779596</v>
      </c>
      <c r="Z95" s="23">
        <f>-(Données!I$51*1E-24*H95+Données!F$51)*Y95+Données!F$48*Q95</f>
        <v>-2.0514723010943078E-5</v>
      </c>
      <c r="AA95" s="15">
        <f t="shared" ref="AA95:AA136" si="47">W95+Y95</f>
        <v>20935.31754170539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40.6876126628515</v>
      </c>
      <c r="J96" s="21">
        <f>-(Données!I$44*1E-24*H96+Données!F$44)*I96+(Données!H$50*1E-24*H96)*W96+0.71*(Données!H$49*1E-24*H96)*S96</f>
        <v>-1.677100683117475E-8</v>
      </c>
      <c r="K96" s="42">
        <f t="shared" si="39"/>
        <v>2860.5634122268284</v>
      </c>
      <c r="L96" s="23">
        <f>-(Données!I$45*1E-24*H96+Données!F$45)*K96+(I96*Données!H$44*1E-24*H96)+(Données!H$51*1E-24*H96)*Y96</f>
        <v>-2.5454352816517976E-6</v>
      </c>
      <c r="M96" s="40">
        <f t="shared" si="40"/>
        <v>1402.7283338932125</v>
      </c>
      <c r="N96" s="21">
        <f>-(Données!I$46*1E-24*H96+Données!F$46)*M96+Données!H$45*1E-24*H96*K96</f>
        <v>2.9896393545846013E-7</v>
      </c>
      <c r="O96" s="42">
        <f t="shared" si="41"/>
        <v>187.23706182937156</v>
      </c>
      <c r="P96" s="23">
        <f>-(Données!I$47*1E-24*H96+Données!F$47)*O96+(Données!H$46*1E-24*H96)*M96</f>
        <v>2.4494273734766584E-8</v>
      </c>
      <c r="Q96" s="40">
        <f t="shared" si="42"/>
        <v>105.81380510746959</v>
      </c>
      <c r="R96" s="43">
        <f>-(Données!I$48*1E-24*H96+Données!F$48)*Q96+Données!H$47*1E-24*H96*O96+(Données!I$49*1E-24*H96*S96)*0.85*0.16</f>
        <v>5.6462868635152372E-8</v>
      </c>
      <c r="S96" s="42">
        <f t="shared" si="43"/>
        <v>48.12015804654034</v>
      </c>
      <c r="T96" s="22">
        <f>-(Données!I$49*1E-24*H96+Données!F$49)*S96+Données!F$47*O96</f>
        <v>-1.5045542180687845E-8</v>
      </c>
      <c r="U96" s="28">
        <f t="shared" si="44"/>
        <v>4645.1503837662731</v>
      </c>
      <c r="V96" s="19"/>
      <c r="W96" s="40">
        <f t="shared" si="45"/>
        <v>22.471838185370714</v>
      </c>
      <c r="X96" s="21">
        <f>-(Données!I$50*1E-24*H96+Données!F$50)*W96+Données!F$45*K96</f>
        <v>-1.6282467468840913E-7</v>
      </c>
      <c r="Y96" s="42">
        <f t="shared" si="46"/>
        <v>20858.496682706838</v>
      </c>
      <c r="Z96" s="23">
        <f>-(Données!I$51*1E-24*H96+Données!F$51)*Y96+Données!F$48*Q96</f>
        <v>-2.0461835539129292E-5</v>
      </c>
      <c r="AA96" s="15">
        <f t="shared" si="47"/>
        <v>20880.968520892209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40.643538456899172</v>
      </c>
      <c r="J97" s="21">
        <f>-(Données!I$44*1E-24*H97+Données!F$44)*I97+(Données!H$50*1E-24*H97)*W97+0.71*(Données!H$49*1E-24*H97)*S97</f>
        <v>-1.7358657811196244E-8</v>
      </c>
      <c r="K97" s="42">
        <f t="shared" si="39"/>
        <v>2853.8740083066473</v>
      </c>
      <c r="L97" s="23">
        <f>-(Données!I$45*1E-24*H97+Données!F$45)*K97+(I97*Données!H$44*1E-24*H97)+(Données!H$51*1E-24*H97)*Y97</f>
        <v>-2.5435299244595882E-6</v>
      </c>
      <c r="M97" s="40">
        <f t="shared" si="40"/>
        <v>1403.5140111155972</v>
      </c>
      <c r="N97" s="21">
        <f>-(Données!I$46*1E-24*H97+Données!F$46)*M97+Données!H$45*1E-24*H97*K97</f>
        <v>2.8720735972745274E-7</v>
      </c>
      <c r="O97" s="42">
        <f t="shared" si="41"/>
        <v>187.30143278074652</v>
      </c>
      <c r="P97" s="23">
        <f>-(Données!I$47*1E-24*H97+Données!F$47)*O97+(Données!H$46*1E-24*H97)*M97</f>
        <v>2.4935709850455605E-8</v>
      </c>
      <c r="Q97" s="40">
        <f t="shared" si="42"/>
        <v>105.96218952624277</v>
      </c>
      <c r="R97" s="43">
        <f>-(Données!I$48*1E-24*H97+Données!F$48)*Q97+Données!H$47*1E-24*H97*O97+(Données!I$49*1E-24*H97*S97)*0.85*0.16</f>
        <v>5.617285831568512E-8</v>
      </c>
      <c r="S97" s="42">
        <f t="shared" si="43"/>
        <v>48.080618361689488</v>
      </c>
      <c r="T97" s="22">
        <f>-(Données!I$49*1E-24*H97+Données!F$49)*S97+Données!F$47*O97</f>
        <v>-1.4698352051669536E-8</v>
      </c>
      <c r="U97" s="28">
        <f t="shared" si="44"/>
        <v>4639.3757985478223</v>
      </c>
      <c r="V97" s="19"/>
      <c r="W97" s="40">
        <f t="shared" si="45"/>
        <v>22.043934940289574</v>
      </c>
      <c r="X97" s="21">
        <f>-(Données!I$50*1E-24*H97+Données!F$50)*W97+Données!F$45*K97</f>
        <v>-1.5968064840263582E-7</v>
      </c>
      <c r="Y97" s="42">
        <f t="shared" si="46"/>
        <v>20804.722978910006</v>
      </c>
      <c r="Z97" s="23">
        <f>-(Données!I$51*1E-24*H97+Données!F$51)*Y97+Données!F$48*Q97</f>
        <v>-2.0409084412570637E-5</v>
      </c>
      <c r="AA97" s="15">
        <f t="shared" si="47"/>
        <v>20826.766913850297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40.597919904171349</v>
      </c>
      <c r="J98" s="21">
        <f>-(Données!I$44*1E-24*H98+Données!F$44)*I98+(Données!H$50*1E-24*H98)*W98+0.71*(Données!H$49*1E-24*H98)*S98</f>
        <v>-1.7920645040156695E-8</v>
      </c>
      <c r="K98" s="42">
        <f t="shared" si="39"/>
        <v>2847.1896116651674</v>
      </c>
      <c r="L98" s="23">
        <f>-(Données!I$45*1E-24*H98+Données!F$45)*K98+(I98*Données!H$44*1E-24*H98)+(Données!H$51*1E-24*H98)*Y98</f>
        <v>-2.5415471974444756E-6</v>
      </c>
      <c r="M98" s="40">
        <f t="shared" si="40"/>
        <v>1404.268792056961</v>
      </c>
      <c r="N98" s="21">
        <f>-(Données!I$46*1E-24*H98+Données!F$46)*M98+Données!H$45*1E-24*H98*K98</f>
        <v>2.7554200815104214E-7</v>
      </c>
      <c r="O98" s="42">
        <f t="shared" si="41"/>
        <v>187.36696382623353</v>
      </c>
      <c r="P98" s="23">
        <f>-(Données!I$47*1E-24*H98+Données!F$47)*O98+(Données!H$46*1E-24*H98)*M98</f>
        <v>2.5320803450038523E-8</v>
      </c>
      <c r="Q98" s="40">
        <f t="shared" si="42"/>
        <v>106.10981179789638</v>
      </c>
      <c r="R98" s="43">
        <f>-(Données!I$48*1E-24*H98+Données!F$48)*Q98+Données!H$47*1E-24*H98*O98+(Données!I$49*1E-24*H98*S98)*0.85*0.16</f>
        <v>5.5887033393039881E-8</v>
      </c>
      <c r="S98" s="42">
        <f t="shared" si="43"/>
        <v>48.041991092497703</v>
      </c>
      <c r="T98" s="22">
        <f>-(Données!I$49*1E-24*H98+Données!F$49)*S98+Données!F$47*O98</f>
        <v>-1.4355114519994097E-8</v>
      </c>
      <c r="U98" s="28">
        <f t="shared" si="44"/>
        <v>4633.5750903429271</v>
      </c>
      <c r="V98" s="19"/>
      <c r="W98" s="40">
        <f t="shared" si="45"/>
        <v>21.624294196287448</v>
      </c>
      <c r="X98" s="21">
        <f>-(Données!I$50*1E-24*H98+Données!F$50)*W98+Données!F$45*K98</f>
        <v>-1.5659744417142822E-7</v>
      </c>
      <c r="Y98" s="42">
        <f t="shared" si="46"/>
        <v>20751.087905073771</v>
      </c>
      <c r="Z98" s="23">
        <f>-(Données!I$51*1E-24*H98+Données!F$51)*Y98+Données!F$48*Q98</f>
        <v>-2.0356469279764993E-5</v>
      </c>
      <c r="AA98" s="15">
        <f t="shared" si="47"/>
        <v>20772.71219927006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40.550824449005816</v>
      </c>
      <c r="J99" s="21">
        <f>-(Données!I$44*1E-24*H99+Données!F$44)*I99+(Données!H$50*1E-24*H99)*W99+0.71*(Données!H$49*1E-24*H99)*S99</f>
        <v>-1.845765351023084E-8</v>
      </c>
      <c r="K99" s="42">
        <f t="shared" si="39"/>
        <v>2840.5104256302834</v>
      </c>
      <c r="L99" s="23">
        <f>-(Données!I$45*1E-24*H99+Données!F$45)*K99+(I99*Données!H$44*1E-24*H99)+(Données!H$51*1E-24*H99)*Y99</f>
        <v>-2.5394887005393636E-6</v>
      </c>
      <c r="M99" s="40">
        <f t="shared" si="40"/>
        <v>1404.9929164543819</v>
      </c>
      <c r="N99" s="21">
        <f>-(Données!I$46*1E-24*H99+Données!F$46)*M99+Données!H$45*1E-24*H99*K99</f>
        <v>2.6396752115967647E-7</v>
      </c>
      <c r="O99" s="42">
        <f t="shared" si="41"/>
        <v>187.43350689770023</v>
      </c>
      <c r="P99" s="23">
        <f>-(Données!I$47*1E-24*H99+Données!F$47)*O99+(Données!H$46*1E-24*H99)*M99</f>
        <v>2.5651460323530293E-8</v>
      </c>
      <c r="Q99" s="40">
        <f t="shared" si="42"/>
        <v>106.25668292165329</v>
      </c>
      <c r="R99" s="43">
        <f>-(Données!I$48*1E-24*H99+Données!F$48)*Q99+Données!H$47*1E-24*H99*O99+(Données!I$49*1E-24*H99*S99)*0.85*0.16</f>
        <v>5.5605151294443594E-8</v>
      </c>
      <c r="S99" s="42">
        <f t="shared" si="43"/>
        <v>48.004265851539159</v>
      </c>
      <c r="T99" s="22">
        <f>-(Données!I$49*1E-24*H99+Données!F$49)*S99+Données!F$47*O99</f>
        <v>-1.4015991511066095E-8</v>
      </c>
      <c r="U99" s="28">
        <f t="shared" si="44"/>
        <v>4627.7486222045636</v>
      </c>
      <c r="V99" s="19"/>
      <c r="W99" s="40">
        <f t="shared" si="45"/>
        <v>21.212756113004936</v>
      </c>
      <c r="X99" s="21">
        <f>-(Données!I$50*1E-24*H99+Données!F$50)*W99+Données!F$45*K99</f>
        <v>-1.535738851017177E-7</v>
      </c>
      <c r="Y99" s="42">
        <f t="shared" si="46"/>
        <v>20697.59110380655</v>
      </c>
      <c r="Z99" s="23">
        <f>-(Données!I$51*1E-24*H99+Données!F$51)*Y99+Données!F$48*Q99</f>
        <v>-2.0303989790116461E-5</v>
      </c>
      <c r="AA99" s="15">
        <f t="shared" si="47"/>
        <v>20718.803859919553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40.502317735580931</v>
      </c>
      <c r="J100" s="21">
        <f>-(Données!I$44*1E-24*H100+Données!F$44)*I100+(Données!H$50*1E-24*H100)*W100+0.71*(Données!H$49*1E-24*H100)*S100</f>
        <v>-1.897035446624352E-8</v>
      </c>
      <c r="K100" s="42">
        <f t="shared" si="39"/>
        <v>2833.8366493252661</v>
      </c>
      <c r="L100" s="23">
        <f>-(Données!I$45*1E-24*H100+Données!F$45)*K100+(I100*Données!H$44*1E-24*H100)+(Données!H$51*1E-24*H100)*Y100</f>
        <v>-2.5373560065689066E-6</v>
      </c>
      <c r="M100" s="40">
        <f t="shared" si="40"/>
        <v>1405.6866230999894</v>
      </c>
      <c r="N100" s="21">
        <f>-(Données!I$46*1E-24*H100+Données!F$46)*M100+Données!H$45*1E-24*H100*K100</f>
        <v>2.5248353570702243E-7</v>
      </c>
      <c r="O100" s="42">
        <f t="shared" si="41"/>
        <v>187.50091893543046</v>
      </c>
      <c r="P100" s="23">
        <f>-(Données!I$47*1E-24*H100+Données!F$47)*O100+(Données!H$46*1E-24*H100)*M100</f>
        <v>2.5929532021286802E-8</v>
      </c>
      <c r="Q100" s="40">
        <f t="shared" si="42"/>
        <v>106.4028132592551</v>
      </c>
      <c r="R100" s="43">
        <f>-(Données!I$48*1E-24*H100+Données!F$48)*Q100+Données!H$47*1E-24*H100*O100+(Données!I$49*1E-24*H100*S100)*0.85*0.16</f>
        <v>5.5326977614321179E-8</v>
      </c>
      <c r="S100" s="42">
        <f t="shared" si="43"/>
        <v>47.967431825848081</v>
      </c>
      <c r="T100" s="22">
        <f>-(Données!I$49*1E-24*H100+Données!F$49)*S100+Données!F$47*O100</f>
        <v>-1.3681134592019529E-8</v>
      </c>
      <c r="U100" s="28">
        <f t="shared" si="44"/>
        <v>4621.8967541813699</v>
      </c>
      <c r="V100" s="19"/>
      <c r="W100" s="40">
        <f t="shared" si="45"/>
        <v>20.809163942957621</v>
      </c>
      <c r="X100" s="21">
        <f>-(Données!I$50*1E-24*H100+Données!F$50)*W100+Données!F$45*K100</f>
        <v>-1.5060881707329791E-7</v>
      </c>
      <c r="Y100" s="42">
        <f t="shared" si="46"/>
        <v>20644.232218638124</v>
      </c>
      <c r="Z100" s="23">
        <f>-(Données!I$51*1E-24*H100+Données!F$51)*Y100+Données!F$48*Q100</f>
        <v>-2.0251645593933019E-5</v>
      </c>
      <c r="AA100" s="15">
        <f t="shared" si="47"/>
        <v>20665.041382581083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40.45246364404364</v>
      </c>
      <c r="J101" s="21">
        <f>-(Données!I$44*1E-24*H101+Données!F$44)*I101+(Données!H$50*1E-24*H101)*W101+0.71*(Données!H$49*1E-24*H101)*S101</f>
        <v>-1.9459405607875288E-8</v>
      </c>
      <c r="K101" s="42">
        <f t="shared" si="39"/>
        <v>2827.1684777400028</v>
      </c>
      <c r="L101" s="23">
        <f>-(Données!I$45*1E-24*H101+Données!F$45)*K101+(I101*Données!H$44*1E-24*H101)+(Données!H$51*1E-24*H101)*Y101</f>
        <v>-2.53515066168911E-6</v>
      </c>
      <c r="M101" s="40">
        <f t="shared" si="40"/>
        <v>1406.3501498318276</v>
      </c>
      <c r="N101" s="21">
        <f>-(Données!I$46*1E-24*H101+Données!F$46)*M101+Données!H$45*1E-24*H101*K101</f>
        <v>2.4108968539727441E-7</v>
      </c>
      <c r="O101" s="42">
        <f t="shared" si="41"/>
        <v>187.56906174558242</v>
      </c>
      <c r="P101" s="23">
        <f>-(Données!I$47*1E-24*H101+Données!F$47)*O101+(Données!H$46*1E-24*H101)*M101</f>
        <v>2.6156817346271951E-8</v>
      </c>
      <c r="Q101" s="40">
        <f t="shared" si="42"/>
        <v>106.54821255642554</v>
      </c>
      <c r="R101" s="43">
        <f>-(Données!I$48*1E-24*H101+Données!F$48)*Q101+Données!H$47*1E-24*H101*O101+(Données!I$49*1E-24*H101*S101)*0.85*0.16</f>
        <v>5.5052285886896624E-8</v>
      </c>
      <c r="S101" s="42">
        <f t="shared" si="43"/>
        <v>47.93147780414025</v>
      </c>
      <c r="T101" s="22">
        <f>-(Données!I$49*1E-24*H101+Données!F$49)*S101+Données!F$47*O101</f>
        <v>-1.3350685361455581E-8</v>
      </c>
      <c r="U101" s="28">
        <f t="shared" si="44"/>
        <v>4616.0198433220221</v>
      </c>
      <c r="V101" s="19"/>
      <c r="W101" s="40">
        <f t="shared" si="45"/>
        <v>20.413363971688995</v>
      </c>
      <c r="X101" s="21">
        <f>-(Données!I$50*1E-24*H101+Données!F$50)*W101+Données!F$45*K101</f>
        <v>-1.477011082981799E-7</v>
      </c>
      <c r="Y101" s="42">
        <f t="shared" si="46"/>
        <v>20591.010894017269</v>
      </c>
      <c r="Z101" s="23">
        <f>-(Données!I$51*1E-24*H101+Données!F$51)*Y101+Données!F$48*Q101</f>
        <v>-2.0199436342424196E-5</v>
      </c>
      <c r="AA101" s="15">
        <f t="shared" si="47"/>
        <v>20611.424257988958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40.401324326106142</v>
      </c>
      <c r="J102" s="21">
        <f>-(Données!I$44*1E-24*H102+Données!F$44)*I102+(Données!H$50*1E-24*H102)*W102+0.71*(Données!H$49*1E-24*H102)*S102</f>
        <v>-1.9925451290785388E-8</v>
      </c>
      <c r="K102" s="42">
        <f t="shared" si="39"/>
        <v>2820.5061018010838</v>
      </c>
      <c r="L102" s="23">
        <f>-(Données!I$45*1E-24*H102+Données!F$45)*K102+(I102*Données!H$44*1E-24*H102)+(Données!H$51*1E-24*H102)*Y102</f>
        <v>-2.5328741858197328E-6</v>
      </c>
      <c r="M102" s="40">
        <f t="shared" si="40"/>
        <v>1406.9837335250515</v>
      </c>
      <c r="N102" s="21">
        <f>-(Données!I$46*1E-24*H102+Données!F$46)*M102+Données!H$45*1E-24*H102*K102</f>
        <v>2.2978560060987237E-7</v>
      </c>
      <c r="O102" s="42">
        <f t="shared" si="41"/>
        <v>187.63780186156842</v>
      </c>
      <c r="P102" s="23">
        <f>-(Données!I$47*1E-24*H102+Données!F$47)*O102+(Données!H$46*1E-24*H102)*M102</f>
        <v>2.633506380538719E-8</v>
      </c>
      <c r="Q102" s="40">
        <f t="shared" si="42"/>
        <v>106.69288996373631</v>
      </c>
      <c r="R102" s="43">
        <f>-(Données!I$48*1E-24*H102+Données!F$48)*Q102+Données!H$47*1E-24*H102*O102+(Données!I$49*1E-24*H102*S102)*0.85*0.16</f>
        <v>5.4780857364834127E-8</v>
      </c>
      <c r="S102" s="42">
        <f t="shared" si="43"/>
        <v>47.896392203010343</v>
      </c>
      <c r="T102" s="22">
        <f>-(Données!I$49*1E-24*H102+Données!F$49)*S102+Données!F$47*O102</f>
        <v>-1.3024775826728989E-8</v>
      </c>
      <c r="U102" s="28">
        <f t="shared" si="44"/>
        <v>4610.1182436805566</v>
      </c>
      <c r="V102" s="19"/>
      <c r="W102" s="40">
        <f t="shared" si="45"/>
        <v>20.025205459081377</v>
      </c>
      <c r="X102" s="21">
        <f>-(Données!I$50*1E-24*H102+Données!F$50)*W102+Données!F$45*K102</f>
        <v>-1.4484964888847239E-7</v>
      </c>
      <c r="Y102" s="42">
        <f t="shared" si="46"/>
        <v>20537.926775309377</v>
      </c>
      <c r="Z102" s="23">
        <f>-(Données!I$51*1E-24*H102+Données!F$51)*Y102+Données!F$48*Q102</f>
        <v>-2.0147361687698755E-5</v>
      </c>
      <c r="AA102" s="15">
        <f t="shared" si="47"/>
        <v>20557.951980768459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40.348960240113961</v>
      </c>
      <c r="J103" s="21">
        <f>-(Données!I$44*1E-24*H103+Données!F$44)*I103+(Données!H$50*1E-24*H103)*W103+0.71*(Données!H$49*1E-24*H103)*S103</f>
        <v>-2.0369122726581402E-8</v>
      </c>
      <c r="K103" s="42">
        <f t="shared" si="39"/>
        <v>2813.8497084407495</v>
      </c>
      <c r="L103" s="23">
        <f>-(Données!I$45*1E-24*H103+Données!F$45)*K103+(I103*Données!H$44*1E-24*H103)+(Données!H$51*1E-24*H103)*Y103</f>
        <v>-2.5305280730695942E-6</v>
      </c>
      <c r="M103" s="40">
        <f t="shared" si="40"/>
        <v>1407.5876100834544</v>
      </c>
      <c r="N103" s="21">
        <f>-(Données!I$46*1E-24*H103+Données!F$46)*M103+Données!H$45*1E-24*H103*K103</f>
        <v>2.1857090862170761E-7</v>
      </c>
      <c r="O103" s="42">
        <f t="shared" si="41"/>
        <v>187.70701040924897</v>
      </c>
      <c r="P103" s="23">
        <f>-(Données!I$47*1E-24*H103+Données!F$47)*O103+(Données!H$46*1E-24*H103)*M103</f>
        <v>2.6465969020992216E-8</v>
      </c>
      <c r="Q103" s="40">
        <f t="shared" si="42"/>
        <v>106.83685405689108</v>
      </c>
      <c r="R103" s="43">
        <f>-(Données!I$48*1E-24*H103+Données!F$48)*Q103+Données!H$47*1E-24*H103*O103+(Données!I$49*1E-24*H103*S103)*0.85*0.16</f>
        <v>5.4512480803757524E-8</v>
      </c>
      <c r="S103" s="42">
        <f t="shared" si="43"/>
        <v>47.862163092137699</v>
      </c>
      <c r="T103" s="22">
        <f>-(Données!I$49*1E-24*H103+Données!F$49)*S103+Données!F$47*O103</f>
        <v>-1.2703528769151908E-8</v>
      </c>
      <c r="U103" s="28">
        <f t="shared" si="44"/>
        <v>4604.1923063225959</v>
      </c>
      <c r="V103" s="19"/>
      <c r="W103" s="40">
        <f t="shared" si="45"/>
        <v>19.64454058180247</v>
      </c>
      <c r="X103" s="21">
        <f>-(Données!I$50*1E-24*H103+Données!F$50)*W103+Données!F$45*K103</f>
        <v>-1.4205335043262412E-7</v>
      </c>
      <c r="Y103" s="42">
        <f t="shared" si="46"/>
        <v>20484.979508794106</v>
      </c>
      <c r="Z103" s="23">
        <f>-(Données!I$51*1E-24*H103+Données!F$51)*Y103+Données!F$48*Q103</f>
        <v>-2.0095421282762354E-5</v>
      </c>
      <c r="AA103" s="15">
        <f t="shared" si="47"/>
        <v>20504.624049375907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40.295430185588508</v>
      </c>
      <c r="J104" s="21">
        <f>-(Données!I$44*1E-24*H104+Données!F$44)*I104+(Données!H$50*1E-24*H104)*W104+0.71*(Données!H$49*1E-24*H104)*S104</f>
        <v>-2.0791038181569661E-8</v>
      </c>
      <c r="K104" s="42">
        <f t="shared" si="39"/>
        <v>2807.1994806647226</v>
      </c>
      <c r="L104" s="23">
        <f>-(Données!I$45*1E-24*H104+Données!F$45)*K104+(I104*Données!H$44*1E-24*H104)+(Données!H$51*1E-24*H104)*Y104</f>
        <v>-2.5281137921550134E-6</v>
      </c>
      <c r="M104" s="40">
        <f t="shared" si="40"/>
        <v>1408.1620144313122</v>
      </c>
      <c r="N104" s="21">
        <f>-(Données!I$46*1E-24*H104+Données!F$46)*M104+Données!H$45*1E-24*H104*K104</f>
        <v>2.074452337268415E-7</v>
      </c>
      <c r="O104" s="42">
        <f t="shared" si="41"/>
        <v>187.77656297583613</v>
      </c>
      <c r="P104" s="23">
        <f>-(Données!I$47*1E-24*H104+Données!F$47)*O104+(Données!H$46*1E-24*H104)*M104</f>
        <v>2.6551182103706091E-8</v>
      </c>
      <c r="Q104" s="40">
        <f t="shared" si="42"/>
        <v>106.98011285644336</v>
      </c>
      <c r="R104" s="43">
        <f>-(Données!I$48*1E-24*H104+Données!F$48)*Q104+Données!H$47*1E-24*H104*O104+(Données!I$49*1E-24*H104*S104)*0.85*0.16</f>
        <v>5.4246952252493124E-8</v>
      </c>
      <c r="S104" s="42">
        <f t="shared" si="43"/>
        <v>47.828778218532371</v>
      </c>
      <c r="T104" s="22">
        <f>-(Données!I$49*1E-24*H104+Données!F$49)*S104+Données!F$47*O104</f>
        <v>-1.2387058097476752E-8</v>
      </c>
      <c r="U104" s="28">
        <f t="shared" si="44"/>
        <v>4598.2423793324351</v>
      </c>
      <c r="V104" s="19"/>
      <c r="W104" s="40">
        <f t="shared" si="45"/>
        <v>19.271224376865533</v>
      </c>
      <c r="X104" s="21">
        <f>-(Données!I$50*1E-24*H104+Données!F$50)*W104+Données!F$45*K104</f>
        <v>-1.3931114557986477E-7</v>
      </c>
      <c r="Y104" s="42">
        <f t="shared" si="46"/>
        <v>20432.168741663005</v>
      </c>
      <c r="Z104" s="23">
        <f>-(Données!I$51*1E-24*H104+Données!F$51)*Y104+Données!F$48*Q104</f>
        <v>-2.0043614781515244E-5</v>
      </c>
      <c r="AA104" s="15">
        <f t="shared" si="47"/>
        <v>20451.43996603987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40.240791337247344</v>
      </c>
      <c r="J105" s="21">
        <f>-(Données!I$44*1E-24*H105+Données!F$44)*I105+(Données!H$50*1E-24*H105)*W105+0.71*(Données!H$49*1E-24*H105)*S105</f>
        <v>-2.1191803174224376E-8</v>
      </c>
      <c r="K105" s="42">
        <f t="shared" si="39"/>
        <v>2800.5555976189394</v>
      </c>
      <c r="L105" s="23">
        <f>-(Données!I$45*1E-24*H105+Données!F$45)*K105+(I105*Données!H$44*1E-24*H105)+(Données!H$51*1E-24*H105)*Y105</f>
        <v>-2.5256327868113501E-6</v>
      </c>
      <c r="M105" s="40">
        <f t="shared" si="40"/>
        <v>1408.7071805055464</v>
      </c>
      <c r="N105" s="21">
        <f>-(Données!I$46*1E-24*H105+Données!F$46)*M105+Données!H$45*1E-24*H105*K105</f>
        <v>1.9640819735379075E-7</v>
      </c>
      <c r="O105" s="42">
        <f t="shared" si="41"/>
        <v>187.84633948240466</v>
      </c>
      <c r="P105" s="23">
        <f>-(Données!I$47*1E-24*H105+Données!F$47)*O105+(Données!H$46*1E-24*H105)*M105</f>
        <v>2.6592304987561558E-8</v>
      </c>
      <c r="Q105" s="40">
        <f t="shared" si="42"/>
        <v>107.12267384696291</v>
      </c>
      <c r="R105" s="43">
        <f>-(Données!I$48*1E-24*H105+Données!F$48)*Q105+Données!H$47*1E-24*H105*O105+(Données!I$49*1E-24*H105*S105)*0.85*0.16</f>
        <v>5.3984074848883131E-8</v>
      </c>
      <c r="S105" s="42">
        <f t="shared" si="43"/>
        <v>47.796225029852202</v>
      </c>
      <c r="T105" s="22">
        <f>-(Données!I$49*1E-24*H105+Données!F$49)*S105+Données!F$47*O105</f>
        <v>-1.2075469190006604E-8</v>
      </c>
      <c r="U105" s="28">
        <f t="shared" si="44"/>
        <v>4592.268807820953</v>
      </c>
      <c r="V105" s="19"/>
      <c r="W105" s="40">
        <f t="shared" si="45"/>
        <v>18.905114686281649</v>
      </c>
      <c r="X105" s="21">
        <f>-(Données!I$50*1E-24*H105+Données!F$50)*W105+Données!F$45*K105</f>
        <v>-1.3662198763268721E-7</v>
      </c>
      <c r="Y105" s="42">
        <f t="shared" si="46"/>
        <v>20379.494122017182</v>
      </c>
      <c r="Z105" s="23">
        <f>-(Données!I$51*1E-24*H105+Données!F$51)*Y105+Données!F$48*Q105</f>
        <v>-1.9991941838749971E-5</v>
      </c>
      <c r="AA105" s="15">
        <f t="shared" si="47"/>
        <v>20398.399236703463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40.185099278505483</v>
      </c>
      <c r="J106" s="21">
        <f>-(Données!I$44*1E-24*H106+Données!F$44)*I106+(Données!H$50*1E-24*H106)*W106+0.71*(Données!H$49*1E-24*H106)*S106</f>
        <v>-2.157201067131624E-8</v>
      </c>
      <c r="K106" s="42">
        <f t="shared" si="39"/>
        <v>2793.9182346551993</v>
      </c>
      <c r="L106" s="23">
        <f>-(Données!I$45*1E-24*H106+Données!F$45)*K106+(I106*Données!H$44*1E-24*H106)+(Données!H$51*1E-24*H106)*Y106</f>
        <v>-2.5230864761979297E-6</v>
      </c>
      <c r="M106" s="40">
        <f t="shared" si="40"/>
        <v>1409.2233412481921</v>
      </c>
      <c r="N106" s="21">
        <f>-(Données!I$46*1E-24*H106+Données!F$46)*M106+Données!H$45*1E-24*H106*K106</f>
        <v>1.8545941818041222E-7</v>
      </c>
      <c r="O106" s="42">
        <f t="shared" si="41"/>
        <v>187.91622405991197</v>
      </c>
      <c r="P106" s="23">
        <f>-(Données!I$47*1E-24*H106+Données!F$47)*O106+(Données!H$46*1E-24*H106)*M106</f>
        <v>2.6590893728546364E-8</v>
      </c>
      <c r="Q106" s="40">
        <f t="shared" si="42"/>
        <v>107.26454399566578</v>
      </c>
      <c r="R106" s="43">
        <f>-(Données!I$48*1E-24*H106+Données!F$48)*Q106+Données!H$47*1E-24*H106*O106+(Données!I$49*1E-24*H106*S106)*0.85*0.16</f>
        <v>5.3723658621021643E-8</v>
      </c>
      <c r="S106" s="42">
        <f t="shared" si="43"/>
        <v>47.764490696820864</v>
      </c>
      <c r="T106" s="22">
        <f>-(Données!I$49*1E-24*H106+Données!F$49)*S106+Données!F$47*O106</f>
        <v>-1.1768859225673502E-8</v>
      </c>
      <c r="U106" s="28">
        <f t="shared" si="44"/>
        <v>4586.2719339342948</v>
      </c>
      <c r="V106" s="19"/>
      <c r="W106" s="40">
        <f t="shared" si="45"/>
        <v>18.546072102782947</v>
      </c>
      <c r="X106" s="21">
        <f>-(Données!I$50*1E-24*H106+Données!F$50)*W106+Données!F$45*K106</f>
        <v>-1.3398485014721444E-7</v>
      </c>
      <c r="Y106" s="42">
        <f t="shared" si="46"/>
        <v>20326.955298864948</v>
      </c>
      <c r="Z106" s="23">
        <f>-(Données!I$51*1E-24*H106+Données!F$51)*Y106+Données!F$48*Q106</f>
        <v>-1.9940402110149057E-5</v>
      </c>
      <c r="AA106" s="15">
        <f t="shared" si="47"/>
        <v>20345.50137096773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40.128408034461266</v>
      </c>
      <c r="J107" s="21">
        <f>-(Données!I$44*1E-24*H107+Données!F$44)*I107+(Données!H$50*1E-24*H107)*W107+0.71*(Données!H$49*1E-24*H107)*S107</f>
        <v>-2.1932241282645962E-8</v>
      </c>
      <c r="K107" s="42">
        <f t="shared" si="39"/>
        <v>2787.287563395751</v>
      </c>
      <c r="L107" s="23">
        <f>-(Données!I$45*1E-24*H107+Données!F$45)*K107+(I107*Données!H$44*1E-24*H107)+(Données!H$51*1E-24*H107)*Y107</f>
        <v>-2.5204762552963419E-6</v>
      </c>
      <c r="M107" s="40">
        <f t="shared" si="40"/>
        <v>1409.7107285991704</v>
      </c>
      <c r="N107" s="21">
        <f>-(Données!I$46*1E-24*H107+Données!F$46)*M107+Données!H$45*1E-24*H107*K107</f>
        <v>1.7459851224644645E-7</v>
      </c>
      <c r="O107" s="42">
        <f t="shared" si="41"/>
        <v>187.9861049286306</v>
      </c>
      <c r="P107" s="23">
        <f>-(Données!I$47*1E-24*H107+Données!F$47)*O107+(Données!H$46*1E-24*H107)*M107</f>
        <v>2.6548459767528957E-8</v>
      </c>
      <c r="Q107" s="40">
        <f t="shared" si="42"/>
        <v>107.40572977052182</v>
      </c>
      <c r="R107" s="43">
        <f>-(Données!I$48*1E-24*H107+Données!F$48)*Q107+Données!H$47*1E-24*H107*O107+(Données!I$49*1E-24*H107*S107)*0.85*0.16</f>
        <v>5.3465520293770101E-8</v>
      </c>
      <c r="S107" s="42">
        <f t="shared" si="43"/>
        <v>47.733562134775795</v>
      </c>
      <c r="T107" s="22">
        <f>-(Données!I$49*1E-24*H107+Données!F$49)*S107+Données!F$47*O107</f>
        <v>-1.1467317504413935E-8</v>
      </c>
      <c r="U107" s="28">
        <f t="shared" si="44"/>
        <v>4580.2520968633116</v>
      </c>
      <c r="V107" s="19"/>
      <c r="W107" s="40">
        <f t="shared" si="45"/>
        <v>18.193959916596068</v>
      </c>
      <c r="X107" s="21">
        <f>-(Données!I$50*1E-24*H107+Données!F$50)*W107+Données!F$45*K107</f>
        <v>-1.3139872654129933E-7</v>
      </c>
      <c r="Y107" s="42">
        <f t="shared" si="46"/>
        <v>20274.551922119477</v>
      </c>
      <c r="Z107" s="23">
        <f>-(Données!I$51*1E-24*H107+Données!F$51)*Y107+Données!F$48*Q107</f>
        <v>-1.9888995252282717E-5</v>
      </c>
      <c r="AA107" s="15">
        <f t="shared" si="47"/>
        <v>20292.745882036073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40.070770104370474</v>
      </c>
      <c r="J108" s="21">
        <f>-(Données!I$44*1E-24*H108+Données!F$44)*I108+(Données!H$50*1E-24*H108)*W108+0.71*(Données!H$49*1E-24*H108)*S108</f>
        <v>-2.2273063454331103E-8</v>
      </c>
      <c r="K108" s="42">
        <f t="shared" si="39"/>
        <v>2780.6637517968325</v>
      </c>
      <c r="L108" s="23">
        <f>-(Données!I$45*1E-24*H108+Données!F$45)*K108+(I108*Données!H$44*1E-24*H108)+(Données!H$51*1E-24*H108)*Y108</f>
        <v>-2.5178034953022954E-6</v>
      </c>
      <c r="M108" s="40">
        <f t="shared" si="40"/>
        <v>1410.169573489354</v>
      </c>
      <c r="N108" s="21">
        <f>-(Données!I$46*1E-24*H108+Données!F$46)*M108+Données!H$45*1E-24*H108*K108</f>
        <v>1.6382509306374632E-7</v>
      </c>
      <c r="O108" s="42">
        <f t="shared" si="41"/>
        <v>188.05587428089967</v>
      </c>
      <c r="P108" s="23">
        <f>-(Données!I$47*1E-24*H108+Données!F$47)*O108+(Données!H$46*1E-24*H108)*M108</f>
        <v>2.646647115856807E-8</v>
      </c>
      <c r="Q108" s="40">
        <f t="shared" si="42"/>
        <v>107.54623715785384</v>
      </c>
      <c r="R108" s="43">
        <f>-(Données!I$48*1E-24*H108+Données!F$48)*Q108+Données!H$47*1E-24*H108*O108+(Données!I$49*1E-24*H108*S108)*0.85*0.16</f>
        <v>5.3209483100410868E-8</v>
      </c>
      <c r="S108" s="42">
        <f t="shared" si="43"/>
        <v>47.703426024374195</v>
      </c>
      <c r="T108" s="22">
        <f>-(Données!I$49*1E-24*H108+Données!F$49)*S108+Données!F$47*O108</f>
        <v>-1.1170925757162415E-8</v>
      </c>
      <c r="U108" s="28">
        <f t="shared" si="44"/>
        <v>4574.2096328536854</v>
      </c>
      <c r="V108" s="19"/>
      <c r="W108" s="40">
        <f t="shared" si="45"/>
        <v>17.848644063245533</v>
      </c>
      <c r="X108" s="21">
        <f>-(Données!I$50*1E-24*H108+Données!F$50)*W108+Données!F$45*K108</f>
        <v>-1.2886262971020709E-7</v>
      </c>
      <c r="Y108" s="42">
        <f t="shared" si="46"/>
        <v>20222.283642596478</v>
      </c>
      <c r="Z108" s="23">
        <f>-(Données!I$51*1E-24*H108+Données!F$51)*Y108+Données!F$48*Q108</f>
        <v>-1.9837720922606558E-5</v>
      </c>
      <c r="AA108" s="15">
        <f t="shared" si="47"/>
        <v>20240.132286659722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40.012236493612491</v>
      </c>
      <c r="J109" s="21">
        <f>-(Données!I$44*1E-24*H109+Données!F$44)*I109+(Données!H$50*1E-24*H109)*W109+0.71*(Données!H$49*1E-24*H109)*S109</f>
        <v>-2.2595033660597672E-8</v>
      </c>
      <c r="K109" s="42">
        <f t="shared" si="39"/>
        <v>2774.046964211178</v>
      </c>
      <c r="L109" s="23">
        <f>-(Données!I$45*1E-24*H109+Données!F$45)*K109+(I109*Données!H$44*1E-24*H109)+(Données!H$51*1E-24*H109)*Y109</f>
        <v>-2.5150695440110787E-6</v>
      </c>
      <c r="M109" s="40">
        <f t="shared" si="40"/>
        <v>1410.6001058339255</v>
      </c>
      <c r="N109" s="21">
        <f>-(Données!I$46*1E-24*H109+Données!F$46)*M109+Données!H$45*1E-24*H109*K109</f>
        <v>1.5313877172423138E-7</v>
      </c>
      <c r="O109" s="42">
        <f t="shared" si="41"/>
        <v>188.12542816710439</v>
      </c>
      <c r="P109" s="23">
        <f>-(Données!I$47*1E-24*H109+Données!F$47)*O109+(Données!H$46*1E-24*H109)*M109</f>
        <v>2.6346353763538342E-8</v>
      </c>
      <c r="Q109" s="40">
        <f t="shared" si="42"/>
        <v>107.68607167944172</v>
      </c>
      <c r="R109" s="43">
        <f>-(Données!I$48*1E-24*H109+Données!F$48)*Q109+Données!H$47*1E-24*H109*O109+(Données!I$49*1E-24*H109*S109)*0.85*0.16</f>
        <v>5.2955376599303856E-8</v>
      </c>
      <c r="S109" s="42">
        <f t="shared" si="43"/>
        <v>47.674068831484369</v>
      </c>
      <c r="T109" s="22">
        <f>-(Données!I$49*1E-24*H109+Données!F$49)*S109+Données!F$47*O109</f>
        <v>-1.0879758445772818E-8</v>
      </c>
      <c r="U109" s="28">
        <f t="shared" si="44"/>
        <v>4568.1448752167462</v>
      </c>
      <c r="V109" s="19"/>
      <c r="W109" s="40">
        <f t="shared" si="45"/>
        <v>17.509993072367109</v>
      </c>
      <c r="X109" s="21">
        <f>-(Données!I$50*1E-24*H109+Données!F$50)*W109+Données!F$45*K109</f>
        <v>-1.263755916497344E-7</v>
      </c>
      <c r="Y109" s="42">
        <f t="shared" si="46"/>
        <v>20170.150112011866</v>
      </c>
      <c r="Z109" s="23">
        <f>-(Données!I$51*1E-24*H109+Données!F$51)*Y109+Données!F$48*Q109</f>
        <v>-1.9786578779459299E-5</v>
      </c>
      <c r="AA109" s="15">
        <f t="shared" si="47"/>
        <v>20187.660105084233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39.952856745152438</v>
      </c>
      <c r="J110" s="21">
        <f>-(Données!I$44*1E-24*H110+Données!F$44)*I110+(Données!H$50*1E-24*H110)*W110+0.71*(Données!H$49*1E-24*H110)*S110</f>
        <v>-2.2898696594031758E-8</v>
      </c>
      <c r="K110" s="42">
        <f t="shared" si="39"/>
        <v>2767.4373614495166</v>
      </c>
      <c r="L110" s="23">
        <f>-(Données!I$45*1E-24*H110+Données!F$45)*K110+(I110*Données!H$44*1E-24*H110)+(Données!H$51*1E-24*H110)*Y110</f>
        <v>-2.512275726196841E-6</v>
      </c>
      <c r="M110" s="40">
        <f t="shared" si="40"/>
        <v>1411.0025545260166</v>
      </c>
      <c r="N110" s="21">
        <f>-(Données!I$46*1E-24*H110+Données!F$46)*M110+Données!H$45*1E-24*H110*K110</f>
        <v>1.4253915700562723E-7</v>
      </c>
      <c r="O110" s="42">
        <f t="shared" si="41"/>
        <v>188.19466638479497</v>
      </c>
      <c r="P110" s="23">
        <f>-(Données!I$47*1E-24*H110+Données!F$47)*O110+(Données!H$46*1E-24*H110)*M110</f>
        <v>2.6189492414007955E-8</v>
      </c>
      <c r="Q110" s="40">
        <f t="shared" si="42"/>
        <v>107.82523840914469</v>
      </c>
      <c r="R110" s="43">
        <f>-(Données!I$48*1E-24*H110+Données!F$48)*Q110+Données!H$47*1E-24*H110*O110+(Données!I$49*1E-24*H110*S110)*0.85*0.16</f>
        <v>5.2703036495412852E-8</v>
      </c>
      <c r="S110" s="42">
        <f t="shared" si="43"/>
        <v>47.645476826288878</v>
      </c>
      <c r="T110" s="22">
        <f>-(Données!I$49*1E-24*H110+Données!F$49)*S110+Données!F$47*O110</f>
        <v>-1.0593883053171853E-8</v>
      </c>
      <c r="U110" s="28">
        <f t="shared" si="44"/>
        <v>4562.0581543409144</v>
      </c>
      <c r="V110" s="19"/>
      <c r="W110" s="40">
        <f t="shared" si="45"/>
        <v>17.177878017511606</v>
      </c>
      <c r="X110" s="21">
        <f>-(Données!I$50*1E-24*H110+Données!F$50)*W110+Données!F$45*K110</f>
        <v>-1.2393666308662016E-7</v>
      </c>
      <c r="Y110" s="42">
        <f t="shared" si="46"/>
        <v>20118.150982979449</v>
      </c>
      <c r="Z110" s="23">
        <f>-(Données!I$51*1E-24*H110+Données!F$51)*Y110+Données!F$48*Q110</f>
        <v>-1.9735568482060518E-5</v>
      </c>
      <c r="AA110" s="15">
        <f t="shared" si="47"/>
        <v>20135.32886099696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39.892678970503326</v>
      </c>
      <c r="J111" s="21">
        <f>-(Données!I$44*1E-24*H111+Données!F$44)*I111+(Données!H$50*1E-24*H111)*W111+0.71*(Données!H$49*1E-24*H111)*S111</f>
        <v>-2.3184585354248801E-8</v>
      </c>
      <c r="K111" s="42">
        <f t="shared" si="39"/>
        <v>2760.8351008410714</v>
      </c>
      <c r="L111" s="23">
        <f>-(Données!I$45*1E-24*H111+Données!F$45)*K111+(I111*Données!H$44*1E-24*H111)+(Données!H$51*1E-24*H111)*Y111</f>
        <v>-2.5094233439857038E-6</v>
      </c>
      <c r="M111" s="40">
        <f t="shared" si="40"/>
        <v>1411.3771474306275</v>
      </c>
      <c r="N111" s="21">
        <f>-(Données!I$46*1E-24*H111+Données!F$46)*M111+Données!H$45*1E-24*H111*K111</f>
        <v>1.3202585547500257E-7</v>
      </c>
      <c r="O111" s="42">
        <f t="shared" si="41"/>
        <v>188.26349237085898</v>
      </c>
      <c r="P111" s="23">
        <f>-(Données!I$47*1E-24*H111+Données!F$47)*O111+(Données!H$46*1E-24*H111)*M111</f>
        <v>2.5997232041270793E-8</v>
      </c>
      <c r="Q111" s="40">
        <f t="shared" si="42"/>
        <v>107.96374198905464</v>
      </c>
      <c r="R111" s="43">
        <f>-(Données!I$48*1E-24*H111+Données!F$48)*Q111+Données!H$47*1E-24*H111*O111+(Données!I$49*1E-24*H111*S111)*0.85*0.16</f>
        <v>5.2452304466572313E-8</v>
      </c>
      <c r="S111" s="42">
        <f t="shared" si="43"/>
        <v>47.617636101625145</v>
      </c>
      <c r="T111" s="22">
        <f>-(Données!I$49*1E-24*H111+Données!F$49)*S111+Données!F$47*O111</f>
        <v>-1.0313360364035547E-8</v>
      </c>
      <c r="U111" s="28">
        <f t="shared" si="44"/>
        <v>4555.9497977037418</v>
      </c>
      <c r="V111" s="19"/>
      <c r="W111" s="40">
        <f t="shared" si="45"/>
        <v>16.852172466919967</v>
      </c>
      <c r="X111" s="21">
        <f>-(Données!I$50*1E-24*H111+Données!F$50)*W111+Données!F$45*K111</f>
        <v>-1.2154491311610823E-7</v>
      </c>
      <c r="Y111" s="42">
        <f t="shared" si="46"/>
        <v>20066.285909008595</v>
      </c>
      <c r="Z111" s="23">
        <f>-(Données!I$51*1E-24*H111+Données!F$51)*Y111+Données!F$48*Q111</f>
        <v>-1.9684689690508338E-5</v>
      </c>
      <c r="AA111" s="15">
        <f t="shared" si="47"/>
        <v>20083.138081475514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39.831749880192362</v>
      </c>
      <c r="J112" s="21">
        <f>-(Données!I$44*1E-24*H112+Données!F$44)*I112+(Données!H$50*1E-24*H112)*W112+0.71*(Données!H$49*1E-24*H112)*S112</f>
        <v>-2.3453221634941085E-8</v>
      </c>
      <c r="K112" s="42">
        <f t="shared" si="39"/>
        <v>2754.2403362930768</v>
      </c>
      <c r="L112" s="23">
        <f>-(Données!I$45*1E-24*H112+Données!F$45)*K112+(I112*Données!H$44*1E-24*H112)+(Données!H$51*1E-24*H112)*Y112</f>
        <v>-2.5065136772228273E-6</v>
      </c>
      <c r="M112" s="40">
        <f t="shared" si="40"/>
        <v>1411.7241113788157</v>
      </c>
      <c r="N112" s="21">
        <f>-(Données!I$46*1E-24*H112+Données!F$46)*M112+Données!H$45*1E-24*H112*K112</f>
        <v>1.2159847159016501E-7</v>
      </c>
      <c r="O112" s="42">
        <f t="shared" si="41"/>
        <v>188.33181309666344</v>
      </c>
      <c r="P112" s="23">
        <f>-(Données!I$47*1E-24*H112+Données!F$47)*O112+(Données!H$46*1E-24*H112)*M112</f>
        <v>2.577087877540049E-8</v>
      </c>
      <c r="Q112" s="40">
        <f t="shared" si="42"/>
        <v>108.1015866451928</v>
      </c>
      <c r="R112" s="43">
        <f>-(Données!I$48*1E-24*H112+Données!F$48)*Q112+Données!H$47*1E-24*H112*O112+(Données!I$49*1E-24*H112*S112)*0.85*0.16</f>
        <v>5.2203027994369875E-8</v>
      </c>
      <c r="S112" s="42">
        <f t="shared" si="43"/>
        <v>47.59053259058846</v>
      </c>
      <c r="T112" s="22">
        <f>-(Données!I$49*1E-24*H112+Données!F$49)*S112+Données!F$47*O112</f>
        <v>-1.0038244736275328E-8</v>
      </c>
      <c r="U112" s="28">
        <f t="shared" si="44"/>
        <v>4549.8201298845297</v>
      </c>
      <c r="V112" s="19"/>
      <c r="W112" s="40">
        <f t="shared" si="45"/>
        <v>16.532752435250835</v>
      </c>
      <c r="X112" s="21">
        <f>-(Données!I$50*1E-24*H112+Données!F$50)*W112+Données!F$45*K112</f>
        <v>-1.1919942884652258E-7</v>
      </c>
      <c r="Y112" s="42">
        <f t="shared" si="46"/>
        <v>20014.554544501938</v>
      </c>
      <c r="Z112" s="23">
        <f>-(Données!I$51*1E-24*H112+Données!F$51)*Y112+Données!F$48*Q112</f>
        <v>-1.9633942065777184E-5</v>
      </c>
      <c r="AA112" s="15">
        <f t="shared" si="47"/>
        <v>20031.087296937189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39.770114813735738</v>
      </c>
      <c r="J113" s="21">
        <f>-(Données!I$44*1E-24*H113+Données!F$44)*I113+(Données!H$50*1E-24*H113)*W113+0.71*(Données!H$49*1E-24*H113)*S113</f>
        <v>-2.3705115909268117E-8</v>
      </c>
      <c r="K113" s="42">
        <f t="shared" si="39"/>
        <v>2747.653218349335</v>
      </c>
      <c r="L113" s="23">
        <f>-(Données!I$45*1E-24*H113+Données!F$45)*K113+(I113*Données!H$44*1E-24*H113)+(Données!H$51*1E-24*H113)*Y113</f>
        <v>-2.5035479838335854E-6</v>
      </c>
      <c r="M113" s="40">
        <f t="shared" si="40"/>
        <v>1412.0436721621547</v>
      </c>
      <c r="N113" s="21">
        <f>-(Données!I$46*1E-24*H113+Données!F$46)*M113+Données!H$45*1E-24*H113*K113</f>
        <v>1.1125660779893919E-7</v>
      </c>
      <c r="O113" s="42">
        <f t="shared" si="41"/>
        <v>188.3995389660852</v>
      </c>
      <c r="P113" s="23">
        <f>-(Données!I$47*1E-24*H113+Données!F$47)*O113+(Données!H$46*1E-24*H113)*M113</f>
        <v>2.5511701014184835E-8</v>
      </c>
      <c r="Q113" s="40">
        <f t="shared" si="42"/>
        <v>108.238776202762</v>
      </c>
      <c r="R113" s="43">
        <f>-(Données!I$48*1E-24*H113+Données!F$48)*Q113+Données!H$47*1E-24*H113*O113+(Données!I$49*1E-24*H113*S113)*0.85*0.16</f>
        <v>5.1955060199520904E-8</v>
      </c>
      <c r="S113" s="42">
        <f t="shared" si="43"/>
        <v>47.564152083421526</v>
      </c>
      <c r="T113" s="22">
        <f>-(Données!I$49*1E-24*H113+Données!F$49)*S113+Données!F$47*O113</f>
        <v>-9.7685843636099752E-9</v>
      </c>
      <c r="U113" s="28">
        <f t="shared" si="44"/>
        <v>4543.6694725774942</v>
      </c>
      <c r="V113" s="19"/>
      <c r="W113" s="40">
        <f t="shared" si="45"/>
        <v>16.219496336242173</v>
      </c>
      <c r="X113" s="21">
        <f>-(Données!I$50*1E-24*H113+Données!F$50)*W113+Données!F$45*K113</f>
        <v>-1.1689931505071983E-7</v>
      </c>
      <c r="Y113" s="42">
        <f t="shared" si="46"/>
        <v>19962.956544753077</v>
      </c>
      <c r="Z113" s="23">
        <f>-(Données!I$51*1E-24*H113+Données!F$51)*Y113+Données!F$48*Q113</f>
        <v>-1.9583325269715529E-5</v>
      </c>
      <c r="AA113" s="15">
        <f t="shared" si="47"/>
        <v>19979.176041089318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39.70781776912618</v>
      </c>
      <c r="J114" s="21">
        <f>-(Données!I$44*1E-24*H114+Données!F$44)*I114+(Données!H$50*1E-24*H114)*W114+0.71*(Données!H$49*1E-24*H114)*S114</f>
        <v>-2.3940767613555347E-8</v>
      </c>
      <c r="K114" s="42">
        <f t="shared" si="39"/>
        <v>2741.0738942478201</v>
      </c>
      <c r="L114" s="23">
        <f>-(Données!I$45*1E-24*H114+Données!F$45)*K114+(I114*Données!H$44*1E-24*H114)+(Données!H$51*1E-24*H114)*Y114</f>
        <v>-2.5005275001788724E-6</v>
      </c>
      <c r="M114" s="40">
        <f t="shared" si="40"/>
        <v>1412.3360545274504</v>
      </c>
      <c r="N114" s="21">
        <f>-(Données!I$46*1E-24*H114+Données!F$46)*M114+Données!H$45*1E-24*H114*K114</f>
        <v>1.0099986463637405E-7</v>
      </c>
      <c r="O114" s="42">
        <f t="shared" si="41"/>
        <v>188.46658371635047</v>
      </c>
      <c r="P114" s="23">
        <f>-(Données!I$47*1E-24*H114+Données!F$47)*O114+(Données!H$46*1E-24*H114)*M114</f>
        <v>2.522093046277147E-8</v>
      </c>
      <c r="Q114" s="40">
        <f t="shared" si="42"/>
        <v>108.37531410096634</v>
      </c>
      <c r="R114" s="43">
        <f>-(Données!I$48*1E-24*H114+Données!F$48)*Q114+Données!H$47*1E-24*H114*O114+(Données!I$49*1E-24*H114*S114)*0.85*0.16</f>
        <v>5.1708259681617486E-8</v>
      </c>
      <c r="S114" s="42">
        <f t="shared" si="43"/>
        <v>47.538480243713956</v>
      </c>
      <c r="T114" s="22">
        <f>-(Données!I$49*1E-24*H114+Données!F$49)*S114+Données!F$47*O114</f>
        <v>-9.5044215294914875E-9</v>
      </c>
      <c r="U114" s="28">
        <f t="shared" si="44"/>
        <v>4537.4981446054271</v>
      </c>
      <c r="V114" s="19"/>
      <c r="W114" s="40">
        <f t="shared" si="45"/>
        <v>15.912284936288881</v>
      </c>
      <c r="X114" s="21">
        <f>-(Données!I$50*1E-24*H114+Données!F$50)*W114+Données!F$45*K114</f>
        <v>-1.1464369382428565E-7</v>
      </c>
      <c r="Y114" s="42">
        <f t="shared" si="46"/>
        <v>19911.491565944263</v>
      </c>
      <c r="Z114" s="23">
        <f>-(Données!I$51*1E-24*H114+Données!F$51)*Y114+Données!F$48*Q114</f>
        <v>-1.9532838965043622E-5</v>
      </c>
      <c r="AA114" s="15">
        <f t="shared" si="47"/>
        <v>19927.403850880553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39.644901431837759</v>
      </c>
      <c r="J115" s="21">
        <f>-(Données!I$44*1E-24*H115+Données!F$44)*I115+(Données!H$50*1E-24*H115)*W115+0.71*(Données!H$49*1E-24*H115)*S115</f>
        <v>-2.4160665329270217E-8</v>
      </c>
      <c r="K115" s="42">
        <f t="shared" si="39"/>
        <v>2734.50250797735</v>
      </c>
      <c r="L115" s="23">
        <f>-(Données!I$45*1E-24*H115+Données!F$45)*K115+(I115*Données!H$44*1E-24*H115)+(Données!H$51*1E-24*H115)*Y115</f>
        <v>-2.4974534414047312E-6</v>
      </c>
      <c r="M115" s="40">
        <f t="shared" si="40"/>
        <v>1412.6014821717149</v>
      </c>
      <c r="N115" s="21">
        <f>-(Données!I$46*1E-24*H115+Données!F$46)*M115+Données!H$45*1E-24*H115*K115</f>
        <v>9.0827840819912037E-8</v>
      </c>
      <c r="O115" s="42">
        <f t="shared" si="41"/>
        <v>188.53286432160664</v>
      </c>
      <c r="P115" s="23">
        <f>-(Données!I$47*1E-24*H115+Données!F$47)*O115+(Données!H$46*1E-24*H115)*M115</f>
        <v>2.4899763144813469E-8</v>
      </c>
      <c r="Q115" s="40">
        <f t="shared" si="42"/>
        <v>108.51120340740962</v>
      </c>
      <c r="R115" s="43">
        <f>-(Données!I$48*1E-24*H115+Données!F$48)*Q115+Données!H$47*1E-24*H115*O115+(Données!I$49*1E-24*H115*S115)*0.85*0.16</f>
        <v>5.1462490363135616E-8</v>
      </c>
      <c r="S115" s="42">
        <f t="shared" si="43"/>
        <v>47.51350262393445</v>
      </c>
      <c r="T115" s="22">
        <f>-(Données!I$49*1E-24*H115+Données!F$49)*S115+Données!F$47*O115</f>
        <v>-9.2457928526464352E-9</v>
      </c>
      <c r="U115" s="28">
        <f t="shared" si="44"/>
        <v>4531.3064619338529</v>
      </c>
      <c r="V115" s="19"/>
      <c r="W115" s="40">
        <f t="shared" si="45"/>
        <v>15.611001308918658</v>
      </c>
      <c r="X115" s="21">
        <f>-(Données!I$50*1E-24*H115+Données!F$50)*W115+Données!F$45*K115</f>
        <v>-1.1243170425034527E-7</v>
      </c>
      <c r="Y115" s="42">
        <f t="shared" si="46"/>
        <v>19860.159265144128</v>
      </c>
      <c r="Z115" s="23">
        <f>-(Données!I$51*1E-24*H115+Données!F$51)*Y115+Données!F$48*Q115</f>
        <v>-1.9482482815351258E-5</v>
      </c>
      <c r="AA115" s="15">
        <f t="shared" si="47"/>
        <v>19875.770266453048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39.581407203352434</v>
      </c>
      <c r="J116" s="21">
        <f>-(Données!I$44*1E-24*H116+Données!F$44)*I116+(Données!H$50*1E-24*H116)*W116+0.71*(Données!H$49*1E-24*H116)*S116</f>
        <v>-2.4365286963247719E-8</v>
      </c>
      <c r="K116" s="42">
        <f t="shared" si="39"/>
        <v>2727.9392003333382</v>
      </c>
      <c r="L116" s="23">
        <f>-(Données!I$45*1E-24*H116+Données!F$45)*K116+(I116*Données!H$44*1E-24*H116)+(Données!H$51*1E-24*H116)*Y116</f>
        <v>-2.4943270017862956E-6</v>
      </c>
      <c r="M116" s="40">
        <f t="shared" si="40"/>
        <v>1412.8401777373897</v>
      </c>
      <c r="N116" s="21">
        <f>-(Données!I$46*1E-24*H116+Données!F$46)*M116+Données!H$45*1E-24*H116*K116</f>
        <v>8.0740133342556773E-8</v>
      </c>
      <c r="O116" s="42">
        <f t="shared" si="41"/>
        <v>188.59830089915121</v>
      </c>
      <c r="P116" s="23">
        <f>-(Données!I$47*1E-24*H116+Données!F$47)*O116+(Données!H$46*1E-24*H116)*M116</f>
        <v>2.4549360385923298E-8</v>
      </c>
      <c r="Q116" s="40">
        <f t="shared" si="42"/>
        <v>108.64644683208394</v>
      </c>
      <c r="R116" s="43">
        <f>-(Données!I$48*1E-24*H116+Données!F$48)*Q116+Données!H$47*1E-24*H116*O116+(Données!I$49*1E-24*H116*S116)*0.85*0.16</f>
        <v>5.1217621337587295E-8</v>
      </c>
      <c r="S116" s="42">
        <f t="shared" si="43"/>
        <v>47.489204680317698</v>
      </c>
      <c r="T116" s="22">
        <f>-(Données!I$49*1E-24*H116+Données!F$49)*S116+Données!F$47*O116</f>
        <v>-8.9927295244857419E-9</v>
      </c>
      <c r="U116" s="28">
        <f t="shared" si="44"/>
        <v>4525.0947376856338</v>
      </c>
      <c r="V116" s="19"/>
      <c r="W116" s="40">
        <f t="shared" si="45"/>
        <v>15.315530790148751</v>
      </c>
      <c r="X116" s="21">
        <f>-(Données!I$50*1E-24*H116+Données!F$50)*W116+Données!F$45*K116</f>
        <v>-1.1026250207085909E-7</v>
      </c>
      <c r="Y116" s="42">
        <f t="shared" si="46"/>
        <v>19808.959300305385</v>
      </c>
      <c r="Z116" s="23">
        <f>-(Données!I$51*1E-24*H116+Données!F$51)*Y116+Données!F$48*Q116</f>
        <v>-1.9432256485095525E-5</v>
      </c>
      <c r="AA116" s="15">
        <f t="shared" si="47"/>
        <v>19824.274831095532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39.517375229213016</v>
      </c>
      <c r="J117" s="21">
        <f>-(Données!I$44*1E-24*H117+Données!F$44)*I117+(Données!H$50*1E-24*H117)*W117+0.71*(Données!H$49*1E-24*H117)*S117</f>
        <v>-2.4555099926138558E-8</v>
      </c>
      <c r="K117" s="42">
        <f t="shared" si="39"/>
        <v>2721.3841089726438</v>
      </c>
      <c r="L117" s="23">
        <f>-(Données!I$45*1E-24*H117+Données!F$45)*K117+(I117*Données!H$44*1E-24*H117)+(Données!H$51*1E-24*H117)*Y117</f>
        <v>-2.491149355066272E-6</v>
      </c>
      <c r="M117" s="40">
        <f t="shared" si="40"/>
        <v>1413.052362807814</v>
      </c>
      <c r="N117" s="21">
        <f>-(Données!I$46*1E-24*H117+Données!F$46)*M117+Données!H$45*1E-24*H117*K117</f>
        <v>7.0736337564069743E-8</v>
      </c>
      <c r="O117" s="42">
        <f t="shared" si="41"/>
        <v>188.66281661824542</v>
      </c>
      <c r="P117" s="23">
        <f>-(Données!I$47*1E-24*H117+Données!F$47)*O117+(Données!H$46*1E-24*H117)*M117</f>
        <v>2.4170849770169095E-8</v>
      </c>
      <c r="Q117" s="40">
        <f t="shared" si="42"/>
        <v>108.78104674095911</v>
      </c>
      <c r="R117" s="43">
        <f>-(Données!I$48*1E-24*H117+Données!F$48)*Q117+Données!H$47*1E-24*H117*O117+(Données!I$49*1E-24*H117*S117)*0.85*0.16</f>
        <v>5.0973526721708644E-8</v>
      </c>
      <c r="S117" s="42">
        <f t="shared" si="43"/>
        <v>47.465571787127352</v>
      </c>
      <c r="T117" s="22">
        <f>-(Données!I$49*1E-24*H117+Données!F$49)*S117+Données!F$47*O117</f>
        <v>-8.7452575386289087E-9</v>
      </c>
      <c r="U117" s="28">
        <f t="shared" si="44"/>
        <v>4518.8632821560022</v>
      </c>
      <c r="V117" s="19"/>
      <c r="W117" s="40">
        <f t="shared" si="45"/>
        <v>15.025760934706533</v>
      </c>
      <c r="X117" s="21">
        <f>-(Données!I$50*1E-24*H117+Données!F$50)*W117+Données!F$45*K117</f>
        <v>-1.0813525936427893E-7</v>
      </c>
      <c r="Y117" s="42">
        <f t="shared" si="46"/>
        <v>19757.891330262555</v>
      </c>
      <c r="Z117" s="23">
        <f>-(Données!I$51*1E-24*H117+Données!F$51)*Y117+Données!F$48*Q117</f>
        <v>-1.9382159639598566E-5</v>
      </c>
      <c r="AA117" s="15">
        <f t="shared" si="47"/>
        <v>19772.917091197261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39.452844426607122</v>
      </c>
      <c r="J118" s="21">
        <f>-(Données!I$44*1E-24*H118+Données!F$44)*I118+(Données!H$50*1E-24*H118)*W118+0.71*(Données!H$49*1E-24*H118)*S118</f>
        <v>-2.4730561309056125E-8</v>
      </c>
      <c r="K118" s="42">
        <f t="shared" si="39"/>
        <v>2714.8373684675298</v>
      </c>
      <c r="L118" s="23">
        <f>-(Données!I$45*1E-24*H118+Données!F$45)*K118+(I118*Données!H$44*1E-24*H118)+(Données!H$51*1E-24*H118)*Y118</f>
        <v>-2.4879216547878977E-6</v>
      </c>
      <c r="M118" s="40">
        <f t="shared" si="40"/>
        <v>1413.2382579029324</v>
      </c>
      <c r="N118" s="21">
        <f>-(Données!I$46*1E-24*H118+Données!F$46)*M118+Données!H$45*1E-24*H118*K118</f>
        <v>6.0816047300248396E-8</v>
      </c>
      <c r="O118" s="42">
        <f t="shared" si="41"/>
        <v>188.72633761144141</v>
      </c>
      <c r="P118" s="23">
        <f>-(Données!I$47*1E-24*H118+Données!F$47)*O118+(Données!H$46*1E-24*H118)*M118</f>
        <v>2.3765326070381549E-8</v>
      </c>
      <c r="Q118" s="40">
        <f t="shared" si="42"/>
        <v>108.91500516918376</v>
      </c>
      <c r="R118" s="43">
        <f>-(Données!I$48*1E-24*H118+Données!F$48)*Q118+Données!H$47*1E-24*H118*O118+(Données!I$49*1E-24*H118*S118)*0.85*0.16</f>
        <v>5.0730085511577025E-8</v>
      </c>
      <c r="S118" s="42">
        <f t="shared" si="43"/>
        <v>47.442589250315834</v>
      </c>
      <c r="T118" s="22">
        <f>-(Données!I$49*1E-24*H118+Données!F$49)*S118+Données!F$47*O118</f>
        <v>-8.5033979127818591E-9</v>
      </c>
      <c r="U118" s="28">
        <f t="shared" si="44"/>
        <v>4512.612402828011</v>
      </c>
      <c r="V118" s="19"/>
      <c r="W118" s="40">
        <f t="shared" si="45"/>
        <v>14.741581473097208</v>
      </c>
      <c r="X118" s="21">
        <f>-(Données!I$50*1E-24*H118+Données!F$50)*W118+Données!F$45*K118</f>
        <v>-1.0604916422944104E-7</v>
      </c>
      <c r="Y118" s="42">
        <f t="shared" si="46"/>
        <v>19706.95501472969</v>
      </c>
      <c r="Z118" s="23">
        <f>-(Données!I$51*1E-24*H118+Données!F$51)*Y118+Données!F$48*Q118</f>
        <v>-1.9332191945045352E-5</v>
      </c>
      <c r="AA118" s="15">
        <f t="shared" si="47"/>
        <v>19721.696596202786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39.387852511486919</v>
      </c>
      <c r="J119" s="21">
        <f>-(Données!I$44*1E-24*H119+Données!F$44)*I119+(Données!H$50*1E-24*H119)*W119+0.71*(Données!H$49*1E-24*H119)*S119</f>
        <v>-2.4892118058401082E-8</v>
      </c>
      <c r="K119" s="42">
        <f t="shared" si="39"/>
        <v>2708.2991103587474</v>
      </c>
      <c r="L119" s="23">
        <f>-(Données!I$45*1E-24*H119+Données!F$45)*K119+(I119*Données!H$44*1E-24*H119)+(Données!H$51*1E-24*H119)*Y119</f>
        <v>-2.4846450346226171E-6</v>
      </c>
      <c r="M119" s="40">
        <f t="shared" si="40"/>
        <v>1413.3980824752375</v>
      </c>
      <c r="N119" s="21">
        <f>-(Données!I$46*1E-24*H119+Données!F$46)*M119+Données!H$45*1E-24*H119*K119</f>
        <v>5.0978854910293361E-8</v>
      </c>
      <c r="O119" s="42">
        <f t="shared" si="41"/>
        <v>188.78879288835438</v>
      </c>
      <c r="P119" s="23">
        <f>-(Données!I$47*1E-24*H119+Données!F$47)*O119+(Données!H$46*1E-24*H119)*M119</f>
        <v>2.3333852152961691E-8</v>
      </c>
      <c r="Q119" s="40">
        <f t="shared" si="42"/>
        <v>109.04832383390819</v>
      </c>
      <c r="R119" s="43">
        <f>-(Données!I$48*1E-24*H119+Données!F$48)*Q119+Données!H$47*1E-24*H119*O119+(Données!I$49*1E-24*H119*S119)*0.85*0.16</f>
        <v>5.0487181442553389E-8</v>
      </c>
      <c r="S119" s="42">
        <f t="shared" si="43"/>
        <v>47.420242320601041</v>
      </c>
      <c r="T119" s="22">
        <f>-(Données!I$49*1E-24*H119+Données!F$49)*S119+Données!F$47*O119</f>
        <v>-8.267166903199805E-9</v>
      </c>
      <c r="U119" s="28">
        <f t="shared" si="44"/>
        <v>4506.3424043883351</v>
      </c>
      <c r="V119" s="19"/>
      <c r="W119" s="40">
        <f t="shared" si="45"/>
        <v>14.462884269502236</v>
      </c>
      <c r="X119" s="21">
        <f>-(Données!I$50*1E-24*H119+Données!F$50)*W119+Données!F$45*K119</f>
        <v>-1.0400342047557583E-7</v>
      </c>
      <c r="Y119" s="42">
        <f t="shared" si="46"/>
        <v>19656.150014298109</v>
      </c>
      <c r="Z119" s="23">
        <f>-(Données!I$51*1E-24*H119+Données!F$51)*Y119+Données!F$48*Q119</f>
        <v>-1.9282353068481453E-5</v>
      </c>
      <c r="AA119" s="15">
        <f t="shared" si="47"/>
        <v>19670.612898567611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39.322436025229443</v>
      </c>
      <c r="J120" s="21">
        <f>-(Données!I$44*1E-24*H120+Données!F$44)*I120+(Données!H$50*1E-24*H120)*W120+0.71*(Données!H$49*1E-24*H120)*S120</f>
        <v>-2.5040207148843463E-8</v>
      </c>
      <c r="K120" s="42">
        <f t="shared" si="39"/>
        <v>2701.7694632077591</v>
      </c>
      <c r="L120" s="23">
        <f>-(Données!I$45*1E-24*H120+Données!F$45)*K120+(I120*Données!H$44*1E-24*H120)+(Données!H$51*1E-24*H120)*Y120</f>
        <v>-2.4813206086924491E-6</v>
      </c>
      <c r="M120" s="40">
        <f t="shared" si="40"/>
        <v>1413.5320549059418</v>
      </c>
      <c r="N120" s="21">
        <f>-(Données!I$46*1E-24*H120+Données!F$46)*M120+Données!H$45*1E-24*H120*K120</f>
        <v>4.1224351382322352E-8</v>
      </c>
      <c r="O120" s="42">
        <f t="shared" si="41"/>
        <v>188.85011425181236</v>
      </c>
      <c r="P120" s="23">
        <f>-(Données!I$47*1E-24*H120+Données!F$47)*O120+(Données!H$46*1E-24*H120)*M120</f>
        <v>2.2877459857920601E-8</v>
      </c>
      <c r="Q120" s="40">
        <f t="shared" si="42"/>
        <v>109.18100414673921</v>
      </c>
      <c r="R120" s="43">
        <f>-(Données!I$48*1E-24*H120+Données!F$48)*Q120+Données!H$47*1E-24*H120*O120+(Données!I$49*1E-24*H120*S120)*0.85*0.16</f>
        <v>5.0244702852948422E-8</v>
      </c>
      <c r="S120" s="42">
        <f t="shared" si="43"/>
        <v>47.398516205979433</v>
      </c>
      <c r="T120" s="22">
        <f>-(Données!I$49*1E-24*H120+Données!F$49)*S120+Données!F$47*O120</f>
        <v>-8.0365762119608149E-9</v>
      </c>
      <c r="U120" s="28">
        <f t="shared" si="44"/>
        <v>4500.0535887434617</v>
      </c>
      <c r="V120" s="19"/>
      <c r="W120" s="40">
        <f t="shared" si="45"/>
        <v>14.189563280492424</v>
      </c>
      <c r="X120" s="21">
        <f>-(Données!I$50*1E-24*H120+Données!F$50)*W120+Données!F$45*K120</f>
        <v>-1.0199724731831546E-7</v>
      </c>
      <c r="Y120" s="42">
        <f t="shared" si="46"/>
        <v>19605.475990434141</v>
      </c>
      <c r="Z120" s="23">
        <f>-(Données!I$51*1E-24*H120+Données!F$51)*Y120+Données!F$48*Q120</f>
        <v>-1.9232642677810836E-5</v>
      </c>
      <c r="AA120" s="15">
        <f t="shared" si="47"/>
        <v>19619.665553714633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39.25663036084228</v>
      </c>
      <c r="J121" s="21">
        <f>-(Données!I$44*1E-24*H121+Données!F$44)*I121+(Données!H$50*1E-24*H121)*W121+0.71*(Données!H$49*1E-24*H121)*S121</f>
        <v>-2.5175255754444845E-8</v>
      </c>
      <c r="K121" s="42">
        <f t="shared" si="39"/>
        <v>2695.2485526481155</v>
      </c>
      <c r="L121" s="23">
        <f>-(Données!I$45*1E-24*H121+Données!F$45)*K121+(I121*Données!H$44*1E-24*H121)+(Données!H$51*1E-24*H121)*Y121</f>
        <v>-2.477949471887245E-6</v>
      </c>
      <c r="M121" s="40">
        <f t="shared" si="40"/>
        <v>1413.6403925013744</v>
      </c>
      <c r="N121" s="21">
        <f>-(Données!I$46*1E-24*H121+Données!F$46)*M121+Données!H$45*1E-24*H121*K121</f>
        <v>3.1552126417052789E-8</v>
      </c>
      <c r="O121" s="42">
        <f t="shared" si="41"/>
        <v>188.91023621631896</v>
      </c>
      <c r="P121" s="23">
        <f>-(Données!I$47*1E-24*H121+Données!F$47)*O121+(Données!H$46*1E-24*H121)*M121</f>
        <v>2.2397150854802807E-8</v>
      </c>
      <c r="Q121" s="40">
        <f t="shared" si="42"/>
        <v>109.31304722583675</v>
      </c>
      <c r="R121" s="43">
        <f>-(Données!I$48*1E-24*H121+Données!F$48)*Q121+Données!H$47*1E-24*H121*O121+(Données!I$49*1E-24*H121*S121)*0.85*0.16</f>
        <v>5.0002542551314589E-8</v>
      </c>
      <c r="S121" s="42">
        <f t="shared" si="43"/>
        <v>47.3773960836944</v>
      </c>
      <c r="T121" s="22">
        <f>-(Données!I$49*1E-24*H121+Données!F$49)*S121+Données!F$47*O121</f>
        <v>-7.8116331872680886E-9</v>
      </c>
      <c r="U121" s="28">
        <f t="shared" si="44"/>
        <v>4493.7462550361834</v>
      </c>
      <c r="V121" s="19"/>
      <c r="W121" s="40">
        <f t="shared" si="45"/>
        <v>13.92151451453989</v>
      </c>
      <c r="X121" s="21">
        <f>-(Données!I$50*1E-24*H121+Données!F$50)*W121+Données!F$45*K121</f>
        <v>-1.0002987908158359E-7</v>
      </c>
      <c r="Y121" s="42">
        <f t="shared" si="46"/>
        <v>19554.932605476853</v>
      </c>
      <c r="Z121" s="23">
        <f>-(Données!I$51*1E-24*H121+Données!F$51)*Y121+Données!F$48*Q121</f>
        <v>-1.9183060441793612E-5</v>
      </c>
      <c r="AA121" s="15">
        <f t="shared" si="47"/>
        <v>19568.854119991393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39.190469788719597</v>
      </c>
      <c r="J122" s="21">
        <f>-(Données!I$44*1E-24*H122+Données!F$44)*I122+(Données!H$50*1E-24*H122)*W122+0.71*(Données!H$49*1E-24*H122)*S122</f>
        <v>-2.5297681417905119E-8</v>
      </c>
      <c r="K122" s="42">
        <f t="shared" si="39"/>
        <v>2688.7365014359957</v>
      </c>
      <c r="L122" s="23">
        <f>-(Données!I$45*1E-24*H122+Données!F$45)*K122+(I122*Données!H$44*1E-24*H122)+(Données!H$51*1E-24*H122)*Y122</f>
        <v>-2.4745327001767929E-6</v>
      </c>
      <c r="M122" s="40">
        <f t="shared" si="40"/>
        <v>1413.7233114895985</v>
      </c>
      <c r="N122" s="21">
        <f>-(Données!I$46*1E-24*H122+Données!F$46)*M122+Données!H$45*1E-24*H122*K122</f>
        <v>2.1961768509683627E-8</v>
      </c>
      <c r="O122" s="42">
        <f t="shared" si="41"/>
        <v>188.9690959287654</v>
      </c>
      <c r="P122" s="23">
        <f>-(Données!I$47*1E-24*H122+Données!F$47)*O122+(Données!H$46*1E-24*H122)*M122</f>
        <v>2.1893897475178225E-8</v>
      </c>
      <c r="Q122" s="40">
        <f t="shared" si="42"/>
        <v>109.44445390766161</v>
      </c>
      <c r="R122" s="43">
        <f>-(Données!I$48*1E-24*H122+Données!F$48)*Q122+Données!H$47*1E-24*H122*O122+(Données!I$49*1E-24*H122*S122)*0.85*0.16</f>
        <v>4.9760597687267689E-8</v>
      </c>
      <c r="S122" s="42">
        <f t="shared" si="43"/>
        <v>47.356867111678262</v>
      </c>
      <c r="T122" s="22">
        <f>-(Données!I$49*1E-24*H122+Données!F$49)*S122+Données!F$47*O122</f>
        <v>-7.5923410169940739E-9</v>
      </c>
      <c r="U122" s="28">
        <f t="shared" si="44"/>
        <v>4487.4206996624189</v>
      </c>
      <c r="V122" s="19"/>
      <c r="W122" s="40">
        <f t="shared" si="45"/>
        <v>13.658635992313489</v>
      </c>
      <c r="X122" s="21">
        <f>-(Données!I$50*1E-24*H122+Données!F$50)*W122+Données!F$45*K122</f>
        <v>-9.8100564905253286E-8</v>
      </c>
      <c r="Y122" s="42">
        <f t="shared" si="46"/>
        <v>19504.519522635819</v>
      </c>
      <c r="Z122" s="23">
        <f>-(Données!I$51*1E-24*H122+Données!F$51)*Y122+Données!F$48*Q122</f>
        <v>-1.9133606030043878E-5</v>
      </c>
      <c r="AA122" s="15">
        <f t="shared" si="47"/>
        <v>19518.178158628132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39.123987481953343</v>
      </c>
      <c r="J123" s="21">
        <f>-(Données!I$44*1E-24*H123+Données!F$44)*I123+(Données!H$50*1E-24*H123)*W123+0.71*(Données!H$49*1E-24*H123)*S123</f>
        <v>-2.5407892217919915E-8</v>
      </c>
      <c r="K123" s="42">
        <f t="shared" si="39"/>
        <v>2682.2334294999309</v>
      </c>
      <c r="L123" s="23">
        <f>-(Données!I$45*1E-24*H123+Données!F$45)*K123+(I123*Données!H$44*1E-24*H123)+(Données!H$51*1E-24*H123)*Y123</f>
        <v>-2.471071350917969E-6</v>
      </c>
      <c r="M123" s="40">
        <f t="shared" si="40"/>
        <v>1413.781027017242</v>
      </c>
      <c r="N123" s="21">
        <f>-(Données!I$46*1E-24*H123+Données!F$46)*M123+Données!H$45*1E-24*H123*K123</f>
        <v>1.2452865030018741E-8</v>
      </c>
      <c r="O123" s="42">
        <f t="shared" si="41"/>
        <v>189.02663309133015</v>
      </c>
      <c r="P123" s="23">
        <f>-(Données!I$47*1E-24*H123+Données!F$47)*O123+(Données!H$46*1E-24*H123)*M123</f>
        <v>2.1368643522333653E-8</v>
      </c>
      <c r="Q123" s="40">
        <f t="shared" si="42"/>
        <v>109.57522475838375</v>
      </c>
      <c r="R123" s="43">
        <f>-(Données!I$48*1E-24*H123+Données!F$48)*Q123+Données!H$47*1E-24*H123*O123+(Données!I$49*1E-24*H123*S123)*0.85*0.16</f>
        <v>4.9518769625745819E-8</v>
      </c>
      <c r="S123" s="42">
        <f t="shared" si="43"/>
        <v>47.336914439485604</v>
      </c>
      <c r="T123" s="22">
        <f>-(Données!I$49*1E-24*H123+Données!F$49)*S123+Données!F$47*O123</f>
        <v>-7.3786989156717782E-9</v>
      </c>
      <c r="U123" s="28">
        <f t="shared" si="44"/>
        <v>4481.0772162883259</v>
      </c>
      <c r="V123" s="19"/>
      <c r="W123" s="40">
        <f t="shared" si="45"/>
        <v>13.400827707742483</v>
      </c>
      <c r="X123" s="21">
        <f>-(Données!I$50*1E-24*H123+Données!F$50)*W123+Données!F$45*K123</f>
        <v>-9.6208568458461578E-8</v>
      </c>
      <c r="Y123" s="42">
        <f t="shared" si="46"/>
        <v>19454.236405988864</v>
      </c>
      <c r="Z123" s="23">
        <f>-(Données!I$51*1E-24*H123+Données!F$51)*Y123+Données!F$48*Q123</f>
        <v>-1.9084279113027476E-5</v>
      </c>
      <c r="AA123" s="15">
        <f t="shared" si="47"/>
        <v>19467.637233696605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39.057215541204648</v>
      </c>
      <c r="J124" s="21">
        <f>-(Données!I$44*1E-24*H124+Données!F$44)*I124+(Données!H$50*1E-24*H124)*W124+0.71*(Données!H$49*1E-24*H124)*S124</f>
        <v>-2.5506286934636452E-8</v>
      </c>
      <c r="K124" s="42">
        <f t="shared" si="39"/>
        <v>2675.7394539897186</v>
      </c>
      <c r="L124" s="23">
        <f>-(Données!I$45*1E-24*H124+Données!F$45)*K124+(I124*Données!H$44*1E-24*H124)+(Données!H$51*1E-24*H124)*Y124</f>
        <v>-2.4675664631569619E-6</v>
      </c>
      <c r="M124" s="40">
        <f t="shared" si="40"/>
        <v>1413.8137531465409</v>
      </c>
      <c r="N124" s="21">
        <f>-(Données!I$46*1E-24*H124+Données!F$46)*M124+Données!H$45*1E-24*H124*K124</f>
        <v>3.0250023008505085E-9</v>
      </c>
      <c r="O124" s="42">
        <f t="shared" si="41"/>
        <v>189.08278988650684</v>
      </c>
      <c r="P124" s="23">
        <f>-(Données!I$47*1E-24*H124+Données!F$47)*O124+(Données!H$46*1E-24*H124)*M124</f>
        <v>2.0822305058793186E-8</v>
      </c>
      <c r="Q124" s="40">
        <f t="shared" si="42"/>
        <v>109.70536008496022</v>
      </c>
      <c r="R124" s="43">
        <f>-(Données!I$48*1E-24*H124+Données!F$48)*Q124+Données!H$47*1E-24*H124*O124+(Données!I$49*1E-24*H124*S124)*0.85*0.16</f>
        <v>4.9276963824613901E-8</v>
      </c>
      <c r="S124" s="42">
        <f t="shared" si="43"/>
        <v>47.317523218735218</v>
      </c>
      <c r="T124" s="22">
        <f>-(Données!I$49*1E-24*H124+Données!F$49)*S124+Données!F$47*O124</f>
        <v>-7.1707023051339672E-9</v>
      </c>
      <c r="U124" s="28">
        <f t="shared" si="44"/>
        <v>4474.7160958676668</v>
      </c>
      <c r="V124" s="19"/>
      <c r="W124" s="40">
        <f t="shared" si="45"/>
        <v>13.147991589833646</v>
      </c>
      <c r="X124" s="21">
        <f>-(Données!I$50*1E-24*H124+Données!F$50)*W124+Données!F$45*K124</f>
        <v>-9.4353167658471126E-8</v>
      </c>
      <c r="Y124" s="42">
        <f t="shared" si="46"/>
        <v>19404.082920479828</v>
      </c>
      <c r="Z124" s="23">
        <f>-(Données!I$51*1E-24*H124+Données!F$51)*Y124+Données!F$48*Q124</f>
        <v>-1.9035079362059814E-5</v>
      </c>
      <c r="AA124" s="15">
        <f t="shared" si="47"/>
        <v>19417.230912069663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38.990185019140426</v>
      </c>
      <c r="J125" s="21">
        <f>-(Données!I$44*1E-24*H125+Données!F$44)*I125+(Données!H$50*1E-24*H125)*W125+0.71*(Données!H$49*1E-24*H125)*S125</f>
        <v>-2.5593255213197698E-8</v>
      </c>
      <c r="K125" s="42">
        <f t="shared" si="39"/>
        <v>2669.2546893245421</v>
      </c>
      <c r="L125" s="23">
        <f>-(Données!I$45*1E-24*H125+Données!F$45)*K125+(I125*Données!H$44*1E-24*H125)+(Données!H$51*1E-24*H125)*Y125</f>
        <v>-2.4640190579266528E-6</v>
      </c>
      <c r="M125" s="40">
        <f t="shared" si="40"/>
        <v>1413.8217028525876</v>
      </c>
      <c r="N125" s="21">
        <f>-(Données!I$46*1E-24*H125+Données!F$46)*M125+Données!H$45*1E-24*H125*K125</f>
        <v>-6.3222343253540607E-9</v>
      </c>
      <c r="O125" s="42">
        <f t="shared" si="41"/>
        <v>189.13751090420135</v>
      </c>
      <c r="P125" s="23">
        <f>-(Données!I$47*1E-24*H125+Données!F$47)*O125+(Données!H$46*1E-24*H125)*M125</f>
        <v>2.0255771172276982E-8</v>
      </c>
      <c r="Q125" s="40">
        <f t="shared" si="42"/>
        <v>109.83485994589131</v>
      </c>
      <c r="R125" s="43">
        <f>-(Données!I$48*1E-24*H125+Données!F$48)*Q125+Données!H$47*1E-24*H125*O125+(Données!I$49*1E-24*H125*S125)*0.85*0.16</f>
        <v>4.9035089715525762E-8</v>
      </c>
      <c r="S125" s="42">
        <f t="shared" si="43"/>
        <v>47.298678613077328</v>
      </c>
      <c r="T125" s="22">
        <f>-(Données!I$49*1E-24*H125+Données!F$49)*S125+Données!F$47*O125</f>
        <v>-6.9683429889937466E-9</v>
      </c>
      <c r="U125" s="28">
        <f t="shared" si="44"/>
        <v>4468.3376266594405</v>
      </c>
      <c r="V125" s="19"/>
      <c r="W125" s="40">
        <f t="shared" si="45"/>
        <v>12.900031465227183</v>
      </c>
      <c r="X125" s="21">
        <f>-(Données!I$50*1E-24*H125+Données!F$50)*W125+Données!F$45*K125</f>
        <v>-9.2533654394971796E-8</v>
      </c>
      <c r="Y125" s="42">
        <f t="shared" si="46"/>
        <v>19354.058731916335</v>
      </c>
      <c r="Z125" s="23">
        <f>-(Données!I$51*1E-24*H125+Données!F$51)*Y125+Données!F$48*Q125</f>
        <v>-1.8986006449303667E-5</v>
      </c>
      <c r="AA125" s="15">
        <f t="shared" si="47"/>
        <v>19366.958763381561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38.922925944440145</v>
      </c>
      <c r="J126" s="21">
        <f>-(Données!I$44*1E-24*H126+Données!F$44)*I126+(Données!H$50*1E-24*H126)*W126+0.71*(Données!H$49*1E-24*H126)*S126</f>
        <v>-2.5669177725366402E-8</v>
      </c>
      <c r="K126" s="42">
        <f t="shared" si="39"/>
        <v>2662.7792472403107</v>
      </c>
      <c r="L126" s="23">
        <f>-(Données!I$45*1E-24*H126+Données!F$45)*K126+(I126*Données!H$44*1E-24*H126)+(Données!H$51*1E-24*H126)*Y126</f>
        <v>-2.460430138539272E-6</v>
      </c>
      <c r="M126" s="40">
        <f t="shared" si="40"/>
        <v>1413.8050880207807</v>
      </c>
      <c r="N126" s="21">
        <f>-(Données!I$46*1E-24*H126+Données!F$46)*M126+Données!H$45*1E-24*H126*K126</f>
        <v>-1.5589260391443477E-8</v>
      </c>
      <c r="O126" s="42">
        <f t="shared" si="41"/>
        <v>189.1907430708421</v>
      </c>
      <c r="P126" s="23">
        <f>-(Données!I$47*1E-24*H126+Données!F$47)*O126+(Données!H$46*1E-24*H126)*M126</f>
        <v>1.9669904720692993E-8</v>
      </c>
      <c r="Q126" s="40">
        <f t="shared" si="42"/>
        <v>109.96372416166371</v>
      </c>
      <c r="R126" s="43">
        <f>-(Données!I$48*1E-24*H126+Données!F$48)*Q126+Données!H$47*1E-24*H126*O126+(Données!I$49*1E-24*H126*S126)*0.85*0.16</f>
        <v>4.8793060587958389E-8</v>
      </c>
      <c r="S126" s="42">
        <f t="shared" si="43"/>
        <v>47.280365807702253</v>
      </c>
      <c r="T126" s="22">
        <f>-(Données!I$49*1E-24*H126+Données!F$49)*S126+Données!F$47*O126</f>
        <v>-6.771609321156579E-9</v>
      </c>
      <c r="U126" s="28">
        <f t="shared" si="44"/>
        <v>4461.94209424574</v>
      </c>
      <c r="V126" s="19"/>
      <c r="W126" s="40">
        <f t="shared" si="45"/>
        <v>12.656853021477197</v>
      </c>
      <c r="X126" s="21">
        <f>-(Données!I$50*1E-24*H126+Données!F$50)*W126+Données!F$45*K126</f>
        <v>-9.0749334259716721E-8</v>
      </c>
      <c r="Y126" s="42">
        <f t="shared" si="46"/>
        <v>19304.163506967565</v>
      </c>
      <c r="Z126" s="23">
        <f>-(Données!I$51*1E-24*H126+Données!F$51)*Y126+Données!F$48*Q126</f>
        <v>-1.8937060047767009E-5</v>
      </c>
      <c r="AA126" s="15">
        <f t="shared" si="47"/>
        <v>19316.82035998904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38.855467345377882</v>
      </c>
      <c r="J127" s="21">
        <f>-(Données!I$44*1E-24*H127+Données!F$44)*I127+(Données!H$50*1E-24*H127)*W127+0.71*(Données!H$49*1E-24*H127)*S127</f>
        <v>-2.5734426329221134E-8</v>
      </c>
      <c r="K127" s="42">
        <f t="shared" si="39"/>
        <v>2656.3132368362294</v>
      </c>
      <c r="L127" s="23">
        <f>-(Données!I$45*1E-24*H127+Données!F$45)*K127+(I127*Données!H$44*1E-24*H127)+(Données!H$51*1E-24*H127)*Y127</f>
        <v>-2.4568006908743359E-6</v>
      </c>
      <c r="M127" s="40">
        <f t="shared" si="40"/>
        <v>1413.764119444472</v>
      </c>
      <c r="N127" s="21">
        <f>-(Données!I$46*1E-24*H127+Données!F$46)*M127+Données!H$45*1E-24*H127*K127</f>
        <v>-2.4776492262208387E-8</v>
      </c>
      <c r="O127" s="42">
        <f t="shared" si="41"/>
        <v>189.24243558044807</v>
      </c>
      <c r="P127" s="23">
        <f>-(Données!I$47*1E-24*H127+Données!F$47)*O127+(Données!H$46*1E-24*H127)*M127</f>
        <v>1.9065543056728341E-8</v>
      </c>
      <c r="Q127" s="40">
        <f t="shared" si="42"/>
        <v>110.09195232488887</v>
      </c>
      <c r="R127" s="43">
        <f>-(Données!I$48*1E-24*H127+Données!F$48)*Q127+Données!H$47*1E-24*H127*O127+(Données!I$49*1E-24*H127*S127)*0.85*0.16</f>
        <v>4.8550793476334245E-8</v>
      </c>
      <c r="S127" s="42">
        <f t="shared" si="43"/>
        <v>47.262570018406251</v>
      </c>
      <c r="T127" s="22">
        <f>-(Données!I$49*1E-24*H127+Données!F$49)*S127+Données!F$47*O127</f>
        <v>-6.5804863685448421E-9</v>
      </c>
      <c r="U127" s="28">
        <f t="shared" si="44"/>
        <v>4455.5297815498216</v>
      </c>
      <c r="V127" s="19"/>
      <c r="W127" s="40">
        <f t="shared" si="45"/>
        <v>12.418363771042662</v>
      </c>
      <c r="X127" s="21">
        <f>-(Données!I$50*1E-24*H127+Données!F$50)*W127+Données!F$45*K127</f>
        <v>-8.8999526281389802E-8</v>
      </c>
      <c r="Y127" s="42">
        <f t="shared" si="46"/>
        <v>19254.396913162032</v>
      </c>
      <c r="Z127" s="23">
        <f>-(Données!I$51*1E-24*H127+Données!F$51)*Y127+Données!F$48*Q127</f>
        <v>-1.8888239831300808E-5</v>
      </c>
      <c r="AA127" s="15">
        <f t="shared" si="47"/>
        <v>19266.815276933074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38.787837272984689</v>
      </c>
      <c r="J128" s="21">
        <f>-(Données!I$44*1E-24*H128+Données!F$44)*I128+(Données!H$50*1E-24*H128)*W128+0.71*(Données!H$49*1E-24*H128)*S128</f>
        <v>-2.5789364226918979E-8</v>
      </c>
      <c r="K128" s="42">
        <f t="shared" si="39"/>
        <v>2649.8567646206116</v>
      </c>
      <c r="L128" s="23">
        <f>-(Données!I$45*1E-24*H128+Données!F$45)*K128+(I128*Données!H$44*1E-24*H128)+(Données!H$51*1E-24*H128)*Y128</f>
        <v>-2.4531316836620267E-6</v>
      </c>
      <c r="M128" s="40">
        <f t="shared" si="40"/>
        <v>1413.699006822807</v>
      </c>
      <c r="N128" s="21">
        <f>-(Données!I$46*1E-24*H128+Données!F$46)*M128+Données!H$45*1E-24*H128*K128</f>
        <v>-3.3884347052627298E-8</v>
      </c>
      <c r="O128" s="42">
        <f t="shared" si="41"/>
        <v>189.29253982760116</v>
      </c>
      <c r="P128" s="23">
        <f>-(Données!I$47*1E-24*H128+Données!F$47)*O128+(Données!H$46*1E-24*H128)*M128</f>
        <v>1.8443498732611219E-8</v>
      </c>
      <c r="Q128" s="40">
        <f t="shared" si="42"/>
        <v>110.21954381014467</v>
      </c>
      <c r="R128" s="43">
        <f>-(Données!I$48*1E-24*H128+Données!F$48)*Q128+Données!H$47*1E-24*H128*O128+(Données!I$49*1E-24*H128*S128)*0.85*0.16</f>
        <v>4.8308209050150474E-8</v>
      </c>
      <c r="S128" s="42">
        <f t="shared" si="43"/>
        <v>47.245276500229714</v>
      </c>
      <c r="T128" s="22">
        <f>-(Données!I$49*1E-24*H128+Données!F$49)*S128+Données!F$47*O128</f>
        <v>-6.394956068214764E-9</v>
      </c>
      <c r="U128" s="28">
        <f t="shared" si="44"/>
        <v>4449.1009688543782</v>
      </c>
      <c r="V128" s="19"/>
      <c r="W128" s="40">
        <f t="shared" si="45"/>
        <v>12.18447301597517</v>
      </c>
      <c r="X128" s="21">
        <f>-(Données!I$50*1E-24*H128+Données!F$50)*W128+Données!F$45*K128</f>
        <v>-8.7283562665603283E-8</v>
      </c>
      <c r="Y128" s="42">
        <f t="shared" si="46"/>
        <v>19204.758618885375</v>
      </c>
      <c r="Z128" s="23">
        <f>-(Données!I$51*1E-24*H128+Données!F$51)*Y128+Données!F$48*Q128</f>
        <v>-1.8839545474596868E-5</v>
      </c>
      <c r="AA128" s="15">
        <f t="shared" si="47"/>
        <v>19216.94309190135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38.720062823796347</v>
      </c>
      <c r="J129" s="21">
        <f>-(Données!I$44*1E-24*H129+Données!F$44)*I129+(Données!H$50*1E-24*H129)*W129+0.71*(Données!H$49*1E-24*H129)*S129</f>
        <v>-2.5834346120520562E-8</v>
      </c>
      <c r="K129" s="42">
        <f t="shared" si="39"/>
        <v>2643.4099345559475</v>
      </c>
      <c r="L129" s="23">
        <f>-(Données!I$45*1E-24*H129+Données!F$45)*K129+(I129*Données!H$44*1E-24*H129)+(Données!H$51*1E-24*H129)*Y129</f>
        <v>-2.4494240687620258E-6</v>
      </c>
      <c r="M129" s="40">
        <f t="shared" si="40"/>
        <v>1413.6099587587526</v>
      </c>
      <c r="N129" s="21">
        <f>-(Données!I$46*1E-24*H129+Données!F$46)*M129+Données!H$45*1E-24*H129*K129</f>
        <v>-4.2913242557692011E-8</v>
      </c>
      <c r="O129" s="42">
        <f t="shared" si="41"/>
        <v>189.34100934227047</v>
      </c>
      <c r="P129" s="23">
        <f>-(Données!I$47*1E-24*H129+Données!F$47)*O129+(Données!H$46*1E-24*H129)*M129</f>
        <v>1.7804560185582892E-8</v>
      </c>
      <c r="Q129" s="40">
        <f t="shared" si="42"/>
        <v>110.34649778352846</v>
      </c>
      <c r="R129" s="43">
        <f>-(Données!I$48*1E-24*H129+Données!F$48)*Q129+Données!H$47*1E-24*H129*O129+(Données!I$49*1E-24*H129*S129)*0.85*0.16</f>
        <v>4.8065231507035363E-8</v>
      </c>
      <c r="S129" s="42">
        <f t="shared" si="43"/>
        <v>47.228470555682449</v>
      </c>
      <c r="T129" s="22">
        <f>-(Données!I$49*1E-24*H129+Données!F$49)*S129+Données!F$47*O129</f>
        <v>-6.2149973790367309E-9</v>
      </c>
      <c r="U129" s="28">
        <f t="shared" si="44"/>
        <v>4442.6559338199777</v>
      </c>
      <c r="V129" s="19"/>
      <c r="W129" s="40">
        <f t="shared" si="45"/>
        <v>11.955091813289965</v>
      </c>
      <c r="X129" s="21">
        <f>-(Données!I$50*1E-24*H129+Données!F$50)*W129+Données!F$45*K129</f>
        <v>-8.5600788539926222E-8</v>
      </c>
      <c r="Y129" s="42">
        <f t="shared" si="46"/>
        <v>19155.248293378136</v>
      </c>
      <c r="Z129" s="23">
        <f>-(Données!I$51*1E-24*H129+Données!F$51)*Y129+Données!F$48*Q129</f>
        <v>-1.879097665318566E-5</v>
      </c>
      <c r="AA129" s="15">
        <f t="shared" si="47"/>
        <v>19167.203385191424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38.652170162191616</v>
      </c>
      <c r="J130" s="21">
        <f>-(Données!I$44*1E-24*H130+Données!F$44)*I130+(Données!H$50*1E-24*H130)*W130+0.71*(Données!H$49*1E-24*H130)*S130</f>
        <v>-2.5869718365874785E-8</v>
      </c>
      <c r="K130" s="42">
        <f t="shared" si="39"/>
        <v>2636.9728481032407</v>
      </c>
      <c r="L130" s="23">
        <f>-(Données!I$45*1E-24*H130+Données!F$45)*K130+(I130*Données!H$44*1E-24*H130)+(Données!H$51*1E-24*H130)*Y130</f>
        <v>-2.4456787814379391E-6</v>
      </c>
      <c r="M130" s="40">
        <f t="shared" si="40"/>
        <v>1413.4971827573108</v>
      </c>
      <c r="N130" s="21">
        <f>-(Données!I$46*1E-24*H130+Données!F$46)*M130+Données!H$45*1E-24*H130*K130</f>
        <v>-5.1863597183791182E-8</v>
      </c>
      <c r="O130" s="42">
        <f t="shared" si="41"/>
        <v>189.38779972643817</v>
      </c>
      <c r="P130" s="23">
        <f>-(Données!I$47*1E-24*H130+Données!F$47)*O130+(Données!H$46*1E-24*H130)*M130</f>
        <v>1.7149492404604956E-8</v>
      </c>
      <c r="Q130" s="40">
        <f t="shared" si="42"/>
        <v>110.47281321192895</v>
      </c>
      <c r="R130" s="43">
        <f>-(Données!I$48*1E-24*H130+Données!F$48)*Q130+Données!H$47*1E-24*H130*O130+(Données!I$49*1E-24*H130*S130)*0.85*0.16</f>
        <v>4.7821788468655602E-8</v>
      </c>
      <c r="S130" s="42">
        <f t="shared" si="43"/>
        <v>47.212137542570339</v>
      </c>
      <c r="T130" s="22">
        <f>-(Données!I$49*1E-24*H130+Données!F$49)*S130+Données!F$47*O130</f>
        <v>-6.0405864281075259E-9</v>
      </c>
      <c r="U130" s="28">
        <f t="shared" si="44"/>
        <v>4436.1949515036804</v>
      </c>
      <c r="V130" s="19"/>
      <c r="W130" s="40">
        <f t="shared" si="45"/>
        <v>11.730132941007039</v>
      </c>
      <c r="X130" s="21">
        <f>-(Données!I$50*1E-24*H130+Données!F$50)*W130+Données!F$45*K130</f>
        <v>-8.3950561703846492E-8</v>
      </c>
      <c r="Y130" s="42">
        <f t="shared" si="46"/>
        <v>19105.865606733565</v>
      </c>
      <c r="Z130" s="23">
        <f>-(Données!I$51*1E-24*H130+Données!F$51)*Y130+Données!F$48*Q130</f>
        <v>-1.8742533043434161E-5</v>
      </c>
      <c r="AA130" s="15">
        <f t="shared" si="47"/>
        <v>19117.595739674573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38.584184542326099</v>
      </c>
      <c r="J131" s="21">
        <f>-(Données!I$44*1E-24*H131+Données!F$44)*I131+(Données!H$50*1E-24*H131)*W131+0.71*(Données!H$49*1E-24*H131)*S131</f>
        <v>-2.5895819124560656E-8</v>
      </c>
      <c r="K131" s="42">
        <f t="shared" si="39"/>
        <v>2630.5456042656219</v>
      </c>
      <c r="L131" s="23">
        <f>-(Données!I$45*1E-24*H131+Données!F$45)*K131+(I131*Données!H$44*1E-24*H131)+(Données!H$51*1E-24*H131)*Y131</f>
        <v>-2.4418967406272659E-6</v>
      </c>
      <c r="M131" s="40">
        <f t="shared" si="40"/>
        <v>1413.3608852239117</v>
      </c>
      <c r="N131" s="21">
        <f>-(Données!I$46*1E-24*H131+Données!F$46)*M131+Données!H$45*1E-24*H131*K131</f>
        <v>-6.0735829881613025E-8</v>
      </c>
      <c r="O131" s="42">
        <f t="shared" si="41"/>
        <v>189.43286859247749</v>
      </c>
      <c r="P131" s="23">
        <f>-(Données!I$47*1E-24*H131+Données!F$47)*O131+(Données!H$46*1E-24*H131)*M131</f>
        <v>1.6479037578826159E-8</v>
      </c>
      <c r="Q131" s="40">
        <f t="shared" si="42"/>
        <v>110.59848887202457</v>
      </c>
      <c r="R131" s="43">
        <f>-(Données!I$48*1E-24*H131+Données!F$48)*Q131+Données!H$47*1E-24*H131*O131+(Données!I$49*1E-24*H131*S131)*0.85*0.16</f>
        <v>4.7577810879398993E-8</v>
      </c>
      <c r="S131" s="42">
        <f t="shared" si="43"/>
        <v>47.196262881437271</v>
      </c>
      <c r="T131" s="22">
        <f>-(Données!I$49*1E-24*H131+Données!F$49)*S131+Données!F$47*O131</f>
        <v>-5.8716966520563889E-9</v>
      </c>
      <c r="U131" s="28">
        <f t="shared" si="44"/>
        <v>4429.7182943777998</v>
      </c>
      <c r="V131" s="19"/>
      <c r="W131" s="40">
        <f t="shared" si="45"/>
        <v>11.509510864849331</v>
      </c>
      <c r="X131" s="21">
        <f>-(Données!I$50*1E-24*H131+Données!F$50)*W131+Données!F$45*K131</f>
        <v>-8.2332252383570903E-8</v>
      </c>
      <c r="Y131" s="42">
        <f t="shared" si="46"/>
        <v>19056.610229895421</v>
      </c>
      <c r="Z131" s="23">
        <f>-(Données!I$51*1E-24*H131+Données!F$51)*Y131+Données!F$48*Q131</f>
        <v>-1.8694214322543681E-5</v>
      </c>
      <c r="AA131" s="15">
        <f t="shared" si="47"/>
        <v>19068.11974076027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38.516130329666751</v>
      </c>
      <c r="J132" s="21">
        <f>-(Données!I$44*1E-24*H132+Données!F$44)*I132+(Données!H$50*1E-24*H132)*W132+0.71*(Données!H$49*1E-24*H132)*S132</f>
        <v>-2.591297851388687E-8</v>
      </c>
      <c r="K132" s="42">
        <f t="shared" si="39"/>
        <v>2624.1282996312534</v>
      </c>
      <c r="L132" s="23">
        <f>-(Données!I$45*1E-24*H132+Données!F$45)*K132+(I132*Données!H$44*1E-24*H132)+(Données!H$51*1E-24*H132)*Y132</f>
        <v>-2.4380788492071583E-6</v>
      </c>
      <c r="M132" s="40">
        <f t="shared" si="40"/>
        <v>1413.201271462983</v>
      </c>
      <c r="N132" s="21">
        <f>-(Données!I$46*1E-24*H132+Données!F$46)*M132+Données!H$45*1E-24*H132*K132</f>
        <v>-6.9530360080563365E-8</v>
      </c>
      <c r="O132" s="42">
        <f t="shared" si="41"/>
        <v>189.47617550323466</v>
      </c>
      <c r="P132" s="23">
        <f>-(Données!I$47*1E-24*H132+Données!F$47)*O132+(Données!H$46*1E-24*H132)*M132</f>
        <v>1.5793915728297958E-8</v>
      </c>
      <c r="Q132" s="40">
        <f t="shared" si="42"/>
        <v>110.72352335901563</v>
      </c>
      <c r="R132" s="43">
        <f>-(Données!I$48*1E-24*H132+Données!F$48)*Q132+Données!H$47*1E-24*H132*O132+(Données!I$49*1E-24*H132*S132)*0.85*0.16</f>
        <v>4.7333232907758803E-8</v>
      </c>
      <c r="S132" s="42">
        <f t="shared" si="43"/>
        <v>47.180832062635666</v>
      </c>
      <c r="T132" s="22">
        <f>-(Données!I$49*1E-24*H132+Données!F$49)*S132+Données!F$47*O132</f>
        <v>-5.7082989334036094E-9</v>
      </c>
      <c r="U132" s="28">
        <f t="shared" si="44"/>
        <v>4423.2262323487894</v>
      </c>
      <c r="V132" s="19"/>
      <c r="W132" s="40">
        <f t="shared" si="45"/>
        <v>11.293141705585306</v>
      </c>
      <c r="X132" s="21">
        <f>-(Données!I$50*1E-24*H132+Données!F$50)*W132+Données!F$45*K132</f>
        <v>-8.0745242991569674E-8</v>
      </c>
      <c r="Y132" s="42">
        <f t="shared" si="46"/>
        <v>19007.481834655777</v>
      </c>
      <c r="Z132" s="23">
        <f>-(Données!I$51*1E-24*H132+Données!F$51)*Y132+Données!F$48*Q132</f>
        <v>-1.8646020168547737E-5</v>
      </c>
      <c r="AA132" s="15">
        <f t="shared" si="47"/>
        <v>19018.774976361361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38.448031022132255</v>
      </c>
      <c r="J133" s="21">
        <f>-(Données!I$44*1E-24*H133+Données!F$44)*I133+(Données!H$50*1E-24*H133)*W133+0.71*(Données!H$49*1E-24*H133)*S133</f>
        <v>-2.5921518754949015E-8</v>
      </c>
      <c r="K133" s="42">
        <f t="shared" si="39"/>
        <v>2617.7210284155371</v>
      </c>
      <c r="L133" s="23">
        <f>-(Données!I$45*1E-24*H133+Données!F$45)*K133+(I133*Données!H$44*1E-24*H133)+(Données!H$51*1E-24*H133)*Y133</f>
        <v>-2.4342259942558958E-6</v>
      </c>
      <c r="M133" s="40">
        <f t="shared" si="40"/>
        <v>1413.0185456766912</v>
      </c>
      <c r="N133" s="21">
        <f>-(Données!I$46*1E-24*H133+Données!F$46)*M133+Données!H$45*1E-24*H133*K133</f>
        <v>-7.8247607624641433E-8</v>
      </c>
      <c r="O133" s="42">
        <f t="shared" si="41"/>
        <v>189.51768191376863</v>
      </c>
      <c r="P133" s="23">
        <f>-(Données!I$47*1E-24*H133+Données!F$47)*O133+(Données!H$46*1E-24*H133)*M133</f>
        <v>1.5094825317438982E-8</v>
      </c>
      <c r="Q133" s="40">
        <f t="shared" si="42"/>
        <v>110.84791509509722</v>
      </c>
      <c r="R133" s="43">
        <f>-(Données!I$48*1E-24*H133+Données!F$48)*Q133+Données!H$47*1E-24*H133*O133+(Données!I$49*1E-24*H133*S133)*0.85*0.16</f>
        <v>4.708799185035043E-8</v>
      </c>
      <c r="S133" s="42">
        <f t="shared" si="43"/>
        <v>47.165830653038682</v>
      </c>
      <c r="T133" s="22">
        <f>-(Données!I$49*1E-24*H133+Données!F$49)*S133+Données!F$47*O133</f>
        <v>-5.5503617321240136E-9</v>
      </c>
      <c r="U133" s="28">
        <f t="shared" si="44"/>
        <v>4416.7190327762655</v>
      </c>
      <c r="V133" s="19"/>
      <c r="W133" s="40">
        <f t="shared" si="45"/>
        <v>11.080943207003461</v>
      </c>
      <c r="X133" s="21">
        <f>-(Données!I$50*1E-24*H133+Données!F$50)*W133+Données!F$45*K133</f>
        <v>-7.9188927890773764E-8</v>
      </c>
      <c r="Y133" s="42">
        <f t="shared" si="46"/>
        <v>18958.480093652834</v>
      </c>
      <c r="Z133" s="23">
        <f>-(Données!I$51*1E-24*H133+Données!F$51)*Y133+Données!F$48*Q133</f>
        <v>-1.8597950260309888E-5</v>
      </c>
      <c r="AA133" s="15">
        <f t="shared" si="47"/>
        <v>18969.561036859835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38.379909270844252</v>
      </c>
      <c r="J134" s="21">
        <f>-(Données!I$44*1E-24*H134+Données!F$44)*I134+(Données!H$50*1E-24*H134)*W134+0.71*(Données!H$49*1E-24*H134)*S134</f>
        <v>-2.5921754318746776E-8</v>
      </c>
      <c r="K134" s="42">
        <f t="shared" si="39"/>
        <v>2611.3238825026328</v>
      </c>
      <c r="L134" s="23">
        <f>-(Données!I$45*1E-24*H134+Données!F$45)*K134+(I134*Données!H$44*1E-24*H134)+(Données!H$51*1E-24*H134)*Y134</f>
        <v>-2.4303390473102217E-6</v>
      </c>
      <c r="M134" s="40">
        <f t="shared" si="40"/>
        <v>1412.8129109638537</v>
      </c>
      <c r="N134" s="21">
        <f>-(Données!I$46*1E-24*H134+Données!F$46)*M134+Données!H$45*1E-24*H134*K134</f>
        <v>-8.6887992709769168E-8</v>
      </c>
      <c r="O134" s="42">
        <f t="shared" si="41"/>
        <v>189.55735111470287</v>
      </c>
      <c r="P134" s="23">
        <f>-(Données!I$47*1E-24*H134+Données!F$47)*O134+(Données!H$46*1E-24*H134)*M134</f>
        <v>1.4382443851706632E-8</v>
      </c>
      <c r="Q134" s="40">
        <f t="shared" si="42"/>
        <v>110.97166233767994</v>
      </c>
      <c r="R134" s="43">
        <f>-(Données!I$48*1E-24*H134+Données!F$48)*Q134+Données!H$47*1E-24*H134*O134+(Données!I$49*1E-24*H134*S134)*0.85*0.16</f>
        <v>4.684202803848911E-8</v>
      </c>
      <c r="S134" s="42">
        <f t="shared" si="43"/>
        <v>47.15124430240666</v>
      </c>
      <c r="T134" s="22">
        <f>-(Données!I$49*1E-24*H134+Données!F$49)*S134+Données!F$47*O134</f>
        <v>-5.397851212564581E-9</v>
      </c>
      <c r="U134" s="28">
        <f t="shared" si="44"/>
        <v>4410.1969604921205</v>
      </c>
      <c r="V134" s="19"/>
      <c r="W134" s="40">
        <f t="shared" si="45"/>
        <v>10.872834704506507</v>
      </c>
      <c r="X134" s="21">
        <f>-(Données!I$50*1E-24*H134+Données!F$50)*W134+Données!F$45*K134</f>
        <v>-7.7662713163334558E-8</v>
      </c>
      <c r="Y134" s="42">
        <f t="shared" si="46"/>
        <v>18909.604680368739</v>
      </c>
      <c r="Z134" s="23">
        <f>-(Données!I$51*1E-24*H134+Données!F$51)*Y134+Données!F$48*Q134</f>
        <v>-1.8550004277521595E-5</v>
      </c>
      <c r="AA134" s="15">
        <f t="shared" si="47"/>
        <v>18920.477515073246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38.311786900494582</v>
      </c>
      <c r="J135" s="21">
        <f>-(Données!I$44*1E-24*H135+Données!F$44)*I135+(Données!H$50*1E-24*H135)*W135+0.71*(Données!H$49*1E-24*H135)*S135</f>
        <v>-2.5913992070363477E-8</v>
      </c>
      <c r="K135" s="42">
        <f t="shared" si="39"/>
        <v>2604.9369514863015</v>
      </c>
      <c r="L135" s="23">
        <f>-(Données!I$45*1E-24*H135+Données!F$45)*K135+(I135*Données!H$44*1E-24*H135)+(Données!H$51*1E-24*H135)*Y135</f>
        <v>-2.4264188646185543E-6</v>
      </c>
      <c r="M135" s="40">
        <f t="shared" si="40"/>
        <v>1412.5845693190124</v>
      </c>
      <c r="N135" s="21">
        <f>-(Données!I$46*1E-24*H135+Données!F$46)*M135+Données!H$45*1E-24*H135*K135</f>
        <v>-9.545193582254438E-8</v>
      </c>
      <c r="O135" s="42">
        <f t="shared" si="41"/>
        <v>189.59514817714515</v>
      </c>
      <c r="P135" s="23">
        <f>-(Données!I$47*1E-24*H135+Données!F$47)*O135+(Données!H$46*1E-24*H135)*M135</f>
        <v>1.3657428457953146E-8</v>
      </c>
      <c r="Q135" s="40">
        <f t="shared" si="42"/>
        <v>111.09476318736509</v>
      </c>
      <c r="R135" s="43">
        <f>-(Données!I$48*1E-24*H135+Données!F$48)*Q135+Données!H$47*1E-24*H135*O135+(Données!I$49*1E-24*H135*S135)*0.85*0.16</f>
        <v>4.6595284747263166E-8</v>
      </c>
      <c r="S135" s="42">
        <f t="shared" si="43"/>
        <v>47.137058749420042</v>
      </c>
      <c r="T135" s="22">
        <f>-(Données!I$49*1E-24*H135+Données!F$49)*S135+Données!F$47*O135</f>
        <v>-5.2507313658607165E-9</v>
      </c>
      <c r="U135" s="28">
        <f t="shared" si="44"/>
        <v>4403.6602778197393</v>
      </c>
      <c r="V135" s="19"/>
      <c r="W135" s="40">
        <f t="shared" si="45"/>
        <v>10.668737094313265</v>
      </c>
      <c r="X135" s="21">
        <f>-(Données!I$50*1E-24*H135+Données!F$50)*W135+Données!F$45*K135</f>
        <v>-7.6166016383858153E-8</v>
      </c>
      <c r="Y135" s="42">
        <f t="shared" si="46"/>
        <v>18860.855269127413</v>
      </c>
      <c r="Z135" s="23">
        <f>-(Données!I$51*1E-24*H135+Données!F$51)*Y135+Données!F$48*Q135</f>
        <v>-1.8502181900700099E-5</v>
      </c>
      <c r="AA135" s="15">
        <f t="shared" si="47"/>
        <v>18871.524006221727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38.243684929333668</v>
      </c>
      <c r="J136" s="21">
        <f>-(Données!I$44*1E-24*H136+Données!F$44)*I136+(Données!H$50*1E-24*H136)*W136+0.71*(Données!H$49*1E-24*H136)*S136</f>
        <v>-2.5898531411212531E-8</v>
      </c>
      <c r="K136" s="42">
        <f t="shared" si="39"/>
        <v>2598.5603227100837</v>
      </c>
      <c r="L136" s="23">
        <f>-(Données!I$45*1E-24*H136+Données!F$45)*K136+(I136*Données!H$44*1E-24*H136)+(Données!H$51*1E-24*H136)*Y136</f>
        <v>-2.4224662873901979E-6</v>
      </c>
      <c r="M136" s="40">
        <f t="shared" si="40"/>
        <v>1412.3337216316709</v>
      </c>
      <c r="N136" s="21">
        <f>-(Données!I$46*1E-24*H136+Données!F$46)*M136+Données!H$45*1E-24*H136*K136</f>
        <v>-1.0393985768037924E-7</v>
      </c>
      <c r="O136" s="42">
        <f t="shared" si="41"/>
        <v>189.63103989913265</v>
      </c>
      <c r="P136" s="23">
        <f>-(Données!I$47*1E-24*H136+Données!F$47)*O136+(Données!H$46*1E-24*H136)*M136</f>
        <v>1.292041644889767E-8</v>
      </c>
      <c r="Q136" s="40">
        <f t="shared" si="42"/>
        <v>111.2172155956809</v>
      </c>
      <c r="R136" s="43">
        <f>-(Données!I$48*1E-24*H136+Données!F$48)*Q136+Données!H$47*1E-24*H136*O136+(Données!I$49*1E-24*H136*S136)*0.85*0.16</f>
        <v>4.6347708107035026E-8</v>
      </c>
      <c r="S136" s="42">
        <f t="shared" si="43"/>
        <v>47.123259827390562</v>
      </c>
      <c r="T136" s="22">
        <f>-(Données!I$49*1E-24*H136+Données!F$49)*S136+Données!F$47*O136</f>
        <v>-5.1089641279910439E-9</v>
      </c>
      <c r="U136" s="28">
        <f t="shared" si="44"/>
        <v>4397.1092445932918</v>
      </c>
      <c r="V136" s="19"/>
      <c r="W136" s="40">
        <f t="shared" si="45"/>
        <v>10.468572803256485</v>
      </c>
      <c r="X136" s="21">
        <f>-(Données!I$50*1E-24*H136+Données!F$50)*W136+Données!F$45*K136</f>
        <v>-7.4698266397027381E-8</v>
      </c>
      <c r="Y136" s="42">
        <f t="shared" si="46"/>
        <v>18812.231535092375</v>
      </c>
      <c r="Z136" s="23">
        <f>-(Données!I$51*1E-24*H136+Données!F$51)*Y136+Données!F$48*Q136</f>
        <v>-1.8454482811186291E-5</v>
      </c>
      <c r="AA136" s="15">
        <f t="shared" si="47"/>
        <v>18822.700107895631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M19" sqref="M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4" workbookViewId="0">
      <selection activeCell="N18" sqref="N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6" sqref="M26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cp:revision>1</cp:revision>
  <dcterms:created xsi:type="dcterms:W3CDTF">2014-07-10T09:50:10Z</dcterms:created>
  <dcterms:modified xsi:type="dcterms:W3CDTF">2014-08-25T09:26:28Z</dcterms:modified>
</cp:coreProperties>
</file>