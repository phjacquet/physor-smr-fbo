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drawings/drawing5.xml" ContentType="application/vnd.openxmlformats-officedocument.drawing+xml"/>
  <Override PartName="/xl/charts/chart6.xml" ContentType="application/vnd.openxmlformats-officedocument.drawingml.chart+xml"/>
  <Override PartName="/xl/drawings/drawing6.xml" ContentType="application/vnd.openxmlformats-officedocument.drawing+xml"/>
  <Override PartName="/xl/charts/chart7.xml" ContentType="application/vnd.openxmlformats-officedocument.drawingml.chart+xml"/>
  <Override PartName="/xl/drawings/drawing7.xml" ContentType="application/vnd.openxmlformats-officedocument.drawing+xml"/>
  <Override PartName="/xl/charts/chart8.xml" ContentType="application/vnd.openxmlformats-officedocument.drawingml.chart+xml"/>
  <Override PartName="/xl/drawings/drawing8.xml" ContentType="application/vnd.openxmlformats-officedocument.drawing+xml"/>
  <Override PartName="/xl/charts/chart9.xml" ContentType="application/vnd.openxmlformats-officedocument.drawingml.chart+xml"/>
  <Override PartName="/xl/drawings/drawing9.xml" ContentType="application/vnd.openxmlformats-officedocument.drawing+xml"/>
  <Override PartName="/xl/charts/chart10.xml" ContentType="application/vnd.openxmlformats-officedocument.drawingml.chart+xml"/>
  <Override PartName="/xl/drawings/drawing10.xml" ContentType="application/vnd.openxmlformats-officedocument.drawing+xml"/>
  <Override PartName="/xl/charts/chart11.xml" ContentType="application/vnd.openxmlformats-officedocument.drawingml.chart+xml"/>
  <Override PartName="/xl/drawings/drawing11.xml" ContentType="application/vnd.openxmlformats-officedocument.drawing+xml"/>
  <Override PartName="/xl/charts/chart12.xml" ContentType="application/vnd.openxmlformats-officedocument.drawingml.chart+xml"/>
  <Override PartName="/xl/drawings/drawing12.xml" ContentType="application/vnd.openxmlformats-officedocument.drawing+xml"/>
  <Override PartName="/xl/charts/chart13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70" yWindow="585" windowWidth="15090" windowHeight="6630" tabRatio="872" activeTab="1"/>
  </bookViews>
  <sheets>
    <sheet name="Données" sheetId="1" r:id="rId1"/>
    <sheet name="mod.RK1" sheetId="2" r:id="rId2"/>
    <sheet name="mod.math." sheetId="14" r:id="rId3"/>
    <sheet name="Pu238" sheetId="3" r:id="rId4"/>
    <sheet name="Pu239" sheetId="4" r:id="rId5"/>
    <sheet name="Pu240" sheetId="5" r:id="rId6"/>
    <sheet name="Pu241" sheetId="6" r:id="rId7"/>
    <sheet name="Pu242" sheetId="7" r:id="rId8"/>
    <sheet name="Am241" sheetId="8" r:id="rId9"/>
    <sheet name="U235" sheetId="9" r:id="rId10"/>
    <sheet name="U238" sheetId="10" r:id="rId11"/>
    <sheet name="M.Pu" sheetId="12" r:id="rId12"/>
    <sheet name="V.Pu" sheetId="13" r:id="rId13"/>
    <sheet name="V.Pu Mod.Math." sheetId="17" r:id="rId14"/>
  </sheets>
  <externalReferences>
    <externalReference r:id="rId15"/>
  </externalReferences>
  <calcPr calcId="145621"/>
</workbook>
</file>

<file path=xl/calcChain.xml><?xml version="1.0" encoding="utf-8"?>
<calcChain xmlns="http://schemas.openxmlformats.org/spreadsheetml/2006/main">
  <c r="G8" i="14" l="1"/>
  <c r="J9" i="14"/>
  <c r="F28" i="14" l="1"/>
  <c r="D5" i="14" l="1"/>
  <c r="S2" i="14" s="1"/>
  <c r="R2" i="14" s="1"/>
  <c r="S135" i="14" l="1"/>
  <c r="R135" i="14" s="1"/>
  <c r="S131" i="14"/>
  <c r="R131" i="14" s="1"/>
  <c r="S127" i="14"/>
  <c r="R127" i="14" s="1"/>
  <c r="S123" i="14"/>
  <c r="R123" i="14" s="1"/>
  <c r="S134" i="14"/>
  <c r="R134" i="14" s="1"/>
  <c r="S130" i="14"/>
  <c r="R130" i="14" s="1"/>
  <c r="S126" i="14"/>
  <c r="R126" i="14" s="1"/>
  <c r="S122" i="14"/>
  <c r="R122" i="14" s="1"/>
  <c r="S133" i="14"/>
  <c r="R133" i="14" s="1"/>
  <c r="S125" i="14"/>
  <c r="R125" i="14" s="1"/>
  <c r="S118" i="14"/>
  <c r="R118" i="14" s="1"/>
  <c r="S114" i="14"/>
  <c r="R114" i="14" s="1"/>
  <c r="S136" i="14"/>
  <c r="R136" i="14" s="1"/>
  <c r="S128" i="14"/>
  <c r="R128" i="14" s="1"/>
  <c r="S117" i="14"/>
  <c r="R117" i="14" s="1"/>
  <c r="S113" i="14"/>
  <c r="R113" i="14" s="1"/>
  <c r="S129" i="14"/>
  <c r="R129" i="14" s="1"/>
  <c r="S120" i="14"/>
  <c r="R120" i="14" s="1"/>
  <c r="S112" i="14"/>
  <c r="R112" i="14" s="1"/>
  <c r="S111" i="14"/>
  <c r="R111" i="14" s="1"/>
  <c r="S107" i="14"/>
  <c r="R107" i="14" s="1"/>
  <c r="S103" i="14"/>
  <c r="R103" i="14" s="1"/>
  <c r="S99" i="14"/>
  <c r="R99" i="14" s="1"/>
  <c r="S132" i="14"/>
  <c r="R132" i="14" s="1"/>
  <c r="S115" i="14"/>
  <c r="R115" i="14" s="1"/>
  <c r="S110" i="14"/>
  <c r="R110" i="14" s="1"/>
  <c r="S106" i="14"/>
  <c r="R106" i="14" s="1"/>
  <c r="S102" i="14"/>
  <c r="R102" i="14" s="1"/>
  <c r="S98" i="14"/>
  <c r="R98" i="14" s="1"/>
  <c r="S94" i="14"/>
  <c r="R94" i="14" s="1"/>
  <c r="S90" i="14"/>
  <c r="R90" i="14" s="1"/>
  <c r="S121" i="14"/>
  <c r="R121" i="14" s="1"/>
  <c r="S105" i="14"/>
  <c r="R105" i="14" s="1"/>
  <c r="S89" i="14"/>
  <c r="R89" i="14" s="1"/>
  <c r="S88" i="14"/>
  <c r="R88" i="14" s="1"/>
  <c r="S84" i="14"/>
  <c r="R84" i="14" s="1"/>
  <c r="S80" i="14"/>
  <c r="R80" i="14" s="1"/>
  <c r="S76" i="14"/>
  <c r="R76" i="14" s="1"/>
  <c r="S124" i="14"/>
  <c r="R124" i="14" s="1"/>
  <c r="S108" i="14"/>
  <c r="R108" i="14" s="1"/>
  <c r="S100" i="14"/>
  <c r="R100" i="14" s="1"/>
  <c r="S93" i="14"/>
  <c r="R93" i="14" s="1"/>
  <c r="S92" i="14"/>
  <c r="R92" i="14" s="1"/>
  <c r="S91" i="14"/>
  <c r="R91" i="14" s="1"/>
  <c r="S87" i="14"/>
  <c r="R87" i="14" s="1"/>
  <c r="S83" i="14"/>
  <c r="R83" i="14" s="1"/>
  <c r="S79" i="14"/>
  <c r="R79" i="14" s="1"/>
  <c r="S75" i="14"/>
  <c r="R75" i="14" s="1"/>
  <c r="S71" i="14"/>
  <c r="R71" i="14" s="1"/>
  <c r="S67" i="14"/>
  <c r="R67" i="14" s="1"/>
  <c r="S116" i="14"/>
  <c r="R116" i="14" s="1"/>
  <c r="S101" i="14"/>
  <c r="R101" i="14" s="1"/>
  <c r="S82" i="14"/>
  <c r="R82" i="14" s="1"/>
  <c r="S62" i="14"/>
  <c r="R62" i="14" s="1"/>
  <c r="S58" i="14"/>
  <c r="R58" i="14" s="1"/>
  <c r="S54" i="14"/>
  <c r="R54" i="14" s="1"/>
  <c r="S50" i="14"/>
  <c r="R50" i="14" s="1"/>
  <c r="S46" i="14"/>
  <c r="R46" i="14" s="1"/>
  <c r="S42" i="14"/>
  <c r="R42" i="14" s="1"/>
  <c r="S38" i="14"/>
  <c r="R38" i="14" s="1"/>
  <c r="S119" i="14"/>
  <c r="R119" i="14" s="1"/>
  <c r="S104" i="14"/>
  <c r="R104" i="14" s="1"/>
  <c r="S85" i="14"/>
  <c r="R85" i="14" s="1"/>
  <c r="S77" i="14"/>
  <c r="R77" i="14" s="1"/>
  <c r="S66" i="14"/>
  <c r="R66" i="14" s="1"/>
  <c r="S65" i="14"/>
  <c r="R65" i="14" s="1"/>
  <c r="S61" i="14"/>
  <c r="R61" i="14" s="1"/>
  <c r="S57" i="14"/>
  <c r="R57" i="14" s="1"/>
  <c r="S53" i="14"/>
  <c r="R53" i="14" s="1"/>
  <c r="S49" i="14"/>
  <c r="R49" i="14" s="1"/>
  <c r="S45" i="14"/>
  <c r="R45" i="14" s="1"/>
  <c r="S41" i="14"/>
  <c r="R41" i="14" s="1"/>
  <c r="S37" i="14"/>
  <c r="R37" i="14" s="1"/>
  <c r="S33" i="14"/>
  <c r="R33" i="14" s="1"/>
  <c r="S29" i="14"/>
  <c r="R29" i="14" s="1"/>
  <c r="S25" i="14"/>
  <c r="R25" i="14" s="1"/>
  <c r="S109" i="14"/>
  <c r="R109" i="14" s="1"/>
  <c r="S86" i="14"/>
  <c r="R86" i="14" s="1"/>
  <c r="S70" i="14"/>
  <c r="R70" i="14" s="1"/>
  <c r="S69" i="14"/>
  <c r="R69" i="14" s="1"/>
  <c r="S68" i="14"/>
  <c r="R68" i="14" s="1"/>
  <c r="S60" i="14"/>
  <c r="R60" i="14" s="1"/>
  <c r="S52" i="14"/>
  <c r="R52" i="14" s="1"/>
  <c r="S44" i="14"/>
  <c r="R44" i="14" s="1"/>
  <c r="S36" i="14"/>
  <c r="R36" i="14" s="1"/>
  <c r="S24" i="14"/>
  <c r="R24" i="14" s="1"/>
  <c r="S21" i="14"/>
  <c r="R21" i="14" s="1"/>
  <c r="S17" i="14"/>
  <c r="R17" i="14" s="1"/>
  <c r="S13" i="14"/>
  <c r="R13" i="14" s="1"/>
  <c r="S9" i="14"/>
  <c r="R9" i="14" s="1"/>
  <c r="S7" i="14"/>
  <c r="R7" i="14" s="1"/>
  <c r="S5" i="14"/>
  <c r="R5" i="14" s="1"/>
  <c r="S40" i="14"/>
  <c r="R40" i="14" s="1"/>
  <c r="S74" i="14"/>
  <c r="R74" i="14" s="1"/>
  <c r="S73" i="14"/>
  <c r="R73" i="14" s="1"/>
  <c r="S72" i="14"/>
  <c r="R72" i="14" s="1"/>
  <c r="S63" i="14"/>
  <c r="R63" i="14" s="1"/>
  <c r="S55" i="14"/>
  <c r="R55" i="14" s="1"/>
  <c r="S47" i="14"/>
  <c r="R47" i="14" s="1"/>
  <c r="S39" i="14"/>
  <c r="R39" i="14" s="1"/>
  <c r="S28" i="14"/>
  <c r="R28" i="14" s="1"/>
  <c r="S27" i="14"/>
  <c r="R27" i="14" s="1"/>
  <c r="S26" i="14"/>
  <c r="R26" i="14" s="1"/>
  <c r="S20" i="14"/>
  <c r="R20" i="14" s="1"/>
  <c r="S16" i="14"/>
  <c r="R16" i="14" s="1"/>
  <c r="S12" i="14"/>
  <c r="R12" i="14" s="1"/>
  <c r="S3" i="14"/>
  <c r="R3" i="14" s="1"/>
  <c r="S97" i="14"/>
  <c r="R97" i="14" s="1"/>
  <c r="S96" i="14"/>
  <c r="R96" i="14" s="1"/>
  <c r="S95" i="14"/>
  <c r="R95" i="14" s="1"/>
  <c r="S78" i="14"/>
  <c r="R78" i="14" s="1"/>
  <c r="S64" i="14"/>
  <c r="R64" i="14" s="1"/>
  <c r="S56" i="14"/>
  <c r="R56" i="14" s="1"/>
  <c r="S48" i="14"/>
  <c r="R48" i="14" s="1"/>
  <c r="S8" i="14"/>
  <c r="R8" i="14" s="1"/>
  <c r="S11" i="14"/>
  <c r="R11" i="14" s="1"/>
  <c r="S19" i="14"/>
  <c r="R19" i="14" s="1"/>
  <c r="S4" i="14"/>
  <c r="R4" i="14" s="1"/>
  <c r="S10" i="14"/>
  <c r="R10" i="14" s="1"/>
  <c r="S18" i="14"/>
  <c r="R18" i="14" s="1"/>
  <c r="S43" i="14"/>
  <c r="R43" i="14" s="1"/>
  <c r="S15" i="14"/>
  <c r="R15" i="14" s="1"/>
  <c r="S23" i="14"/>
  <c r="R23" i="14" s="1"/>
  <c r="S30" i="14"/>
  <c r="R30" i="14" s="1"/>
  <c r="S31" i="14"/>
  <c r="R31" i="14" s="1"/>
  <c r="S32" i="14"/>
  <c r="R32" i="14" s="1"/>
  <c r="S51" i="14"/>
  <c r="R51" i="14" s="1"/>
  <c r="S81" i="14"/>
  <c r="R81" i="14" s="1"/>
  <c r="S6" i="14"/>
  <c r="R6" i="14" s="1"/>
  <c r="S14" i="14"/>
  <c r="R14" i="14" s="1"/>
  <c r="S22" i="14"/>
  <c r="R22" i="14" s="1"/>
  <c r="S34" i="14"/>
  <c r="R34" i="14" s="1"/>
  <c r="S35" i="14"/>
  <c r="R35" i="14" s="1"/>
  <c r="S59" i="14"/>
  <c r="R59" i="14" s="1"/>
  <c r="G44" i="1" l="1"/>
  <c r="H44" i="1"/>
  <c r="G45" i="1"/>
  <c r="H45" i="1"/>
  <c r="G46" i="1"/>
  <c r="H46" i="1"/>
  <c r="G47" i="1"/>
  <c r="H47" i="1"/>
  <c r="G48" i="1"/>
  <c r="H48" i="1"/>
  <c r="G49" i="1"/>
  <c r="H49" i="1"/>
  <c r="G50" i="1"/>
  <c r="H50" i="1"/>
  <c r="G51" i="1"/>
  <c r="H51" i="1"/>
  <c r="I83" i="1"/>
  <c r="I82" i="1"/>
  <c r="I81" i="1"/>
  <c r="I80" i="1"/>
  <c r="I79" i="1"/>
  <c r="I78" i="1"/>
  <c r="I77" i="1"/>
  <c r="I76" i="1"/>
  <c r="H83" i="1"/>
  <c r="H82" i="1"/>
  <c r="H81" i="1"/>
  <c r="H80" i="1"/>
  <c r="H79" i="1"/>
  <c r="H78" i="1"/>
  <c r="H77" i="1"/>
  <c r="H76" i="1"/>
  <c r="G77" i="1"/>
  <c r="G78" i="1"/>
  <c r="G79" i="1"/>
  <c r="G80" i="1"/>
  <c r="G81" i="1"/>
  <c r="G82" i="1"/>
  <c r="G83" i="1"/>
  <c r="G76" i="1"/>
  <c r="P11" i="1"/>
  <c r="P12" i="1"/>
  <c r="P13" i="1"/>
  <c r="P14" i="1"/>
  <c r="P15" i="1"/>
  <c r="P16" i="1"/>
  <c r="P17" i="1"/>
  <c r="P10" i="1"/>
  <c r="C38" i="1"/>
  <c r="E38" i="1" s="1"/>
  <c r="D5" i="2"/>
  <c r="C26" i="1"/>
  <c r="I48" i="1" l="1"/>
  <c r="I47" i="1"/>
  <c r="I44" i="1"/>
  <c r="I51" i="1"/>
  <c r="I50" i="1"/>
  <c r="I49" i="1"/>
  <c r="I46" i="1"/>
  <c r="I45" i="1"/>
  <c r="C25" i="1"/>
  <c r="G96" i="2"/>
  <c r="F96" i="2" s="1"/>
  <c r="G95" i="2"/>
  <c r="F95" i="2" s="1"/>
  <c r="G97" i="2"/>
  <c r="F97" i="2" s="1"/>
  <c r="G99" i="2"/>
  <c r="F99" i="2" s="1"/>
  <c r="G100" i="2"/>
  <c r="F100" i="2" s="1"/>
  <c r="G101" i="2"/>
  <c r="F101" i="2" s="1"/>
  <c r="G103" i="2"/>
  <c r="F103" i="2" s="1"/>
  <c r="G104" i="2"/>
  <c r="F104" i="2" s="1"/>
  <c r="G105" i="2"/>
  <c r="F105" i="2" s="1"/>
  <c r="G107" i="2"/>
  <c r="F107" i="2" s="1"/>
  <c r="G108" i="2"/>
  <c r="F108" i="2" s="1"/>
  <c r="G109" i="2"/>
  <c r="F109" i="2" s="1"/>
  <c r="G111" i="2"/>
  <c r="F111" i="2" s="1"/>
  <c r="G112" i="2"/>
  <c r="F112" i="2" s="1"/>
  <c r="G113" i="2"/>
  <c r="F113" i="2" s="1"/>
  <c r="G115" i="2"/>
  <c r="F115" i="2" s="1"/>
  <c r="G116" i="2"/>
  <c r="F116" i="2" s="1"/>
  <c r="G117" i="2"/>
  <c r="F117" i="2" s="1"/>
  <c r="G119" i="2"/>
  <c r="F119" i="2" s="1"/>
  <c r="G120" i="2"/>
  <c r="F120" i="2" s="1"/>
  <c r="G121" i="2"/>
  <c r="F121" i="2" s="1"/>
  <c r="G123" i="2"/>
  <c r="F123" i="2" s="1"/>
  <c r="G124" i="2"/>
  <c r="F124" i="2" s="1"/>
  <c r="G125" i="2"/>
  <c r="F125" i="2" s="1"/>
  <c r="G127" i="2"/>
  <c r="F127" i="2" s="1"/>
  <c r="G128" i="2"/>
  <c r="F128" i="2" s="1"/>
  <c r="G129" i="2"/>
  <c r="F129" i="2" s="1"/>
  <c r="G131" i="2"/>
  <c r="F131" i="2" s="1"/>
  <c r="G132" i="2"/>
  <c r="F132" i="2" s="1"/>
  <c r="G133" i="2"/>
  <c r="F133" i="2" s="1"/>
  <c r="G135" i="2"/>
  <c r="F135" i="2" s="1"/>
  <c r="G136" i="2"/>
  <c r="F136" i="2" s="1"/>
  <c r="G134" i="2" l="1"/>
  <c r="F134" i="2" s="1"/>
  <c r="G130" i="2"/>
  <c r="F130" i="2" s="1"/>
  <c r="G126" i="2"/>
  <c r="F126" i="2" s="1"/>
  <c r="G122" i="2"/>
  <c r="F122" i="2" s="1"/>
  <c r="G118" i="2"/>
  <c r="F118" i="2" s="1"/>
  <c r="G114" i="2"/>
  <c r="F114" i="2" s="1"/>
  <c r="G110" i="2"/>
  <c r="F110" i="2" s="1"/>
  <c r="G106" i="2"/>
  <c r="F106" i="2" s="1"/>
  <c r="G102" i="2"/>
  <c r="F102" i="2" s="1"/>
  <c r="G98" i="2"/>
  <c r="F98" i="2" s="1"/>
  <c r="G31" i="2"/>
  <c r="F31" i="2" s="1"/>
  <c r="G32" i="2"/>
  <c r="F32" i="2" s="1"/>
  <c r="G33" i="2"/>
  <c r="F33" i="2" s="1"/>
  <c r="G34" i="2"/>
  <c r="F34" i="2" s="1"/>
  <c r="G35" i="2"/>
  <c r="F35" i="2" s="1"/>
  <c r="G36" i="2"/>
  <c r="F36" i="2" s="1"/>
  <c r="G37" i="2"/>
  <c r="F37" i="2" s="1"/>
  <c r="G38" i="2"/>
  <c r="F38" i="2" s="1"/>
  <c r="G39" i="2"/>
  <c r="F39" i="2" s="1"/>
  <c r="G40" i="2"/>
  <c r="F40" i="2" s="1"/>
  <c r="G41" i="2"/>
  <c r="F41" i="2" s="1"/>
  <c r="G42" i="2"/>
  <c r="F42" i="2" s="1"/>
  <c r="G43" i="2"/>
  <c r="F43" i="2" s="1"/>
  <c r="G44" i="2"/>
  <c r="F44" i="2" s="1"/>
  <c r="G45" i="2"/>
  <c r="F45" i="2" s="1"/>
  <c r="G46" i="2"/>
  <c r="F46" i="2" s="1"/>
  <c r="G47" i="2"/>
  <c r="F47" i="2" s="1"/>
  <c r="G48" i="2"/>
  <c r="F48" i="2" s="1"/>
  <c r="G49" i="2"/>
  <c r="F49" i="2" s="1"/>
  <c r="G50" i="2"/>
  <c r="F50" i="2" s="1"/>
  <c r="G51" i="2"/>
  <c r="F51" i="2" s="1"/>
  <c r="G52" i="2"/>
  <c r="F52" i="2" s="1"/>
  <c r="G53" i="2"/>
  <c r="F53" i="2" s="1"/>
  <c r="G54" i="2"/>
  <c r="F54" i="2" s="1"/>
  <c r="G55" i="2"/>
  <c r="F55" i="2" s="1"/>
  <c r="G56" i="2"/>
  <c r="F56" i="2" s="1"/>
  <c r="G57" i="2"/>
  <c r="F57" i="2" s="1"/>
  <c r="G58" i="2"/>
  <c r="F58" i="2" s="1"/>
  <c r="G59" i="2"/>
  <c r="F59" i="2" s="1"/>
  <c r="G60" i="2"/>
  <c r="F60" i="2" s="1"/>
  <c r="G61" i="2"/>
  <c r="F61" i="2" s="1"/>
  <c r="G62" i="2"/>
  <c r="F62" i="2" s="1"/>
  <c r="G63" i="2"/>
  <c r="F63" i="2" s="1"/>
  <c r="G64" i="2"/>
  <c r="F64" i="2" s="1"/>
  <c r="G65" i="2"/>
  <c r="F65" i="2" s="1"/>
  <c r="G66" i="2"/>
  <c r="F66" i="2" s="1"/>
  <c r="G67" i="2"/>
  <c r="F67" i="2" s="1"/>
  <c r="G68" i="2"/>
  <c r="F68" i="2" s="1"/>
  <c r="G69" i="2"/>
  <c r="F69" i="2" s="1"/>
  <c r="G70" i="2"/>
  <c r="F70" i="2" s="1"/>
  <c r="G71" i="2"/>
  <c r="F71" i="2" s="1"/>
  <c r="G72" i="2"/>
  <c r="F72" i="2" s="1"/>
  <c r="G73" i="2"/>
  <c r="F73" i="2" s="1"/>
  <c r="G74" i="2"/>
  <c r="F74" i="2" s="1"/>
  <c r="G75" i="2"/>
  <c r="F75" i="2" s="1"/>
  <c r="G76" i="2"/>
  <c r="F76" i="2" s="1"/>
  <c r="G77" i="2"/>
  <c r="F77" i="2" s="1"/>
  <c r="G78" i="2"/>
  <c r="F78" i="2" s="1"/>
  <c r="G79" i="2"/>
  <c r="F79" i="2" s="1"/>
  <c r="G80" i="2"/>
  <c r="F80" i="2" s="1"/>
  <c r="G81" i="2"/>
  <c r="F81" i="2" s="1"/>
  <c r="G82" i="2"/>
  <c r="F82" i="2" s="1"/>
  <c r="G83" i="2"/>
  <c r="F83" i="2" s="1"/>
  <c r="G84" i="2"/>
  <c r="F84" i="2" s="1"/>
  <c r="G85" i="2"/>
  <c r="F85" i="2" s="1"/>
  <c r="G86" i="2"/>
  <c r="F86" i="2" s="1"/>
  <c r="G87" i="2"/>
  <c r="F87" i="2" s="1"/>
  <c r="G88" i="2"/>
  <c r="F88" i="2" s="1"/>
  <c r="G89" i="2"/>
  <c r="F89" i="2" s="1"/>
  <c r="G90" i="2"/>
  <c r="F90" i="2" s="1"/>
  <c r="G91" i="2"/>
  <c r="F91" i="2" s="1"/>
  <c r="G92" i="2"/>
  <c r="F92" i="2" s="1"/>
  <c r="G93" i="2"/>
  <c r="F93" i="2" s="1"/>
  <c r="G94" i="2"/>
  <c r="F94" i="2" s="1"/>
  <c r="B41" i="1"/>
  <c r="C3" i="1"/>
  <c r="C5" i="1" s="1"/>
  <c r="D17" i="1" s="1"/>
  <c r="C4" i="1"/>
  <c r="C6" i="1" s="1"/>
  <c r="D10" i="1" s="1"/>
  <c r="B2" i="14" s="1"/>
  <c r="B9" i="2" l="1"/>
  <c r="Y2" i="2" s="1"/>
  <c r="B9" i="14"/>
  <c r="D13" i="1"/>
  <c r="D11" i="1"/>
  <c r="D15" i="1"/>
  <c r="D14" i="1"/>
  <c r="D12" i="1"/>
  <c r="D16" i="1"/>
  <c r="C7" i="1"/>
  <c r="C27" i="1" s="1"/>
  <c r="C28" i="1"/>
  <c r="G19" i="2"/>
  <c r="F19" i="2" s="1"/>
  <c r="G20" i="2"/>
  <c r="F20" i="2" s="1"/>
  <c r="G21" i="2"/>
  <c r="F21" i="2" s="1"/>
  <c r="G22" i="2"/>
  <c r="F22" i="2" s="1"/>
  <c r="G23" i="2"/>
  <c r="F23" i="2" s="1"/>
  <c r="G24" i="2"/>
  <c r="F24" i="2" s="1"/>
  <c r="G25" i="2"/>
  <c r="F25" i="2" s="1"/>
  <c r="G26" i="2"/>
  <c r="F26" i="2" s="1"/>
  <c r="G27" i="2"/>
  <c r="F27" i="2" s="1"/>
  <c r="G28" i="2"/>
  <c r="F28" i="2" s="1"/>
  <c r="G29" i="2"/>
  <c r="F29" i="2" s="1"/>
  <c r="G30" i="2"/>
  <c r="F30" i="2" s="1"/>
  <c r="B6" i="2" l="1"/>
  <c r="Q2" i="2" s="1"/>
  <c r="B6" i="14"/>
  <c r="B8" i="2"/>
  <c r="W2" i="2" s="1"/>
  <c r="B8" i="14"/>
  <c r="B3" i="2"/>
  <c r="K2" i="2" s="1"/>
  <c r="B3" i="14"/>
  <c r="B4" i="2"/>
  <c r="M2" i="2" s="1"/>
  <c r="B4" i="14"/>
  <c r="B5" i="2"/>
  <c r="O2" i="2" s="1"/>
  <c r="B5" i="14"/>
  <c r="B7" i="2"/>
  <c r="S2" i="2" s="1"/>
  <c r="B7" i="14"/>
  <c r="B2" i="2"/>
  <c r="I2" i="2" s="1"/>
  <c r="G16" i="2"/>
  <c r="F16" i="2" s="1"/>
  <c r="C8" i="1"/>
  <c r="F10" i="1" s="1"/>
  <c r="L44" i="1" l="1"/>
  <c r="M44" i="1"/>
  <c r="K44" i="1"/>
  <c r="F14" i="1"/>
  <c r="F11" i="1"/>
  <c r="F15" i="1"/>
  <c r="C31" i="1"/>
  <c r="F13" i="1"/>
  <c r="F17" i="1"/>
  <c r="F12" i="1"/>
  <c r="F16" i="1"/>
  <c r="C29" i="1"/>
  <c r="G11" i="2"/>
  <c r="F11" i="2" s="1"/>
  <c r="G2" i="2"/>
  <c r="F2" i="2" s="1"/>
  <c r="G5" i="2"/>
  <c r="F5" i="2" s="1"/>
  <c r="G9" i="2"/>
  <c r="F9" i="2" s="1"/>
  <c r="G13" i="2"/>
  <c r="F13" i="2" s="1"/>
  <c r="G15" i="2"/>
  <c r="F15" i="2" s="1"/>
  <c r="G17" i="2"/>
  <c r="F17" i="2" s="1"/>
  <c r="G18" i="2"/>
  <c r="F18" i="2" s="1"/>
  <c r="G14" i="2"/>
  <c r="F14" i="2" s="1"/>
  <c r="G7" i="2"/>
  <c r="F7" i="2" s="1"/>
  <c r="G3" i="2"/>
  <c r="F3" i="2" s="1"/>
  <c r="G12" i="2"/>
  <c r="F12" i="2" s="1"/>
  <c r="G10" i="2"/>
  <c r="F10" i="2" s="1"/>
  <c r="G8" i="2"/>
  <c r="F8" i="2" s="1"/>
  <c r="G6" i="2"/>
  <c r="F6" i="2" s="1"/>
  <c r="G4" i="2"/>
  <c r="F4" i="2" s="1"/>
  <c r="C33" i="1"/>
  <c r="C34" i="1" s="1"/>
  <c r="C51" i="1"/>
  <c r="F51" i="1" s="1"/>
  <c r="C50" i="1"/>
  <c r="F50" i="1" s="1"/>
  <c r="C49" i="1"/>
  <c r="F49" i="1" s="1"/>
  <c r="C48" i="1"/>
  <c r="F48" i="1" s="1"/>
  <c r="C47" i="1"/>
  <c r="F47" i="1" s="1"/>
  <c r="I7" i="14" s="1"/>
  <c r="C46" i="1"/>
  <c r="F46" i="1" s="1"/>
  <c r="C45" i="1"/>
  <c r="F45" i="1" s="1"/>
  <c r="C44" i="1"/>
  <c r="F44" i="1" s="1"/>
  <c r="K49" i="1" l="1"/>
  <c r="M49" i="1"/>
  <c r="L49" i="1"/>
  <c r="K51" i="1"/>
  <c r="L51" i="1"/>
  <c r="M51" i="1"/>
  <c r="M45" i="1"/>
  <c r="L45" i="1"/>
  <c r="K47" i="1"/>
  <c r="L47" i="1"/>
  <c r="M47" i="1"/>
  <c r="K48" i="1"/>
  <c r="L48" i="1"/>
  <c r="M48" i="1"/>
  <c r="K46" i="1"/>
  <c r="L46" i="1"/>
  <c r="M46" i="1"/>
  <c r="K50" i="1"/>
  <c r="L50" i="1"/>
  <c r="M50" i="1"/>
  <c r="K45" i="1"/>
  <c r="AA2" i="2"/>
  <c r="C21" i="1" l="1"/>
  <c r="C19" i="1"/>
  <c r="C18" i="1"/>
  <c r="C30" i="1" s="1"/>
  <c r="B12" i="14" s="1"/>
  <c r="F3" i="14" s="1"/>
  <c r="U2" i="2"/>
  <c r="F2" i="14" l="1"/>
  <c r="F24" i="14" s="1"/>
  <c r="K6" i="14"/>
  <c r="L8" i="14"/>
  <c r="L24" i="14" s="1"/>
  <c r="G4" i="14"/>
  <c r="M3" i="14"/>
  <c r="J6" i="14"/>
  <c r="J24" i="14" s="1"/>
  <c r="G3" i="14"/>
  <c r="G24" i="14" s="1"/>
  <c r="I5" i="14"/>
  <c r="I24" i="14" s="1"/>
  <c r="M9" i="14"/>
  <c r="M24" i="14" s="1"/>
  <c r="H4" i="14"/>
  <c r="H24" i="14" s="1"/>
  <c r="K7" i="14"/>
  <c r="K24" i="14" s="1"/>
  <c r="I6" i="14"/>
  <c r="H5" i="14"/>
  <c r="C20" i="1"/>
  <c r="C22" i="1"/>
  <c r="H129" i="2"/>
  <c r="H128" i="2"/>
  <c r="H136" i="2"/>
  <c r="H124" i="2"/>
  <c r="H123" i="2"/>
  <c r="H131" i="2"/>
  <c r="H132" i="2"/>
  <c r="H125" i="2"/>
  <c r="H133" i="2"/>
  <c r="H127" i="2"/>
  <c r="H135" i="2"/>
  <c r="H130" i="2"/>
  <c r="H134" i="2"/>
  <c r="H122" i="2"/>
  <c r="H126" i="2"/>
  <c r="H5" i="2"/>
  <c r="H10" i="2"/>
  <c r="H16" i="2"/>
  <c r="H20" i="2"/>
  <c r="H24" i="2"/>
  <c r="H28" i="2"/>
  <c r="H32" i="2"/>
  <c r="H36" i="2"/>
  <c r="H40" i="2"/>
  <c r="H44" i="2"/>
  <c r="H48" i="2"/>
  <c r="H52" i="2"/>
  <c r="H56" i="2"/>
  <c r="H60" i="2"/>
  <c r="H64" i="2"/>
  <c r="H68" i="2"/>
  <c r="H72" i="2"/>
  <c r="H76" i="2"/>
  <c r="H80" i="2"/>
  <c r="H84" i="2"/>
  <c r="H88" i="2"/>
  <c r="H92" i="2"/>
  <c r="H96" i="2"/>
  <c r="H100" i="2"/>
  <c r="H104" i="2"/>
  <c r="H108" i="2"/>
  <c r="H112" i="2"/>
  <c r="H116" i="2"/>
  <c r="H120" i="2"/>
  <c r="H12" i="2"/>
  <c r="H17" i="2"/>
  <c r="H21" i="2"/>
  <c r="H25" i="2"/>
  <c r="H29" i="2"/>
  <c r="H33" i="2"/>
  <c r="H37" i="2"/>
  <c r="H41" i="2"/>
  <c r="H45" i="2"/>
  <c r="H49" i="2"/>
  <c r="H53" i="2"/>
  <c r="H57" i="2"/>
  <c r="H61" i="2"/>
  <c r="H65" i="2"/>
  <c r="H69" i="2"/>
  <c r="H73" i="2"/>
  <c r="H77" i="2"/>
  <c r="H81" i="2"/>
  <c r="H85" i="2"/>
  <c r="H89" i="2"/>
  <c r="H93" i="2"/>
  <c r="H97" i="2"/>
  <c r="H101" i="2"/>
  <c r="H105" i="2"/>
  <c r="H109" i="2"/>
  <c r="H113" i="2"/>
  <c r="H117" i="2"/>
  <c r="H121" i="2"/>
  <c r="H2" i="2"/>
  <c r="H8" i="2"/>
  <c r="H13" i="2"/>
  <c r="H18" i="2"/>
  <c r="H22" i="2"/>
  <c r="H26" i="2"/>
  <c r="H30" i="2"/>
  <c r="H34" i="2"/>
  <c r="H38" i="2"/>
  <c r="H42" i="2"/>
  <c r="H46" i="2"/>
  <c r="H50" i="2"/>
  <c r="H54" i="2"/>
  <c r="H58" i="2"/>
  <c r="H62" i="2"/>
  <c r="H66" i="2"/>
  <c r="H70" i="2"/>
  <c r="H74" i="2"/>
  <c r="H78" i="2"/>
  <c r="H82" i="2"/>
  <c r="H86" i="2"/>
  <c r="H90" i="2"/>
  <c r="H94" i="2"/>
  <c r="H98" i="2"/>
  <c r="H102" i="2"/>
  <c r="H106" i="2"/>
  <c r="H110" i="2"/>
  <c r="H6" i="2"/>
  <c r="H19" i="2"/>
  <c r="H35" i="2"/>
  <c r="H51" i="2"/>
  <c r="H67" i="2"/>
  <c r="H83" i="2"/>
  <c r="H99" i="2"/>
  <c r="H114" i="2"/>
  <c r="H4" i="2"/>
  <c r="H23" i="2"/>
  <c r="H39" i="2"/>
  <c r="H71" i="2"/>
  <c r="H103" i="2"/>
  <c r="H9" i="2"/>
  <c r="H27" i="2"/>
  <c r="H43" i="2"/>
  <c r="H59" i="2"/>
  <c r="H75" i="2"/>
  <c r="H91" i="2"/>
  <c r="H107" i="2"/>
  <c r="H118" i="2"/>
  <c r="H14" i="2"/>
  <c r="H31" i="2"/>
  <c r="H47" i="2"/>
  <c r="H63" i="2"/>
  <c r="H79" i="2"/>
  <c r="H95" i="2"/>
  <c r="H111" i="2"/>
  <c r="H119" i="2"/>
  <c r="H55" i="2"/>
  <c r="H87" i="2"/>
  <c r="H115" i="2"/>
  <c r="H3" i="2"/>
  <c r="H11" i="2"/>
  <c r="H15" i="2"/>
  <c r="H7" i="2"/>
  <c r="R2" i="2" l="1"/>
  <c r="Q3" i="2" s="1"/>
  <c r="J2" i="2"/>
  <c r="J3" i="2"/>
  <c r="F29" i="14" a="1"/>
  <c r="F14" i="14" a="1"/>
  <c r="I3" i="2"/>
  <c r="Z2" i="2"/>
  <c r="Y3" i="2" s="1"/>
  <c r="X2" i="2"/>
  <c r="W3" i="2" s="1"/>
  <c r="L2" i="2"/>
  <c r="K3" i="2" s="1"/>
  <c r="T2" i="2"/>
  <c r="S3" i="2" s="1"/>
  <c r="N2" i="2"/>
  <c r="M3" i="2" s="1"/>
  <c r="P2" i="2"/>
  <c r="O3" i="2" s="1"/>
  <c r="I29" i="14" l="1"/>
  <c r="H35" i="14"/>
  <c r="H33" i="14"/>
  <c r="H31" i="14"/>
  <c r="H42" i="14" s="1"/>
  <c r="H29" i="14"/>
  <c r="G35" i="14"/>
  <c r="G33" i="14"/>
  <c r="G31" i="14"/>
  <c r="G29" i="14"/>
  <c r="F35" i="14"/>
  <c r="F33" i="14"/>
  <c r="F31" i="14"/>
  <c r="F29" i="14"/>
  <c r="I35" i="14"/>
  <c r="I33" i="14"/>
  <c r="I31" i="14"/>
  <c r="L36" i="14"/>
  <c r="L34" i="14"/>
  <c r="L32" i="14"/>
  <c r="L30" i="14"/>
  <c r="K36" i="14"/>
  <c r="K34" i="14"/>
  <c r="K32" i="14"/>
  <c r="K30" i="14"/>
  <c r="J36" i="14"/>
  <c r="J34" i="14"/>
  <c r="J32" i="14"/>
  <c r="J30" i="14"/>
  <c r="M36" i="14"/>
  <c r="M42" i="14" s="1"/>
  <c r="M34" i="14"/>
  <c r="M32" i="14"/>
  <c r="M30" i="14"/>
  <c r="H36" i="14"/>
  <c r="H34" i="14"/>
  <c r="H32" i="14"/>
  <c r="H30" i="14"/>
  <c r="G36" i="14"/>
  <c r="G34" i="14"/>
  <c r="G32" i="14"/>
  <c r="G30" i="14"/>
  <c r="G42" i="14" s="1"/>
  <c r="F36" i="14"/>
  <c r="F34" i="14"/>
  <c r="F32" i="14"/>
  <c r="F30" i="14"/>
  <c r="I36" i="14"/>
  <c r="I34" i="14"/>
  <c r="I32" i="14"/>
  <c r="I42" i="14" s="1"/>
  <c r="I30" i="14"/>
  <c r="L35" i="14"/>
  <c r="L42" i="14" s="1"/>
  <c r="L33" i="14"/>
  <c r="L31" i="14"/>
  <c r="L29" i="14"/>
  <c r="K35" i="14"/>
  <c r="K33" i="14"/>
  <c r="K31" i="14"/>
  <c r="K29" i="14"/>
  <c r="J35" i="14"/>
  <c r="J33" i="14"/>
  <c r="J42" i="14" s="1"/>
  <c r="J31" i="14"/>
  <c r="J29" i="14"/>
  <c r="M35" i="14"/>
  <c r="M33" i="14"/>
  <c r="M31" i="14"/>
  <c r="M29" i="14"/>
  <c r="F42" i="14"/>
  <c r="K42" i="14"/>
  <c r="F14" i="14"/>
  <c r="M14" i="14"/>
  <c r="M15" i="14"/>
  <c r="M17" i="14"/>
  <c r="M19" i="14"/>
  <c r="M21" i="14"/>
  <c r="H14" i="14"/>
  <c r="H15" i="14"/>
  <c r="I16" i="14"/>
  <c r="I18" i="14"/>
  <c r="I20" i="14"/>
  <c r="I14" i="14"/>
  <c r="I15" i="14"/>
  <c r="M16" i="14"/>
  <c r="M18" i="14"/>
  <c r="M20" i="14"/>
  <c r="L14" i="14"/>
  <c r="L15" i="14"/>
  <c r="I17" i="14"/>
  <c r="I19" i="14"/>
  <c r="I21" i="14"/>
  <c r="L21" i="14"/>
  <c r="L19" i="14"/>
  <c r="L17" i="14"/>
  <c r="K21" i="14"/>
  <c r="K19" i="14"/>
  <c r="K17" i="14"/>
  <c r="K15" i="14"/>
  <c r="J21" i="14"/>
  <c r="J19" i="14"/>
  <c r="J17" i="14"/>
  <c r="J15" i="14"/>
  <c r="L18" i="14"/>
  <c r="L16" i="14"/>
  <c r="K18" i="14"/>
  <c r="K14" i="14"/>
  <c r="J18" i="14"/>
  <c r="J14" i="14"/>
  <c r="H18" i="14"/>
  <c r="G18" i="14"/>
  <c r="G14" i="14"/>
  <c r="F18" i="14"/>
  <c r="H21" i="14"/>
  <c r="H19" i="14"/>
  <c r="H17" i="14"/>
  <c r="G21" i="14"/>
  <c r="G19" i="14"/>
  <c r="G17" i="14"/>
  <c r="G15" i="14"/>
  <c r="F21" i="14"/>
  <c r="F19" i="14"/>
  <c r="F17" i="14"/>
  <c r="F15" i="14"/>
  <c r="L20" i="14"/>
  <c r="K20" i="14"/>
  <c r="K16" i="14"/>
  <c r="J20" i="14"/>
  <c r="J16" i="14"/>
  <c r="H20" i="14"/>
  <c r="H16" i="14"/>
  <c r="G20" i="14"/>
  <c r="G16" i="14"/>
  <c r="F20" i="14"/>
  <c r="F16" i="14"/>
  <c r="R3" i="2"/>
  <c r="Q4" i="2" s="1"/>
  <c r="Z3" i="2"/>
  <c r="Y4" i="2" s="1"/>
  <c r="P3" i="2"/>
  <c r="O4" i="2" s="1"/>
  <c r="L3" i="2"/>
  <c r="K4" i="2" s="1"/>
  <c r="N3" i="2"/>
  <c r="M4" i="2" s="1"/>
  <c r="U3" i="2"/>
  <c r="I4" i="2"/>
  <c r="J4" i="2" s="1"/>
  <c r="T3" i="2"/>
  <c r="S4" i="2" s="1"/>
  <c r="X3" i="2"/>
  <c r="W4" i="2" s="1"/>
  <c r="AA3" i="2"/>
  <c r="C43" i="14" a="1"/>
  <c r="F85" i="14" a="1"/>
  <c r="F115" i="14" a="1"/>
  <c r="F105" i="14" a="1"/>
  <c r="F95" i="14" a="1"/>
  <c r="F75" i="14" a="1"/>
  <c r="C46" i="14" l="1"/>
  <c r="C51" i="14"/>
  <c r="C49" i="14"/>
  <c r="C48" i="14"/>
  <c r="C47" i="14"/>
  <c r="C50" i="14"/>
  <c r="C44" i="14"/>
  <c r="C43" i="14"/>
  <c r="C45" i="14"/>
  <c r="F75" i="14"/>
  <c r="F77" i="14"/>
  <c r="F79" i="14"/>
  <c r="F81" i="14"/>
  <c r="G75" i="14"/>
  <c r="G77" i="14"/>
  <c r="G79" i="14"/>
  <c r="G81" i="14"/>
  <c r="H75" i="14"/>
  <c r="H77" i="14"/>
  <c r="H79" i="14"/>
  <c r="H81" i="14"/>
  <c r="I75" i="14"/>
  <c r="I77" i="14"/>
  <c r="I79" i="14"/>
  <c r="I81" i="14"/>
  <c r="F76" i="14"/>
  <c r="F78" i="14"/>
  <c r="F80" i="14"/>
  <c r="F82" i="14"/>
  <c r="G76" i="14"/>
  <c r="G78" i="14"/>
  <c r="G80" i="14"/>
  <c r="G82" i="14"/>
  <c r="H76" i="14"/>
  <c r="H78" i="14"/>
  <c r="H80" i="14"/>
  <c r="H82" i="14"/>
  <c r="I76" i="14"/>
  <c r="I78" i="14"/>
  <c r="I80" i="14"/>
  <c r="I82" i="14"/>
  <c r="J76" i="14"/>
  <c r="J78" i="14"/>
  <c r="J80" i="14"/>
  <c r="J82" i="14"/>
  <c r="K76" i="14"/>
  <c r="K78" i="14"/>
  <c r="K80" i="14"/>
  <c r="K82" i="14"/>
  <c r="L76" i="14"/>
  <c r="L78" i="14"/>
  <c r="L80" i="14"/>
  <c r="L82" i="14"/>
  <c r="M76" i="14"/>
  <c r="M78" i="14"/>
  <c r="M80" i="14"/>
  <c r="M82" i="14"/>
  <c r="J79" i="14"/>
  <c r="K79" i="14"/>
  <c r="L79" i="14"/>
  <c r="M79" i="14"/>
  <c r="M81" i="14"/>
  <c r="J75" i="14"/>
  <c r="K75" i="14"/>
  <c r="L75" i="14"/>
  <c r="M75" i="14"/>
  <c r="J77" i="14"/>
  <c r="K77" i="14"/>
  <c r="L77" i="14"/>
  <c r="M77" i="14"/>
  <c r="J81" i="14"/>
  <c r="K81" i="14"/>
  <c r="L81" i="14"/>
  <c r="I85" i="14"/>
  <c r="I87" i="14"/>
  <c r="I89" i="14"/>
  <c r="I91" i="14"/>
  <c r="F85" i="14"/>
  <c r="F87" i="14"/>
  <c r="F89" i="14"/>
  <c r="F91" i="14"/>
  <c r="G85" i="14"/>
  <c r="G87" i="14"/>
  <c r="G89" i="14"/>
  <c r="G91" i="14"/>
  <c r="H85" i="14"/>
  <c r="H87" i="14"/>
  <c r="H89" i="14"/>
  <c r="H91" i="14"/>
  <c r="M85" i="14"/>
  <c r="M87" i="14"/>
  <c r="M89" i="14"/>
  <c r="M91" i="14"/>
  <c r="J85" i="14"/>
  <c r="J87" i="14"/>
  <c r="J89" i="14"/>
  <c r="J91" i="14"/>
  <c r="K85" i="14"/>
  <c r="K87" i="14"/>
  <c r="I86" i="14"/>
  <c r="I88" i="14"/>
  <c r="I90" i="14"/>
  <c r="I92" i="14"/>
  <c r="F86" i="14"/>
  <c r="F88" i="14"/>
  <c r="F90" i="14"/>
  <c r="F92" i="14"/>
  <c r="G86" i="14"/>
  <c r="G88" i="14"/>
  <c r="G90" i="14"/>
  <c r="G92" i="14"/>
  <c r="H86" i="14"/>
  <c r="H88" i="14"/>
  <c r="H90" i="14"/>
  <c r="H92" i="14"/>
  <c r="M86" i="14"/>
  <c r="M88" i="14"/>
  <c r="M90" i="14"/>
  <c r="M92" i="14"/>
  <c r="J86" i="14"/>
  <c r="J88" i="14"/>
  <c r="J90" i="14"/>
  <c r="J92" i="14"/>
  <c r="K86" i="14"/>
  <c r="K88" i="14"/>
  <c r="K90" i="14"/>
  <c r="K92" i="14"/>
  <c r="L86" i="14"/>
  <c r="L88" i="14"/>
  <c r="L90" i="14"/>
  <c r="L92" i="14"/>
  <c r="K89" i="14"/>
  <c r="L89" i="14"/>
  <c r="L91" i="14"/>
  <c r="L85" i="14"/>
  <c r="L87" i="14"/>
  <c r="K91" i="14"/>
  <c r="I95" i="14"/>
  <c r="I97" i="14"/>
  <c r="I99" i="14"/>
  <c r="I101" i="14"/>
  <c r="F95" i="14"/>
  <c r="F97" i="14"/>
  <c r="F99" i="14"/>
  <c r="F101" i="14"/>
  <c r="G95" i="14"/>
  <c r="G97" i="14"/>
  <c r="G99" i="14"/>
  <c r="G101" i="14"/>
  <c r="H95" i="14"/>
  <c r="H97" i="14"/>
  <c r="H99" i="14"/>
  <c r="H101" i="14"/>
  <c r="I96" i="14"/>
  <c r="I98" i="14"/>
  <c r="I100" i="14"/>
  <c r="I102" i="14"/>
  <c r="F96" i="14"/>
  <c r="F98" i="14"/>
  <c r="F100" i="14"/>
  <c r="F102" i="14"/>
  <c r="G96" i="14"/>
  <c r="G98" i="14"/>
  <c r="G100" i="14"/>
  <c r="G102" i="14"/>
  <c r="H96" i="14"/>
  <c r="H98" i="14"/>
  <c r="H100" i="14"/>
  <c r="H102" i="14"/>
  <c r="M96" i="14"/>
  <c r="M98" i="14"/>
  <c r="M100" i="14"/>
  <c r="M102" i="14"/>
  <c r="J96" i="14"/>
  <c r="J98" i="14"/>
  <c r="J100" i="14"/>
  <c r="J102" i="14"/>
  <c r="K96" i="14"/>
  <c r="K98" i="14"/>
  <c r="K100" i="14"/>
  <c r="K102" i="14"/>
  <c r="L96" i="14"/>
  <c r="L98" i="14"/>
  <c r="L100" i="14"/>
  <c r="L102" i="14"/>
  <c r="M99" i="14"/>
  <c r="J99" i="14"/>
  <c r="L99" i="14"/>
  <c r="J101" i="14"/>
  <c r="L101" i="14"/>
  <c r="M95" i="14"/>
  <c r="J95" i="14"/>
  <c r="K95" i="14"/>
  <c r="L95" i="14"/>
  <c r="M97" i="14"/>
  <c r="J97" i="14"/>
  <c r="K97" i="14"/>
  <c r="L97" i="14"/>
  <c r="K99" i="14"/>
  <c r="M101" i="14"/>
  <c r="K101" i="14"/>
  <c r="F105" i="14"/>
  <c r="F107" i="14"/>
  <c r="F109" i="14"/>
  <c r="F111" i="14"/>
  <c r="G105" i="14"/>
  <c r="G107" i="14"/>
  <c r="G109" i="14"/>
  <c r="G111" i="14"/>
  <c r="H105" i="14"/>
  <c r="H107" i="14"/>
  <c r="H109" i="14"/>
  <c r="H111" i="14"/>
  <c r="I105" i="14"/>
  <c r="I107" i="14"/>
  <c r="I109" i="14"/>
  <c r="I111" i="14"/>
  <c r="J105" i="14"/>
  <c r="J107" i="14"/>
  <c r="J109" i="14"/>
  <c r="J111" i="14"/>
  <c r="K105" i="14"/>
  <c r="K107" i="14"/>
  <c r="K109" i="14"/>
  <c r="K111" i="14"/>
  <c r="L105" i="14"/>
  <c r="L107" i="14"/>
  <c r="L109" i="14"/>
  <c r="L111" i="14"/>
  <c r="M105" i="14"/>
  <c r="M107" i="14"/>
  <c r="M109" i="14"/>
  <c r="M111" i="14"/>
  <c r="F106" i="14"/>
  <c r="F108" i="14"/>
  <c r="F110" i="14"/>
  <c r="F112" i="14"/>
  <c r="G106" i="14"/>
  <c r="G108" i="14"/>
  <c r="G110" i="14"/>
  <c r="G112" i="14"/>
  <c r="H106" i="14"/>
  <c r="H108" i="14"/>
  <c r="H110" i="14"/>
  <c r="H112" i="14"/>
  <c r="I106" i="14"/>
  <c r="I108" i="14"/>
  <c r="I110" i="14"/>
  <c r="I112" i="14"/>
  <c r="J106" i="14"/>
  <c r="J108" i="14"/>
  <c r="J110" i="14"/>
  <c r="J112" i="14"/>
  <c r="K106" i="14"/>
  <c r="K108" i="14"/>
  <c r="K110" i="14"/>
  <c r="K112" i="14"/>
  <c r="L106" i="14"/>
  <c r="L108" i="14"/>
  <c r="L110" i="14"/>
  <c r="L112" i="14"/>
  <c r="M106" i="14"/>
  <c r="M108" i="14"/>
  <c r="M110" i="14"/>
  <c r="M112" i="14"/>
  <c r="F115" i="14"/>
  <c r="F117" i="14"/>
  <c r="F119" i="14"/>
  <c r="F121" i="14"/>
  <c r="G115" i="14"/>
  <c r="G117" i="14"/>
  <c r="G119" i="14"/>
  <c r="G121" i="14"/>
  <c r="H115" i="14"/>
  <c r="H117" i="14"/>
  <c r="H119" i="14"/>
  <c r="H121" i="14"/>
  <c r="I115" i="14"/>
  <c r="I117" i="14"/>
  <c r="I119" i="14"/>
  <c r="I121" i="14"/>
  <c r="J115" i="14"/>
  <c r="J117" i="14"/>
  <c r="J119" i="14"/>
  <c r="J121" i="14"/>
  <c r="K115" i="14"/>
  <c r="K117" i="14"/>
  <c r="K119" i="14"/>
  <c r="K121" i="14"/>
  <c r="L115" i="14"/>
  <c r="L117" i="14"/>
  <c r="L119" i="14"/>
  <c r="L121" i="14"/>
  <c r="M115" i="14"/>
  <c r="M117" i="14"/>
  <c r="M119" i="14"/>
  <c r="M121" i="14"/>
  <c r="F116" i="14"/>
  <c r="F118" i="14"/>
  <c r="F120" i="14"/>
  <c r="F122" i="14"/>
  <c r="G116" i="14"/>
  <c r="G118" i="14"/>
  <c r="G120" i="14"/>
  <c r="G122" i="14"/>
  <c r="H116" i="14"/>
  <c r="H118" i="14"/>
  <c r="H120" i="14"/>
  <c r="H122" i="14"/>
  <c r="I116" i="14"/>
  <c r="I118" i="14"/>
  <c r="I120" i="14"/>
  <c r="I122" i="14"/>
  <c r="J116" i="14"/>
  <c r="J118" i="14"/>
  <c r="J120" i="14"/>
  <c r="J122" i="14"/>
  <c r="K116" i="14"/>
  <c r="K118" i="14"/>
  <c r="K120" i="14"/>
  <c r="K122" i="14"/>
  <c r="L116" i="14"/>
  <c r="L118" i="14"/>
  <c r="L120" i="14"/>
  <c r="L122" i="14"/>
  <c r="M116" i="14"/>
  <c r="M118" i="14"/>
  <c r="M120" i="14"/>
  <c r="M122" i="14"/>
  <c r="R4" i="2"/>
  <c r="Q5" i="2" s="1"/>
  <c r="Z4" i="2"/>
  <c r="Y5" i="2" s="1"/>
  <c r="P4" i="2"/>
  <c r="O5" i="2" s="1"/>
  <c r="T4" i="2"/>
  <c r="S5" i="2" s="1"/>
  <c r="X4" i="2"/>
  <c r="W5" i="2" s="1"/>
  <c r="N4" i="2"/>
  <c r="M5" i="2" s="1"/>
  <c r="I5" i="2"/>
  <c r="J5" i="2" s="1"/>
  <c r="AA4" i="2"/>
  <c r="L4" i="2"/>
  <c r="K5" i="2" s="1"/>
  <c r="U4" i="2"/>
  <c r="D44" i="14" a="1"/>
  <c r="M130" i="14" l="1"/>
  <c r="L131" i="14"/>
  <c r="L130" i="14"/>
  <c r="K131" i="14"/>
  <c r="K130" i="14"/>
  <c r="J127" i="14"/>
  <c r="J130" i="14"/>
  <c r="I131" i="14"/>
  <c r="I130" i="14"/>
  <c r="M129" i="14"/>
  <c r="M128" i="14"/>
  <c r="L129" i="14"/>
  <c r="L128" i="14"/>
  <c r="K129" i="14"/>
  <c r="K128" i="14"/>
  <c r="J133" i="14"/>
  <c r="J128" i="14"/>
  <c r="I129" i="14"/>
  <c r="I128" i="14"/>
  <c r="M131" i="14"/>
  <c r="M127" i="14"/>
  <c r="M126" i="14"/>
  <c r="L127" i="14"/>
  <c r="L126" i="14"/>
  <c r="K127" i="14"/>
  <c r="K126" i="14"/>
  <c r="J131" i="14"/>
  <c r="J126" i="14"/>
  <c r="I127" i="14"/>
  <c r="I126" i="14"/>
  <c r="M133" i="14"/>
  <c r="M132" i="14"/>
  <c r="L133" i="14"/>
  <c r="L132" i="14"/>
  <c r="K133" i="14"/>
  <c r="K132" i="14"/>
  <c r="J129" i="14"/>
  <c r="J132" i="14"/>
  <c r="I133" i="14"/>
  <c r="I132" i="14"/>
  <c r="E45" i="14"/>
  <c r="E49" i="14"/>
  <c r="E47" i="14"/>
  <c r="D48" i="14"/>
  <c r="D51" i="14"/>
  <c r="D44" i="14"/>
  <c r="E48" i="14"/>
  <c r="D46" i="14"/>
  <c r="D49" i="14"/>
  <c r="E44" i="14"/>
  <c r="D50" i="14"/>
  <c r="E46" i="14"/>
  <c r="E51" i="14"/>
  <c r="D45" i="14"/>
  <c r="D47" i="14"/>
  <c r="E50" i="14"/>
  <c r="R5" i="2"/>
  <c r="Q6" i="2" s="1"/>
  <c r="Z5" i="2"/>
  <c r="Y6" i="2" s="1"/>
  <c r="P5" i="2"/>
  <c r="O6" i="2" s="1"/>
  <c r="N5" i="2"/>
  <c r="M6" i="2" s="1"/>
  <c r="T5" i="2"/>
  <c r="S6" i="2" s="1"/>
  <c r="X5" i="2"/>
  <c r="W6" i="2" s="1"/>
  <c r="I6" i="2"/>
  <c r="J6" i="2" s="1"/>
  <c r="L5" i="2"/>
  <c r="K6" i="2" s="1"/>
  <c r="AA5" i="2"/>
  <c r="U5" i="2"/>
  <c r="I7" i="2" l="1"/>
  <c r="J7" i="2" s="1"/>
  <c r="R6" i="2"/>
  <c r="Q7" i="2" s="1"/>
  <c r="Z6" i="2"/>
  <c r="Y7" i="2" s="1"/>
  <c r="P6" i="2"/>
  <c r="O7" i="2" s="1"/>
  <c r="T6" i="2"/>
  <c r="S7" i="2" s="1"/>
  <c r="X6" i="2"/>
  <c r="W7" i="2" s="1"/>
  <c r="AA6" i="2"/>
  <c r="L6" i="2"/>
  <c r="K7" i="2" s="1"/>
  <c r="N6" i="2"/>
  <c r="M7" i="2" s="1"/>
  <c r="U6" i="2"/>
  <c r="I8" i="2" l="1"/>
  <c r="J8" i="2" s="1"/>
  <c r="R7" i="2"/>
  <c r="Q8" i="2" s="1"/>
  <c r="Z7" i="2"/>
  <c r="Y8" i="2" s="1"/>
  <c r="P7" i="2"/>
  <c r="O8" i="2" s="1"/>
  <c r="T7" i="2"/>
  <c r="S8" i="2" s="1"/>
  <c r="X7" i="2"/>
  <c r="W8" i="2" s="1"/>
  <c r="AA7" i="2"/>
  <c r="N7" i="2"/>
  <c r="M8" i="2" s="1"/>
  <c r="L7" i="2"/>
  <c r="K8" i="2" s="1"/>
  <c r="U7" i="2"/>
  <c r="R8" i="2" l="1"/>
  <c r="Q9" i="2" s="1"/>
  <c r="I9" i="2"/>
  <c r="J9" i="2" s="1"/>
  <c r="Z8" i="2"/>
  <c r="Y9" i="2" s="1"/>
  <c r="T8" i="2"/>
  <c r="S9" i="2" s="1"/>
  <c r="P8" i="2"/>
  <c r="O9" i="2" s="1"/>
  <c r="X8" i="2"/>
  <c r="W9" i="2" s="1"/>
  <c r="AA8" i="2"/>
  <c r="L8" i="2"/>
  <c r="K9" i="2" s="1"/>
  <c r="N8" i="2"/>
  <c r="M9" i="2" s="1"/>
  <c r="U8" i="2"/>
  <c r="I10" i="2" l="1"/>
  <c r="J10" i="2" s="1"/>
  <c r="R9" i="2"/>
  <c r="Q10" i="2" s="1"/>
  <c r="Z9" i="2"/>
  <c r="Y10" i="2" s="1"/>
  <c r="T9" i="2"/>
  <c r="S10" i="2" s="1"/>
  <c r="AA9" i="2"/>
  <c r="L9" i="2"/>
  <c r="K10" i="2" s="1"/>
  <c r="X9" i="2"/>
  <c r="W10" i="2" s="1"/>
  <c r="N9" i="2"/>
  <c r="M10" i="2" s="1"/>
  <c r="P9" i="2"/>
  <c r="O10" i="2" s="1"/>
  <c r="U9" i="2"/>
  <c r="R10" i="2" l="1"/>
  <c r="Q11" i="2" s="1"/>
  <c r="I11" i="2"/>
  <c r="J11" i="2" s="1"/>
  <c r="Z10" i="2"/>
  <c r="Y11" i="2" s="1"/>
  <c r="T10" i="2"/>
  <c r="S11" i="2" s="1"/>
  <c r="L10" i="2"/>
  <c r="K11" i="2" s="1"/>
  <c r="X10" i="2"/>
  <c r="W11" i="2" s="1"/>
  <c r="N10" i="2"/>
  <c r="M11" i="2" s="1"/>
  <c r="AA10" i="2"/>
  <c r="P10" i="2"/>
  <c r="O11" i="2" s="1"/>
  <c r="U10" i="2"/>
  <c r="I12" i="2" l="1"/>
  <c r="J12" i="2" s="1"/>
  <c r="R11" i="2"/>
  <c r="Q12" i="2" s="1"/>
  <c r="Z11" i="2"/>
  <c r="Y12" i="2" s="1"/>
  <c r="L11" i="2"/>
  <c r="K12" i="2" s="1"/>
  <c r="X11" i="2"/>
  <c r="W12" i="2" s="1"/>
  <c r="N11" i="2"/>
  <c r="M12" i="2" s="1"/>
  <c r="AA11" i="2"/>
  <c r="P11" i="2"/>
  <c r="O12" i="2" s="1"/>
  <c r="T11" i="2"/>
  <c r="S12" i="2" s="1"/>
  <c r="U11" i="2"/>
  <c r="R12" i="2" l="1"/>
  <c r="Q13" i="2" s="1"/>
  <c r="I13" i="2"/>
  <c r="J13" i="2" s="1"/>
  <c r="Z12" i="2"/>
  <c r="Y13" i="2" s="1"/>
  <c r="L12" i="2"/>
  <c r="K13" i="2" s="1"/>
  <c r="N12" i="2"/>
  <c r="M13" i="2" s="1"/>
  <c r="X12" i="2"/>
  <c r="W13" i="2" s="1"/>
  <c r="P12" i="2"/>
  <c r="O13" i="2" s="1"/>
  <c r="AA12" i="2"/>
  <c r="T12" i="2"/>
  <c r="S13" i="2" s="1"/>
  <c r="U12" i="2"/>
  <c r="I14" i="2" l="1"/>
  <c r="J14" i="2" s="1"/>
  <c r="R13" i="2"/>
  <c r="Q14" i="2" s="1"/>
  <c r="Z13" i="2"/>
  <c r="Y14" i="2" s="1"/>
  <c r="X13" i="2"/>
  <c r="W14" i="2" s="1"/>
  <c r="N13" i="2"/>
  <c r="M14" i="2" s="1"/>
  <c r="L13" i="2"/>
  <c r="K14" i="2" s="1"/>
  <c r="AA13" i="2"/>
  <c r="P13" i="2"/>
  <c r="O14" i="2" s="1"/>
  <c r="T13" i="2"/>
  <c r="S14" i="2" s="1"/>
  <c r="U13" i="2"/>
  <c r="R14" i="2" l="1"/>
  <c r="Q15" i="2" s="1"/>
  <c r="I15" i="2"/>
  <c r="J15" i="2" s="1"/>
  <c r="Z14" i="2"/>
  <c r="Y15" i="2" s="1"/>
  <c r="N14" i="2"/>
  <c r="M15" i="2" s="1"/>
  <c r="X14" i="2"/>
  <c r="W15" i="2" s="1"/>
  <c r="P14" i="2"/>
  <c r="O15" i="2" s="1"/>
  <c r="T14" i="2"/>
  <c r="S15" i="2" s="1"/>
  <c r="AA14" i="2"/>
  <c r="L14" i="2"/>
  <c r="K15" i="2" s="1"/>
  <c r="I16" i="2" l="1"/>
  <c r="J16" i="2" s="1"/>
  <c r="R15" i="2"/>
  <c r="Q16" i="2" s="1"/>
  <c r="Z15" i="2"/>
  <c r="Y16" i="2" s="1"/>
  <c r="P15" i="2"/>
  <c r="O16" i="2" s="1"/>
  <c r="N15" i="2"/>
  <c r="M16" i="2" s="1"/>
  <c r="T15" i="2"/>
  <c r="S16" i="2" s="1"/>
  <c r="AA15" i="2"/>
  <c r="L15" i="2"/>
  <c r="K16" i="2" s="1"/>
  <c r="X15" i="2"/>
  <c r="W16" i="2" s="1"/>
  <c r="U14" i="2"/>
  <c r="I17" i="2" l="1"/>
  <c r="J17" i="2" s="1"/>
  <c r="R16" i="2"/>
  <c r="Q17" i="2" s="1"/>
  <c r="Z16" i="2"/>
  <c r="Y17" i="2" s="1"/>
  <c r="T16" i="2"/>
  <c r="S17" i="2" s="1"/>
  <c r="P16" i="2"/>
  <c r="O17" i="2" s="1"/>
  <c r="AA16" i="2"/>
  <c r="X16" i="2"/>
  <c r="W17" i="2" s="1"/>
  <c r="L16" i="2"/>
  <c r="K17" i="2" s="1"/>
  <c r="N16" i="2"/>
  <c r="M17" i="2" s="1"/>
  <c r="U15" i="2"/>
  <c r="I18" i="2" l="1"/>
  <c r="J18" i="2" s="1"/>
  <c r="R17" i="2"/>
  <c r="Q18" i="2" s="1"/>
  <c r="Z17" i="2"/>
  <c r="Y18" i="2" s="1"/>
  <c r="P17" i="2"/>
  <c r="O18" i="2" s="1"/>
  <c r="T17" i="2"/>
  <c r="S18" i="2" s="1"/>
  <c r="AA17" i="2"/>
  <c r="L17" i="2"/>
  <c r="K18" i="2" s="1"/>
  <c r="X17" i="2"/>
  <c r="W18" i="2" s="1"/>
  <c r="N17" i="2"/>
  <c r="M18" i="2" s="1"/>
  <c r="U16" i="2"/>
  <c r="R18" i="2" l="1"/>
  <c r="Q19" i="2" s="1"/>
  <c r="I19" i="2"/>
  <c r="J19" i="2" s="1"/>
  <c r="Z18" i="2"/>
  <c r="Y19" i="2" s="1"/>
  <c r="T18" i="2"/>
  <c r="S19" i="2" s="1"/>
  <c r="L18" i="2"/>
  <c r="K19" i="2" s="1"/>
  <c r="N18" i="2"/>
  <c r="M19" i="2" s="1"/>
  <c r="X18" i="2"/>
  <c r="W19" i="2" s="1"/>
  <c r="P18" i="2"/>
  <c r="O19" i="2" s="1"/>
  <c r="AA18" i="2"/>
  <c r="I20" i="2" l="1"/>
  <c r="J20" i="2" s="1"/>
  <c r="R19" i="2"/>
  <c r="Q20" i="2" s="1"/>
  <c r="Z19" i="2"/>
  <c r="Y20" i="2" s="1"/>
  <c r="T19" i="2"/>
  <c r="S20" i="2" s="1"/>
  <c r="N19" i="2"/>
  <c r="M20" i="2" s="1"/>
  <c r="X19" i="2"/>
  <c r="W20" i="2" s="1"/>
  <c r="L19" i="2"/>
  <c r="K20" i="2" s="1"/>
  <c r="U19" i="2"/>
  <c r="P19" i="2"/>
  <c r="O20" i="2" s="1"/>
  <c r="AA19" i="2"/>
  <c r="U17" i="2"/>
  <c r="R20" i="2" l="1"/>
  <c r="Q21" i="2" s="1"/>
  <c r="I21" i="2"/>
  <c r="J21" i="2" s="1"/>
  <c r="Z20" i="2"/>
  <c r="Y21" i="2" s="1"/>
  <c r="T20" i="2"/>
  <c r="S21" i="2" s="1"/>
  <c r="L20" i="2"/>
  <c r="K21" i="2" s="1"/>
  <c r="X20" i="2"/>
  <c r="W21" i="2" s="1"/>
  <c r="N20" i="2"/>
  <c r="M21" i="2" s="1"/>
  <c r="P20" i="2"/>
  <c r="O21" i="2" s="1"/>
  <c r="U20" i="2"/>
  <c r="AA20" i="2"/>
  <c r="U18" i="2"/>
  <c r="I22" i="2" l="1"/>
  <c r="J22" i="2" s="1"/>
  <c r="R21" i="2"/>
  <c r="Q22" i="2" s="1"/>
  <c r="Z21" i="2"/>
  <c r="Y22" i="2" s="1"/>
  <c r="T21" i="2"/>
  <c r="S22" i="2" s="1"/>
  <c r="L21" i="2"/>
  <c r="K22" i="2" s="1"/>
  <c r="N21" i="2"/>
  <c r="M22" i="2" s="1"/>
  <c r="X21" i="2"/>
  <c r="W22" i="2" s="1"/>
  <c r="P21" i="2"/>
  <c r="O22" i="2" s="1"/>
  <c r="U21" i="2"/>
  <c r="AA21" i="2"/>
  <c r="R22" i="2" l="1"/>
  <c r="Q23" i="2" s="1"/>
  <c r="I23" i="2"/>
  <c r="J23" i="2" s="1"/>
  <c r="Z22" i="2"/>
  <c r="Y23" i="2" s="1"/>
  <c r="N22" i="2"/>
  <c r="M23" i="2" s="1"/>
  <c r="P22" i="2"/>
  <c r="O23" i="2" s="1"/>
  <c r="X22" i="2"/>
  <c r="W23" i="2" s="1"/>
  <c r="L22" i="2"/>
  <c r="K23" i="2" s="1"/>
  <c r="T22" i="2"/>
  <c r="S23" i="2" s="1"/>
  <c r="U22" i="2"/>
  <c r="AA22" i="2"/>
  <c r="I24" i="2" l="1"/>
  <c r="J24" i="2" s="1"/>
  <c r="R23" i="2"/>
  <c r="Q24" i="2" s="1"/>
  <c r="Z23" i="2"/>
  <c r="Y24" i="2" s="1"/>
  <c r="N23" i="2"/>
  <c r="M24" i="2" s="1"/>
  <c r="P23" i="2"/>
  <c r="O24" i="2" s="1"/>
  <c r="T23" i="2"/>
  <c r="S24" i="2" s="1"/>
  <c r="X23" i="2"/>
  <c r="W24" i="2" s="1"/>
  <c r="L23" i="2"/>
  <c r="K24" i="2" s="1"/>
  <c r="U23" i="2"/>
  <c r="AA23" i="2"/>
  <c r="R24" i="2" l="1"/>
  <c r="Q25" i="2" s="1"/>
  <c r="I25" i="2"/>
  <c r="J25" i="2" s="1"/>
  <c r="Z24" i="2"/>
  <c r="Y25" i="2" s="1"/>
  <c r="N24" i="2"/>
  <c r="M25" i="2" s="1"/>
  <c r="P24" i="2"/>
  <c r="O25" i="2" s="1"/>
  <c r="T24" i="2"/>
  <c r="S25" i="2" s="1"/>
  <c r="X24" i="2"/>
  <c r="W25" i="2" s="1"/>
  <c r="L24" i="2"/>
  <c r="K25" i="2" s="1"/>
  <c r="U24" i="2"/>
  <c r="AA24" i="2"/>
  <c r="I26" i="2" l="1"/>
  <c r="J26" i="2" s="1"/>
  <c r="R25" i="2"/>
  <c r="Q26" i="2" s="1"/>
  <c r="Z25" i="2"/>
  <c r="Y26" i="2" s="1"/>
  <c r="N25" i="2"/>
  <c r="M26" i="2" s="1"/>
  <c r="P25" i="2"/>
  <c r="O26" i="2" s="1"/>
  <c r="T25" i="2"/>
  <c r="S26" i="2" s="1"/>
  <c r="X25" i="2"/>
  <c r="W26" i="2" s="1"/>
  <c r="L25" i="2"/>
  <c r="K26" i="2" s="1"/>
  <c r="U25" i="2"/>
  <c r="AA25" i="2"/>
  <c r="H10" i="1"/>
  <c r="I27" i="2" l="1"/>
  <c r="J27" i="2" s="1"/>
  <c r="R26" i="2"/>
  <c r="Q27" i="2" s="1"/>
  <c r="Z26" i="2"/>
  <c r="Y27" i="2" s="1"/>
  <c r="I10" i="1"/>
  <c r="P26" i="2"/>
  <c r="O27" i="2" s="1"/>
  <c r="T26" i="2"/>
  <c r="S27" i="2" s="1"/>
  <c r="U26" i="2"/>
  <c r="X26" i="2"/>
  <c r="W27" i="2" s="1"/>
  <c r="N26" i="2"/>
  <c r="M27" i="2" s="1"/>
  <c r="L26" i="2"/>
  <c r="K27" i="2" s="1"/>
  <c r="AA26" i="2"/>
  <c r="R27" i="2" l="1"/>
  <c r="Q28" i="2" s="1"/>
  <c r="I28" i="2"/>
  <c r="J28" i="2" s="1"/>
  <c r="Z27" i="2"/>
  <c r="Y28" i="2" s="1"/>
  <c r="P27" i="2"/>
  <c r="O28" i="2" s="1"/>
  <c r="T27" i="2"/>
  <c r="S28" i="2" s="1"/>
  <c r="N27" i="2"/>
  <c r="M28" i="2" s="1"/>
  <c r="L27" i="2"/>
  <c r="K28" i="2" s="1"/>
  <c r="X27" i="2"/>
  <c r="W28" i="2" s="1"/>
  <c r="U27" i="2"/>
  <c r="AA27" i="2"/>
  <c r="H16" i="1"/>
  <c r="H17" i="1"/>
  <c r="H12" i="1"/>
  <c r="H15" i="1"/>
  <c r="H11" i="1"/>
  <c r="H14" i="1"/>
  <c r="H13" i="1"/>
  <c r="I29" i="2" l="1"/>
  <c r="J29" i="2" s="1"/>
  <c r="R28" i="2"/>
  <c r="Q29" i="2" s="1"/>
  <c r="Z28" i="2"/>
  <c r="Y29" i="2" s="1"/>
  <c r="I11" i="1"/>
  <c r="J11" i="1"/>
  <c r="K10" i="1"/>
  <c r="J10" i="1"/>
  <c r="J15" i="1"/>
  <c r="I15" i="1"/>
  <c r="I12" i="1"/>
  <c r="J12" i="1"/>
  <c r="I13" i="1"/>
  <c r="J13" i="1"/>
  <c r="I17" i="1"/>
  <c r="I16" i="1"/>
  <c r="J14" i="1"/>
  <c r="I14" i="1"/>
  <c r="P28" i="2"/>
  <c r="O29" i="2" s="1"/>
  <c r="T28" i="2"/>
  <c r="S29" i="2" s="1"/>
  <c r="U28" i="2"/>
  <c r="L28" i="2"/>
  <c r="K29" i="2" s="1"/>
  <c r="N28" i="2"/>
  <c r="M29" i="2" s="1"/>
  <c r="X28" i="2"/>
  <c r="W29" i="2" s="1"/>
  <c r="AA28" i="2"/>
  <c r="I30" i="2" l="1"/>
  <c r="J30" i="2" s="1"/>
  <c r="R29" i="2"/>
  <c r="Q30" i="2" s="1"/>
  <c r="Z29" i="2"/>
  <c r="Y30" i="2" s="1"/>
  <c r="H21" i="1"/>
  <c r="G21" i="1" s="1"/>
  <c r="H18" i="1"/>
  <c r="G18" i="1" s="1"/>
  <c r="H19" i="1"/>
  <c r="L29" i="2"/>
  <c r="K30" i="2" s="1"/>
  <c r="T29" i="2"/>
  <c r="S30" i="2" s="1"/>
  <c r="X29" i="2"/>
  <c r="W30" i="2" s="1"/>
  <c r="N29" i="2"/>
  <c r="M30" i="2" s="1"/>
  <c r="P29" i="2"/>
  <c r="O30" i="2" s="1"/>
  <c r="U29" i="2"/>
  <c r="AA29" i="2"/>
  <c r="R30" i="2" l="1"/>
  <c r="Q31" i="2" s="1"/>
  <c r="I31" i="2"/>
  <c r="J31" i="2" s="1"/>
  <c r="Z30" i="2"/>
  <c r="Y31" i="2" s="1"/>
  <c r="G19" i="1"/>
  <c r="H20" i="1"/>
  <c r="G20" i="1" s="1"/>
  <c r="H22" i="1"/>
  <c r="N30" i="2"/>
  <c r="M31" i="2" s="1"/>
  <c r="L30" i="2"/>
  <c r="K31" i="2" s="1"/>
  <c r="X30" i="2"/>
  <c r="W31" i="2" s="1"/>
  <c r="U30" i="2"/>
  <c r="P30" i="2"/>
  <c r="O31" i="2" s="1"/>
  <c r="T30" i="2"/>
  <c r="S31" i="2" s="1"/>
  <c r="AA30" i="2"/>
  <c r="I32" i="2" l="1"/>
  <c r="J32" i="2" s="1"/>
  <c r="R31" i="2"/>
  <c r="Q32" i="2" s="1"/>
  <c r="Z31" i="2"/>
  <c r="Y32" i="2" s="1"/>
  <c r="I22" i="1"/>
  <c r="P31" i="2"/>
  <c r="O32" i="2" s="1"/>
  <c r="N31" i="2"/>
  <c r="M32" i="2" s="1"/>
  <c r="X31" i="2"/>
  <c r="W32" i="2" s="1"/>
  <c r="L31" i="2"/>
  <c r="K32" i="2" s="1"/>
  <c r="U31" i="2"/>
  <c r="T31" i="2"/>
  <c r="S32" i="2" s="1"/>
  <c r="AA31" i="2"/>
  <c r="R32" i="2" l="1"/>
  <c r="Q33" i="2" s="1"/>
  <c r="I33" i="2"/>
  <c r="J33" i="2" s="1"/>
  <c r="Z32" i="2"/>
  <c r="Y33" i="2" s="1"/>
  <c r="T32" i="2"/>
  <c r="S33" i="2" s="1"/>
  <c r="P32" i="2"/>
  <c r="O33" i="2" s="1"/>
  <c r="N32" i="2"/>
  <c r="M33" i="2" s="1"/>
  <c r="L32" i="2"/>
  <c r="K33" i="2" s="1"/>
  <c r="X32" i="2"/>
  <c r="W33" i="2" s="1"/>
  <c r="U32" i="2"/>
  <c r="AA32" i="2"/>
  <c r="I34" i="2" l="1"/>
  <c r="J34" i="2" s="1"/>
  <c r="R33" i="2"/>
  <c r="Q34" i="2" s="1"/>
  <c r="Z33" i="2"/>
  <c r="Y34" i="2" s="1"/>
  <c r="T33" i="2"/>
  <c r="S34" i="2" s="1"/>
  <c r="P33" i="2"/>
  <c r="O34" i="2" s="1"/>
  <c r="N33" i="2"/>
  <c r="M34" i="2" s="1"/>
  <c r="L33" i="2"/>
  <c r="K34" i="2" s="1"/>
  <c r="X33" i="2"/>
  <c r="W34" i="2" s="1"/>
  <c r="U33" i="2"/>
  <c r="AA33" i="2"/>
  <c r="I35" i="2" l="1"/>
  <c r="J35" i="2" s="1"/>
  <c r="R34" i="2"/>
  <c r="Q35" i="2" s="1"/>
  <c r="Z34" i="2"/>
  <c r="Y35" i="2" s="1"/>
  <c r="T34" i="2"/>
  <c r="S35" i="2" s="1"/>
  <c r="P34" i="2"/>
  <c r="O35" i="2" s="1"/>
  <c r="N34" i="2"/>
  <c r="M35" i="2" s="1"/>
  <c r="U34" i="2"/>
  <c r="X34" i="2"/>
  <c r="W35" i="2" s="1"/>
  <c r="L34" i="2"/>
  <c r="K35" i="2" s="1"/>
  <c r="AA34" i="2"/>
  <c r="I36" i="2" l="1"/>
  <c r="J36" i="2" s="1"/>
  <c r="R35" i="2"/>
  <c r="Q36" i="2" s="1"/>
  <c r="Z35" i="2"/>
  <c r="Y36" i="2" s="1"/>
  <c r="T35" i="2"/>
  <c r="S36" i="2" s="1"/>
  <c r="P35" i="2"/>
  <c r="O36" i="2" s="1"/>
  <c r="L35" i="2"/>
  <c r="K36" i="2" s="1"/>
  <c r="X35" i="2"/>
  <c r="W36" i="2" s="1"/>
  <c r="N35" i="2"/>
  <c r="M36" i="2" s="1"/>
  <c r="U35" i="2"/>
  <c r="AA35" i="2"/>
  <c r="R36" i="2" l="1"/>
  <c r="Q37" i="2" s="1"/>
  <c r="I37" i="2"/>
  <c r="J37" i="2" s="1"/>
  <c r="Z36" i="2"/>
  <c r="Y37" i="2" s="1"/>
  <c r="L36" i="2"/>
  <c r="K37" i="2" s="1"/>
  <c r="T36" i="2"/>
  <c r="S37" i="2" s="1"/>
  <c r="P36" i="2"/>
  <c r="O37" i="2" s="1"/>
  <c r="X36" i="2"/>
  <c r="W37" i="2" s="1"/>
  <c r="U36" i="2"/>
  <c r="N36" i="2"/>
  <c r="M37" i="2" s="1"/>
  <c r="AA36" i="2"/>
  <c r="R37" i="2" l="1"/>
  <c r="Q38" i="2" s="1"/>
  <c r="I38" i="2"/>
  <c r="J38" i="2" s="1"/>
  <c r="Z37" i="2"/>
  <c r="Y38" i="2" s="1"/>
  <c r="X37" i="2"/>
  <c r="W38" i="2" s="1"/>
  <c r="N37" i="2"/>
  <c r="M38" i="2" s="1"/>
  <c r="L37" i="2"/>
  <c r="K38" i="2" s="1"/>
  <c r="T37" i="2"/>
  <c r="S38" i="2" s="1"/>
  <c r="P37" i="2"/>
  <c r="O38" i="2" s="1"/>
  <c r="U37" i="2"/>
  <c r="AA37" i="2"/>
  <c r="R38" i="2" l="1"/>
  <c r="Q39" i="2" s="1"/>
  <c r="I39" i="2"/>
  <c r="J39" i="2" s="1"/>
  <c r="Z38" i="2"/>
  <c r="Y39" i="2" s="1"/>
  <c r="N38" i="2"/>
  <c r="M39" i="2" s="1"/>
  <c r="P38" i="2"/>
  <c r="O39" i="2" s="1"/>
  <c r="L38" i="2"/>
  <c r="K39" i="2" s="1"/>
  <c r="X38" i="2"/>
  <c r="W39" i="2" s="1"/>
  <c r="T38" i="2"/>
  <c r="S39" i="2" s="1"/>
  <c r="U38" i="2"/>
  <c r="AA38" i="2"/>
  <c r="R39" i="2" l="1"/>
  <c r="Q40" i="2" s="1"/>
  <c r="Z39" i="2"/>
  <c r="Y40" i="2" s="1"/>
  <c r="I40" i="2"/>
  <c r="J40" i="2" s="1"/>
  <c r="T39" i="2"/>
  <c r="S40" i="2" s="1"/>
  <c r="X39" i="2"/>
  <c r="W40" i="2" s="1"/>
  <c r="L39" i="2"/>
  <c r="K40" i="2" s="1"/>
  <c r="P39" i="2"/>
  <c r="O40" i="2" s="1"/>
  <c r="N39" i="2"/>
  <c r="M40" i="2" s="1"/>
  <c r="U39" i="2"/>
  <c r="AA39" i="2"/>
  <c r="I41" i="2" l="1"/>
  <c r="J41" i="2" s="1"/>
  <c r="R40" i="2"/>
  <c r="Q41" i="2" s="1"/>
  <c r="Z40" i="2"/>
  <c r="Y41" i="2" s="1"/>
  <c r="T40" i="2"/>
  <c r="S41" i="2" s="1"/>
  <c r="L40" i="2"/>
  <c r="K41" i="2" s="1"/>
  <c r="X40" i="2"/>
  <c r="W41" i="2" s="1"/>
  <c r="P40" i="2"/>
  <c r="O41" i="2" s="1"/>
  <c r="N40" i="2"/>
  <c r="M41" i="2" s="1"/>
  <c r="U40" i="2"/>
  <c r="AA40" i="2"/>
  <c r="I42" i="2" l="1"/>
  <c r="J42" i="2" s="1"/>
  <c r="R41" i="2"/>
  <c r="Q42" i="2" s="1"/>
  <c r="Z41" i="2"/>
  <c r="Y42" i="2" s="1"/>
  <c r="T41" i="2"/>
  <c r="S42" i="2" s="1"/>
  <c r="P41" i="2"/>
  <c r="O42" i="2" s="1"/>
  <c r="L41" i="2"/>
  <c r="K42" i="2" s="1"/>
  <c r="X41" i="2"/>
  <c r="W42" i="2" s="1"/>
  <c r="N41" i="2"/>
  <c r="M42" i="2" s="1"/>
  <c r="U41" i="2"/>
  <c r="AA41" i="2"/>
  <c r="I43" i="2" l="1"/>
  <c r="J43" i="2" s="1"/>
  <c r="R42" i="2"/>
  <c r="Q43" i="2" s="1"/>
  <c r="Z42" i="2"/>
  <c r="Y43" i="2" s="1"/>
  <c r="P42" i="2"/>
  <c r="O43" i="2" s="1"/>
  <c r="T42" i="2"/>
  <c r="S43" i="2" s="1"/>
  <c r="X42" i="2"/>
  <c r="W43" i="2" s="1"/>
  <c r="L42" i="2"/>
  <c r="K43" i="2" s="1"/>
  <c r="U42" i="2"/>
  <c r="N42" i="2"/>
  <c r="M43" i="2" s="1"/>
  <c r="AA42" i="2"/>
  <c r="I44" i="2" l="1"/>
  <c r="J44" i="2" s="1"/>
  <c r="R43" i="2"/>
  <c r="Q44" i="2" s="1"/>
  <c r="Z43" i="2"/>
  <c r="Y44" i="2" s="1"/>
  <c r="P43" i="2"/>
  <c r="O44" i="2" s="1"/>
  <c r="T43" i="2"/>
  <c r="S44" i="2" s="1"/>
  <c r="X43" i="2"/>
  <c r="W44" i="2" s="1"/>
  <c r="N43" i="2"/>
  <c r="M44" i="2" s="1"/>
  <c r="U43" i="2"/>
  <c r="L43" i="2"/>
  <c r="K44" i="2" s="1"/>
  <c r="AA43" i="2"/>
  <c r="R44" i="2" l="1"/>
  <c r="Q45" i="2" s="1"/>
  <c r="I45" i="2"/>
  <c r="J45" i="2" s="1"/>
  <c r="Z44" i="2"/>
  <c r="Y45" i="2" s="1"/>
  <c r="P44" i="2"/>
  <c r="O45" i="2" s="1"/>
  <c r="T44" i="2"/>
  <c r="S45" i="2" s="1"/>
  <c r="N44" i="2"/>
  <c r="M45" i="2" s="1"/>
  <c r="L44" i="2"/>
  <c r="K45" i="2" s="1"/>
  <c r="U44" i="2"/>
  <c r="X44" i="2"/>
  <c r="W45" i="2" s="1"/>
  <c r="AA44" i="2"/>
  <c r="I46" i="2" l="1"/>
  <c r="J46" i="2" s="1"/>
  <c r="R45" i="2"/>
  <c r="Q46" i="2" s="1"/>
  <c r="Z45" i="2"/>
  <c r="Y46" i="2" s="1"/>
  <c r="P45" i="2"/>
  <c r="O46" i="2" s="1"/>
  <c r="T45" i="2"/>
  <c r="S46" i="2" s="1"/>
  <c r="U45" i="2"/>
  <c r="L45" i="2"/>
  <c r="K46" i="2" s="1"/>
  <c r="N45" i="2"/>
  <c r="M46" i="2" s="1"/>
  <c r="X45" i="2"/>
  <c r="W46" i="2" s="1"/>
  <c r="AA45" i="2"/>
  <c r="R46" i="2" l="1"/>
  <c r="Q47" i="2" s="1"/>
  <c r="Z46" i="2"/>
  <c r="Y47" i="2" s="1"/>
  <c r="I47" i="2"/>
  <c r="J47" i="2" s="1"/>
  <c r="L46" i="2"/>
  <c r="K47" i="2" s="1"/>
  <c r="T46" i="2"/>
  <c r="S47" i="2" s="1"/>
  <c r="P46" i="2"/>
  <c r="O47" i="2" s="1"/>
  <c r="X46" i="2"/>
  <c r="W47" i="2" s="1"/>
  <c r="U46" i="2"/>
  <c r="N46" i="2"/>
  <c r="M47" i="2" s="1"/>
  <c r="AA46" i="2"/>
  <c r="I48" i="2" l="1"/>
  <c r="J48" i="2" s="1"/>
  <c r="R47" i="2"/>
  <c r="Q48" i="2" s="1"/>
  <c r="Z47" i="2"/>
  <c r="Y48" i="2" s="1"/>
  <c r="L47" i="2"/>
  <c r="K48" i="2" s="1"/>
  <c r="N47" i="2"/>
  <c r="M48" i="2" s="1"/>
  <c r="X47" i="2"/>
  <c r="W48" i="2" s="1"/>
  <c r="T47" i="2"/>
  <c r="S48" i="2" s="1"/>
  <c r="P47" i="2"/>
  <c r="O48" i="2" s="1"/>
  <c r="U47" i="2"/>
  <c r="AA47" i="2"/>
  <c r="R48" i="2" l="1"/>
  <c r="Q49" i="2" s="1"/>
  <c r="I49" i="2"/>
  <c r="J49" i="2" s="1"/>
  <c r="Z48" i="2"/>
  <c r="Y49" i="2" s="1"/>
  <c r="L48" i="2"/>
  <c r="K49" i="2" s="1"/>
  <c r="N48" i="2"/>
  <c r="M49" i="2" s="1"/>
  <c r="P48" i="2"/>
  <c r="O49" i="2" s="1"/>
  <c r="X48" i="2"/>
  <c r="W49" i="2" s="1"/>
  <c r="U48" i="2"/>
  <c r="T48" i="2"/>
  <c r="S49" i="2" s="1"/>
  <c r="AA48" i="2"/>
  <c r="R49" i="2" l="1"/>
  <c r="Q50" i="2" s="1"/>
  <c r="I50" i="2"/>
  <c r="J50" i="2" s="1"/>
  <c r="Z49" i="2"/>
  <c r="Y50" i="2" s="1"/>
  <c r="L49" i="2"/>
  <c r="K50" i="2" s="1"/>
  <c r="P49" i="2"/>
  <c r="O50" i="2" s="1"/>
  <c r="X49" i="2"/>
  <c r="W50" i="2" s="1"/>
  <c r="N49" i="2"/>
  <c r="M50" i="2" s="1"/>
  <c r="T49" i="2"/>
  <c r="S50" i="2" s="1"/>
  <c r="U49" i="2"/>
  <c r="AA49" i="2"/>
  <c r="I51" i="2" l="1"/>
  <c r="J51" i="2" s="1"/>
  <c r="R50" i="2"/>
  <c r="Q51" i="2" s="1"/>
  <c r="Z50" i="2"/>
  <c r="Y51" i="2" s="1"/>
  <c r="P50" i="2"/>
  <c r="O51" i="2" s="1"/>
  <c r="N50" i="2"/>
  <c r="M51" i="2" s="1"/>
  <c r="X50" i="2"/>
  <c r="W51" i="2" s="1"/>
  <c r="L50" i="2"/>
  <c r="K51" i="2" s="1"/>
  <c r="U50" i="2"/>
  <c r="T50" i="2"/>
  <c r="S51" i="2" s="1"/>
  <c r="AA50" i="2"/>
  <c r="R51" i="2" l="1"/>
  <c r="Q52" i="2" s="1"/>
  <c r="I52" i="2"/>
  <c r="J52" i="2" s="1"/>
  <c r="Z51" i="2"/>
  <c r="Y52" i="2" s="1"/>
  <c r="P51" i="2"/>
  <c r="O52" i="2" s="1"/>
  <c r="N51" i="2"/>
  <c r="M52" i="2" s="1"/>
  <c r="X51" i="2"/>
  <c r="W52" i="2" s="1"/>
  <c r="L51" i="2"/>
  <c r="K52" i="2" s="1"/>
  <c r="U51" i="2"/>
  <c r="T51" i="2"/>
  <c r="S52" i="2" s="1"/>
  <c r="AA51" i="2"/>
  <c r="R52" i="2" l="1"/>
  <c r="Q53" i="2" s="1"/>
  <c r="Z52" i="2"/>
  <c r="Y53" i="2" s="1"/>
  <c r="I53" i="2"/>
  <c r="J53" i="2" s="1"/>
  <c r="N52" i="2"/>
  <c r="M53" i="2" s="1"/>
  <c r="T52" i="2"/>
  <c r="S53" i="2" s="1"/>
  <c r="P52" i="2"/>
  <c r="O53" i="2" s="1"/>
  <c r="X52" i="2"/>
  <c r="W53" i="2" s="1"/>
  <c r="U52" i="2"/>
  <c r="L52" i="2"/>
  <c r="K53" i="2" s="1"/>
  <c r="AA52" i="2"/>
  <c r="I54" i="2" l="1"/>
  <c r="J54" i="2" s="1"/>
  <c r="R53" i="2"/>
  <c r="Q54" i="2" s="1"/>
  <c r="Z53" i="2"/>
  <c r="Y54" i="2" s="1"/>
  <c r="P53" i="2"/>
  <c r="O54" i="2" s="1"/>
  <c r="T53" i="2"/>
  <c r="S54" i="2" s="1"/>
  <c r="L53" i="2"/>
  <c r="K54" i="2" s="1"/>
  <c r="U53" i="2"/>
  <c r="X53" i="2"/>
  <c r="W54" i="2" s="1"/>
  <c r="N53" i="2"/>
  <c r="M54" i="2" s="1"/>
  <c r="AA53" i="2"/>
  <c r="R54" i="2" l="1"/>
  <c r="Q55" i="2" s="1"/>
  <c r="I55" i="2"/>
  <c r="J55" i="2" s="1"/>
  <c r="Z54" i="2"/>
  <c r="Y55" i="2" s="1"/>
  <c r="L54" i="2"/>
  <c r="K55" i="2" s="1"/>
  <c r="T54" i="2"/>
  <c r="S55" i="2" s="1"/>
  <c r="X54" i="2"/>
  <c r="W55" i="2" s="1"/>
  <c r="U54" i="2"/>
  <c r="P54" i="2"/>
  <c r="O55" i="2" s="1"/>
  <c r="N54" i="2"/>
  <c r="M55" i="2" s="1"/>
  <c r="AA54" i="2"/>
  <c r="I56" i="2" l="1"/>
  <c r="J56" i="2" s="1"/>
  <c r="R55" i="2"/>
  <c r="Q56" i="2" s="1"/>
  <c r="Z55" i="2"/>
  <c r="Y56" i="2" s="1"/>
  <c r="L55" i="2"/>
  <c r="K56" i="2" s="1"/>
  <c r="X55" i="2"/>
  <c r="W56" i="2" s="1"/>
  <c r="T55" i="2"/>
  <c r="S56" i="2" s="1"/>
  <c r="N55" i="2"/>
  <c r="M56" i="2" s="1"/>
  <c r="U55" i="2"/>
  <c r="P55" i="2"/>
  <c r="O56" i="2" s="1"/>
  <c r="AA55" i="2"/>
  <c r="R56" i="2" l="1"/>
  <c r="Q57" i="2" s="1"/>
  <c r="I57" i="2"/>
  <c r="J57" i="2" s="1"/>
  <c r="Z56" i="2"/>
  <c r="Y57" i="2" s="1"/>
  <c r="L56" i="2"/>
  <c r="K57" i="2" s="1"/>
  <c r="N56" i="2"/>
  <c r="M57" i="2" s="1"/>
  <c r="X56" i="2"/>
  <c r="W57" i="2" s="1"/>
  <c r="T56" i="2"/>
  <c r="S57" i="2" s="1"/>
  <c r="U56" i="2"/>
  <c r="P56" i="2"/>
  <c r="O57" i="2" s="1"/>
  <c r="AA56" i="2"/>
  <c r="I58" i="2" l="1"/>
  <c r="J58" i="2" s="1"/>
  <c r="R57" i="2"/>
  <c r="Q58" i="2" s="1"/>
  <c r="Z57" i="2"/>
  <c r="Y58" i="2" s="1"/>
  <c r="L57" i="2"/>
  <c r="K58" i="2" s="1"/>
  <c r="N57" i="2"/>
  <c r="M58" i="2" s="1"/>
  <c r="X57" i="2"/>
  <c r="W58" i="2" s="1"/>
  <c r="T57" i="2"/>
  <c r="S58" i="2" s="1"/>
  <c r="P57" i="2"/>
  <c r="O58" i="2" s="1"/>
  <c r="U57" i="2"/>
  <c r="AA57" i="2"/>
  <c r="R58" i="2" l="1"/>
  <c r="Q59" i="2" s="1"/>
  <c r="I59" i="2"/>
  <c r="J59" i="2" s="1"/>
  <c r="Z58" i="2"/>
  <c r="Y59" i="2" s="1"/>
  <c r="L58" i="2"/>
  <c r="K59" i="2" s="1"/>
  <c r="N58" i="2"/>
  <c r="M59" i="2" s="1"/>
  <c r="X58" i="2"/>
  <c r="W59" i="2" s="1"/>
  <c r="P58" i="2"/>
  <c r="O59" i="2" s="1"/>
  <c r="T58" i="2"/>
  <c r="S59" i="2" s="1"/>
  <c r="U58" i="2"/>
  <c r="AA58" i="2"/>
  <c r="I60" i="2" l="1"/>
  <c r="J60" i="2" s="1"/>
  <c r="R59" i="2"/>
  <c r="Q60" i="2" s="1"/>
  <c r="Z59" i="2"/>
  <c r="Y60" i="2" s="1"/>
  <c r="N59" i="2"/>
  <c r="M60" i="2" s="1"/>
  <c r="L59" i="2"/>
  <c r="K60" i="2" s="1"/>
  <c r="P59" i="2"/>
  <c r="O60" i="2" s="1"/>
  <c r="X59" i="2"/>
  <c r="W60" i="2" s="1"/>
  <c r="T59" i="2"/>
  <c r="S60" i="2" s="1"/>
  <c r="U59" i="2"/>
  <c r="AA59" i="2"/>
  <c r="R60" i="2" l="1"/>
  <c r="Q61" i="2" s="1"/>
  <c r="I61" i="2"/>
  <c r="J61" i="2" s="1"/>
  <c r="Z60" i="2"/>
  <c r="Y61" i="2" s="1"/>
  <c r="L60" i="2"/>
  <c r="K61" i="2" s="1"/>
  <c r="N60" i="2"/>
  <c r="M61" i="2" s="1"/>
  <c r="P60" i="2"/>
  <c r="O61" i="2" s="1"/>
  <c r="T60" i="2"/>
  <c r="S61" i="2" s="1"/>
  <c r="X60" i="2"/>
  <c r="W61" i="2" s="1"/>
  <c r="U60" i="2"/>
  <c r="AA60" i="2"/>
  <c r="R61" i="2" l="1"/>
  <c r="Q62" i="2" s="1"/>
  <c r="I62" i="2"/>
  <c r="J62" i="2" s="1"/>
  <c r="N61" i="2"/>
  <c r="M62" i="2" s="1"/>
  <c r="Z61" i="2"/>
  <c r="Y62" i="2" s="1"/>
  <c r="P61" i="2"/>
  <c r="O62" i="2" s="1"/>
  <c r="T61" i="2"/>
  <c r="S62" i="2" s="1"/>
  <c r="L61" i="2"/>
  <c r="K62" i="2" s="1"/>
  <c r="X61" i="2"/>
  <c r="W62" i="2" s="1"/>
  <c r="U61" i="2"/>
  <c r="AA61" i="2"/>
  <c r="R62" i="2" l="1"/>
  <c r="Q63" i="2" s="1"/>
  <c r="I63" i="2"/>
  <c r="J63" i="2" s="1"/>
  <c r="Z62" i="2"/>
  <c r="Y63" i="2" s="1"/>
  <c r="N62" i="2"/>
  <c r="M63" i="2" s="1"/>
  <c r="P62" i="2"/>
  <c r="O63" i="2" s="1"/>
  <c r="T62" i="2"/>
  <c r="S63" i="2" s="1"/>
  <c r="X62" i="2"/>
  <c r="W63" i="2" s="1"/>
  <c r="U62" i="2"/>
  <c r="L62" i="2"/>
  <c r="K63" i="2" s="1"/>
  <c r="AA62" i="2"/>
  <c r="R63" i="2" l="1"/>
  <c r="Q64" i="2" s="1"/>
  <c r="I64" i="2"/>
  <c r="J64" i="2" s="1"/>
  <c r="Z63" i="2"/>
  <c r="Y64" i="2" s="1"/>
  <c r="P63" i="2"/>
  <c r="O64" i="2" s="1"/>
  <c r="T63" i="2"/>
  <c r="S64" i="2" s="1"/>
  <c r="N63" i="2"/>
  <c r="M64" i="2" s="1"/>
  <c r="U63" i="2"/>
  <c r="L63" i="2"/>
  <c r="K64" i="2" s="1"/>
  <c r="X63" i="2"/>
  <c r="W64" i="2" s="1"/>
  <c r="AA63" i="2"/>
  <c r="R64" i="2" l="1"/>
  <c r="Q65" i="2" s="1"/>
  <c r="Z64" i="2"/>
  <c r="Y65" i="2" s="1"/>
  <c r="I65" i="2"/>
  <c r="J65" i="2" s="1"/>
  <c r="T64" i="2"/>
  <c r="S65" i="2" s="1"/>
  <c r="P64" i="2"/>
  <c r="O65" i="2" s="1"/>
  <c r="L64" i="2"/>
  <c r="K65" i="2" s="1"/>
  <c r="N64" i="2"/>
  <c r="M65" i="2" s="1"/>
  <c r="U64" i="2"/>
  <c r="X64" i="2"/>
  <c r="W65" i="2" s="1"/>
  <c r="AA64" i="2"/>
  <c r="I66" i="2" l="1"/>
  <c r="J66" i="2" s="1"/>
  <c r="R65" i="2"/>
  <c r="Q66" i="2" s="1"/>
  <c r="Z65" i="2"/>
  <c r="Y66" i="2" s="1"/>
  <c r="T65" i="2"/>
  <c r="S66" i="2" s="1"/>
  <c r="N65" i="2"/>
  <c r="M66" i="2" s="1"/>
  <c r="L65" i="2"/>
  <c r="K66" i="2" s="1"/>
  <c r="X65" i="2"/>
  <c r="W66" i="2" s="1"/>
  <c r="U65" i="2"/>
  <c r="P65" i="2"/>
  <c r="O66" i="2" s="1"/>
  <c r="AA65" i="2"/>
  <c r="R66" i="2" l="1"/>
  <c r="Q67" i="2" s="1"/>
  <c r="I67" i="2"/>
  <c r="J67" i="2" s="1"/>
  <c r="Z66" i="2"/>
  <c r="Y67" i="2" s="1"/>
  <c r="X66" i="2"/>
  <c r="W67" i="2" s="1"/>
  <c r="N66" i="2"/>
  <c r="M67" i="2" s="1"/>
  <c r="T66" i="2"/>
  <c r="S67" i="2" s="1"/>
  <c r="L66" i="2"/>
  <c r="K67" i="2" s="1"/>
  <c r="U66" i="2"/>
  <c r="P66" i="2"/>
  <c r="O67" i="2" s="1"/>
  <c r="AA66" i="2"/>
  <c r="R67" i="2" l="1"/>
  <c r="Q68" i="2" s="1"/>
  <c r="I68" i="2"/>
  <c r="J68" i="2" s="1"/>
  <c r="Z67" i="2"/>
  <c r="Y68" i="2" s="1"/>
  <c r="X67" i="2"/>
  <c r="W68" i="2" s="1"/>
  <c r="P67" i="2"/>
  <c r="O68" i="2" s="1"/>
  <c r="L67" i="2"/>
  <c r="K68" i="2" s="1"/>
  <c r="N67" i="2"/>
  <c r="M68" i="2" s="1"/>
  <c r="T67" i="2"/>
  <c r="S68" i="2" s="1"/>
  <c r="U67" i="2"/>
  <c r="AA67" i="2"/>
  <c r="R68" i="2" l="1"/>
  <c r="Q69" i="2" s="1"/>
  <c r="I69" i="2"/>
  <c r="J69" i="2" s="1"/>
  <c r="Z68" i="2"/>
  <c r="Y69" i="2" s="1"/>
  <c r="X68" i="2"/>
  <c r="W69" i="2" s="1"/>
  <c r="L68" i="2"/>
  <c r="K69" i="2" s="1"/>
  <c r="N68" i="2"/>
  <c r="M69" i="2" s="1"/>
  <c r="T68" i="2"/>
  <c r="S69" i="2" s="1"/>
  <c r="P68" i="2"/>
  <c r="O69" i="2" s="1"/>
  <c r="U68" i="2"/>
  <c r="AA68" i="2"/>
  <c r="I70" i="2" l="1"/>
  <c r="J70" i="2" s="1"/>
  <c r="R69" i="2"/>
  <c r="Q70" i="2" s="1"/>
  <c r="Z69" i="2"/>
  <c r="Y70" i="2" s="1"/>
  <c r="L69" i="2"/>
  <c r="K70" i="2" s="1"/>
  <c r="T69" i="2"/>
  <c r="S70" i="2" s="1"/>
  <c r="P69" i="2"/>
  <c r="O70" i="2" s="1"/>
  <c r="X69" i="2"/>
  <c r="W70" i="2" s="1"/>
  <c r="N69" i="2"/>
  <c r="M70" i="2" s="1"/>
  <c r="U69" i="2"/>
  <c r="AA69" i="2"/>
  <c r="R70" i="2" l="1"/>
  <c r="Q71" i="2" s="1"/>
  <c r="I71" i="2"/>
  <c r="J71" i="2" s="1"/>
  <c r="Z70" i="2"/>
  <c r="Y71" i="2" s="1"/>
  <c r="N70" i="2"/>
  <c r="M71" i="2" s="1"/>
  <c r="P70" i="2"/>
  <c r="O71" i="2" s="1"/>
  <c r="T70" i="2"/>
  <c r="S71" i="2" s="1"/>
  <c r="U70" i="2"/>
  <c r="X70" i="2"/>
  <c r="W71" i="2" s="1"/>
  <c r="L70" i="2"/>
  <c r="K71" i="2" s="1"/>
  <c r="AA70" i="2"/>
  <c r="R71" i="2" l="1"/>
  <c r="Q72" i="2" s="1"/>
  <c r="Z71" i="2"/>
  <c r="Y72" i="2" s="1"/>
  <c r="I72" i="2"/>
  <c r="J72" i="2" s="1"/>
  <c r="P71" i="2"/>
  <c r="O72" i="2" s="1"/>
  <c r="T71" i="2"/>
  <c r="S72" i="2" s="1"/>
  <c r="L71" i="2"/>
  <c r="K72" i="2" s="1"/>
  <c r="N71" i="2"/>
  <c r="M72" i="2" s="1"/>
  <c r="X71" i="2"/>
  <c r="W72" i="2" s="1"/>
  <c r="U71" i="2"/>
  <c r="AA71" i="2"/>
  <c r="I73" i="2" l="1"/>
  <c r="J73" i="2" s="1"/>
  <c r="R72" i="2"/>
  <c r="Q73" i="2" s="1"/>
  <c r="Z72" i="2"/>
  <c r="Y73" i="2" s="1"/>
  <c r="T72" i="2"/>
  <c r="S73" i="2" s="1"/>
  <c r="P72" i="2"/>
  <c r="O73" i="2" s="1"/>
  <c r="L72" i="2"/>
  <c r="K73" i="2" s="1"/>
  <c r="X72" i="2"/>
  <c r="W73" i="2" s="1"/>
  <c r="U72" i="2"/>
  <c r="N72" i="2"/>
  <c r="M73" i="2" s="1"/>
  <c r="AA72" i="2"/>
  <c r="R73" i="2" l="1"/>
  <c r="Q74" i="2" s="1"/>
  <c r="I74" i="2"/>
  <c r="J74" i="2" s="1"/>
  <c r="Z73" i="2"/>
  <c r="Y74" i="2" s="1"/>
  <c r="L73" i="2"/>
  <c r="K74" i="2" s="1"/>
  <c r="T73" i="2"/>
  <c r="S74" i="2" s="1"/>
  <c r="U73" i="2"/>
  <c r="X73" i="2"/>
  <c r="W74" i="2" s="1"/>
  <c r="P73" i="2"/>
  <c r="O74" i="2" s="1"/>
  <c r="N73" i="2"/>
  <c r="M74" i="2" s="1"/>
  <c r="AA73" i="2"/>
  <c r="R74" i="2" l="1"/>
  <c r="Q75" i="2" s="1"/>
  <c r="I75" i="2"/>
  <c r="J75" i="2" s="1"/>
  <c r="Z74" i="2"/>
  <c r="Y75" i="2" s="1"/>
  <c r="L74" i="2"/>
  <c r="K75" i="2" s="1"/>
  <c r="T74" i="2"/>
  <c r="S75" i="2" s="1"/>
  <c r="X74" i="2"/>
  <c r="W75" i="2" s="1"/>
  <c r="U74" i="2"/>
  <c r="P74" i="2"/>
  <c r="O75" i="2" s="1"/>
  <c r="N74" i="2"/>
  <c r="M75" i="2" s="1"/>
  <c r="AA74" i="2"/>
  <c r="I76" i="2" l="1"/>
  <c r="J76" i="2" s="1"/>
  <c r="R75" i="2"/>
  <c r="Q76" i="2" s="1"/>
  <c r="Z75" i="2"/>
  <c r="Y76" i="2" s="1"/>
  <c r="L75" i="2"/>
  <c r="K76" i="2" s="1"/>
  <c r="X75" i="2"/>
  <c r="W76" i="2" s="1"/>
  <c r="N75" i="2"/>
  <c r="M76" i="2" s="1"/>
  <c r="T75" i="2"/>
  <c r="S76" i="2" s="1"/>
  <c r="U75" i="2"/>
  <c r="P75" i="2"/>
  <c r="O76" i="2" s="1"/>
  <c r="AA75" i="2"/>
  <c r="I77" i="2" l="1"/>
  <c r="J77" i="2" s="1"/>
  <c r="R76" i="2"/>
  <c r="Q77" i="2" s="1"/>
  <c r="Z76" i="2"/>
  <c r="Y77" i="2" s="1"/>
  <c r="L76" i="2"/>
  <c r="K77" i="2" s="1"/>
  <c r="N76" i="2"/>
  <c r="M77" i="2" s="1"/>
  <c r="X76" i="2"/>
  <c r="W77" i="2" s="1"/>
  <c r="P76" i="2"/>
  <c r="O77" i="2" s="1"/>
  <c r="U76" i="2"/>
  <c r="T76" i="2"/>
  <c r="S77" i="2" s="1"/>
  <c r="AA76" i="2"/>
  <c r="I78" i="2" l="1"/>
  <c r="J78" i="2" s="1"/>
  <c r="R77" i="2"/>
  <c r="Q78" i="2" s="1"/>
  <c r="Z77" i="2"/>
  <c r="Y78" i="2" s="1"/>
  <c r="N77" i="2"/>
  <c r="M78" i="2" s="1"/>
  <c r="L77" i="2"/>
  <c r="K78" i="2" s="1"/>
  <c r="X77" i="2"/>
  <c r="W78" i="2" s="1"/>
  <c r="T77" i="2"/>
  <c r="S78" i="2" s="1"/>
  <c r="U77" i="2"/>
  <c r="P77" i="2"/>
  <c r="O78" i="2" s="1"/>
  <c r="AA77" i="2"/>
  <c r="I79" i="2" l="1"/>
  <c r="J79" i="2" s="1"/>
  <c r="R78" i="2"/>
  <c r="Q79" i="2" s="1"/>
  <c r="Z78" i="2"/>
  <c r="Y79" i="2" s="1"/>
  <c r="N78" i="2"/>
  <c r="M79" i="2" s="1"/>
  <c r="L78" i="2"/>
  <c r="K79" i="2" s="1"/>
  <c r="X78" i="2"/>
  <c r="W79" i="2" s="1"/>
  <c r="P78" i="2"/>
  <c r="O79" i="2" s="1"/>
  <c r="T78" i="2"/>
  <c r="S79" i="2" s="1"/>
  <c r="U78" i="2"/>
  <c r="AA78" i="2"/>
  <c r="R79" i="2" l="1"/>
  <c r="Q80" i="2" s="1"/>
  <c r="I80" i="2"/>
  <c r="J80" i="2" s="1"/>
  <c r="N79" i="2"/>
  <c r="M80" i="2" s="1"/>
  <c r="Z79" i="2"/>
  <c r="Y80" i="2" s="1"/>
  <c r="P79" i="2"/>
  <c r="O80" i="2" s="1"/>
  <c r="U79" i="2"/>
  <c r="T79" i="2"/>
  <c r="S80" i="2" s="1"/>
  <c r="X79" i="2"/>
  <c r="W80" i="2" s="1"/>
  <c r="L79" i="2"/>
  <c r="K80" i="2" s="1"/>
  <c r="AA79" i="2"/>
  <c r="R80" i="2" l="1"/>
  <c r="Q81" i="2" s="1"/>
  <c r="Z80" i="2"/>
  <c r="Y81" i="2" s="1"/>
  <c r="I81" i="2"/>
  <c r="J81" i="2" s="1"/>
  <c r="P80" i="2"/>
  <c r="O81" i="2" s="1"/>
  <c r="T80" i="2"/>
  <c r="S81" i="2" s="1"/>
  <c r="L80" i="2"/>
  <c r="K81" i="2" s="1"/>
  <c r="U80" i="2"/>
  <c r="N80" i="2"/>
  <c r="M81" i="2" s="1"/>
  <c r="X80" i="2"/>
  <c r="W81" i="2" s="1"/>
  <c r="AA80" i="2"/>
  <c r="I82" i="2" l="1"/>
  <c r="J82" i="2" s="1"/>
  <c r="R81" i="2"/>
  <c r="Q82" i="2" s="1"/>
  <c r="Z81" i="2"/>
  <c r="Y82" i="2" s="1"/>
  <c r="T81" i="2"/>
  <c r="S82" i="2" s="1"/>
  <c r="P81" i="2"/>
  <c r="O82" i="2" s="1"/>
  <c r="U81" i="2"/>
  <c r="L81" i="2"/>
  <c r="K82" i="2" s="1"/>
  <c r="X81" i="2"/>
  <c r="W82" i="2" s="1"/>
  <c r="N81" i="2"/>
  <c r="M82" i="2" s="1"/>
  <c r="AA81" i="2"/>
  <c r="R82" i="2" l="1"/>
  <c r="Q83" i="2" s="1"/>
  <c r="I83" i="2"/>
  <c r="J83" i="2" s="1"/>
  <c r="Z82" i="2"/>
  <c r="Y83" i="2" s="1"/>
  <c r="L82" i="2"/>
  <c r="K83" i="2" s="1"/>
  <c r="N82" i="2"/>
  <c r="M83" i="2" s="1"/>
  <c r="X82" i="2"/>
  <c r="W83" i="2" s="1"/>
  <c r="T82" i="2"/>
  <c r="S83" i="2" s="1"/>
  <c r="P82" i="2"/>
  <c r="O83" i="2" s="1"/>
  <c r="U82" i="2"/>
  <c r="AA82" i="2"/>
  <c r="I84" i="2" l="1"/>
  <c r="J84" i="2" s="1"/>
  <c r="R83" i="2"/>
  <c r="Q84" i="2" s="1"/>
  <c r="Z83" i="2"/>
  <c r="Y84" i="2" s="1"/>
  <c r="L83" i="2"/>
  <c r="K84" i="2" s="1"/>
  <c r="P83" i="2"/>
  <c r="O84" i="2" s="1"/>
  <c r="X83" i="2"/>
  <c r="W84" i="2" s="1"/>
  <c r="N83" i="2"/>
  <c r="M84" i="2" s="1"/>
  <c r="U83" i="2"/>
  <c r="T83" i="2"/>
  <c r="S84" i="2" s="1"/>
  <c r="AA83" i="2"/>
  <c r="I85" i="2" l="1"/>
  <c r="J85" i="2" s="1"/>
  <c r="R84" i="2"/>
  <c r="Q85" i="2" s="1"/>
  <c r="Z84" i="2"/>
  <c r="Y85" i="2" s="1"/>
  <c r="L84" i="2"/>
  <c r="K85" i="2" s="1"/>
  <c r="X84" i="2"/>
  <c r="W85" i="2" s="1"/>
  <c r="P84" i="2"/>
  <c r="O85" i="2" s="1"/>
  <c r="U84" i="2"/>
  <c r="T84" i="2"/>
  <c r="S85" i="2" s="1"/>
  <c r="N84" i="2"/>
  <c r="M85" i="2" s="1"/>
  <c r="AA84" i="2"/>
  <c r="R85" i="2" l="1"/>
  <c r="Q86" i="2" s="1"/>
  <c r="I86" i="2"/>
  <c r="J86" i="2" s="1"/>
  <c r="P85" i="2"/>
  <c r="O86" i="2" s="1"/>
  <c r="Z85" i="2"/>
  <c r="Y86" i="2" s="1"/>
  <c r="L85" i="2"/>
  <c r="K86" i="2" s="1"/>
  <c r="N85" i="2"/>
  <c r="M86" i="2" s="1"/>
  <c r="X85" i="2"/>
  <c r="W86" i="2" s="1"/>
  <c r="U85" i="2"/>
  <c r="T85" i="2"/>
  <c r="S86" i="2" s="1"/>
  <c r="AA85" i="2"/>
  <c r="R86" i="2" l="1"/>
  <c r="Q87" i="2" s="1"/>
  <c r="I87" i="2"/>
  <c r="J87" i="2" s="1"/>
  <c r="Z86" i="2"/>
  <c r="Y87" i="2" s="1"/>
  <c r="N86" i="2"/>
  <c r="M87" i="2" s="1"/>
  <c r="P86" i="2"/>
  <c r="O87" i="2" s="1"/>
  <c r="U86" i="2"/>
  <c r="T86" i="2"/>
  <c r="S87" i="2" s="1"/>
  <c r="X86" i="2"/>
  <c r="W87" i="2" s="1"/>
  <c r="L86" i="2"/>
  <c r="K87" i="2" s="1"/>
  <c r="AA86" i="2"/>
  <c r="I88" i="2" l="1"/>
  <c r="J88" i="2" s="1"/>
  <c r="R87" i="2"/>
  <c r="Q88" i="2" s="1"/>
  <c r="Z87" i="2"/>
  <c r="Y88" i="2" s="1"/>
  <c r="P87" i="2"/>
  <c r="O88" i="2" s="1"/>
  <c r="L87" i="2"/>
  <c r="K88" i="2" s="1"/>
  <c r="T87" i="2"/>
  <c r="S88" i="2" s="1"/>
  <c r="X87" i="2"/>
  <c r="W88" i="2" s="1"/>
  <c r="N87" i="2"/>
  <c r="M88" i="2" s="1"/>
  <c r="U87" i="2"/>
  <c r="AA87" i="2"/>
  <c r="R88" i="2" l="1"/>
  <c r="Q89" i="2" s="1"/>
  <c r="Z88" i="2"/>
  <c r="Y89" i="2" s="1"/>
  <c r="I89" i="2"/>
  <c r="J89" i="2" s="1"/>
  <c r="N88" i="2"/>
  <c r="M89" i="2" s="1"/>
  <c r="U88" i="2"/>
  <c r="T88" i="2"/>
  <c r="S89" i="2" s="1"/>
  <c r="L88" i="2"/>
  <c r="K89" i="2" s="1"/>
  <c r="X88" i="2"/>
  <c r="W89" i="2" s="1"/>
  <c r="P88" i="2"/>
  <c r="O89" i="2" s="1"/>
  <c r="AA88" i="2"/>
  <c r="I90" i="2" l="1"/>
  <c r="J90" i="2" s="1"/>
  <c r="R89" i="2"/>
  <c r="Q90" i="2" s="1"/>
  <c r="Z89" i="2"/>
  <c r="Y90" i="2" s="1"/>
  <c r="P89" i="2"/>
  <c r="O90" i="2" s="1"/>
  <c r="U89" i="2"/>
  <c r="L89" i="2"/>
  <c r="K90" i="2" s="1"/>
  <c r="N89" i="2"/>
  <c r="M90" i="2" s="1"/>
  <c r="X89" i="2"/>
  <c r="W90" i="2" s="1"/>
  <c r="T89" i="2"/>
  <c r="S90" i="2" s="1"/>
  <c r="AA89" i="2"/>
  <c r="I91" i="2" l="1"/>
  <c r="J91" i="2" s="1"/>
  <c r="R90" i="2"/>
  <c r="Q91" i="2" s="1"/>
  <c r="Z90" i="2"/>
  <c r="Y91" i="2" s="1"/>
  <c r="P90" i="2"/>
  <c r="O91" i="2" s="1"/>
  <c r="T90" i="2"/>
  <c r="S91" i="2" s="1"/>
  <c r="U90" i="2"/>
  <c r="N90" i="2"/>
  <c r="M91" i="2" s="1"/>
  <c r="L90" i="2"/>
  <c r="K91" i="2" s="1"/>
  <c r="X90" i="2"/>
  <c r="W91" i="2" s="1"/>
  <c r="AA90" i="2"/>
  <c r="R91" i="2" l="1"/>
  <c r="Q92" i="2" s="1"/>
  <c r="I92" i="2"/>
  <c r="J92" i="2" s="1"/>
  <c r="Z91" i="2"/>
  <c r="Y92" i="2" s="1"/>
  <c r="P91" i="2"/>
  <c r="O92" i="2" s="1"/>
  <c r="T91" i="2"/>
  <c r="S92" i="2" s="1"/>
  <c r="U91" i="2"/>
  <c r="L91" i="2"/>
  <c r="K92" i="2" s="1"/>
  <c r="N91" i="2"/>
  <c r="M92" i="2" s="1"/>
  <c r="X91" i="2"/>
  <c r="W92" i="2" s="1"/>
  <c r="AA91" i="2"/>
  <c r="R92" i="2" l="1"/>
  <c r="Q93" i="2" s="1"/>
  <c r="Z92" i="2"/>
  <c r="Y93" i="2" s="1"/>
  <c r="I93" i="2"/>
  <c r="J93" i="2" s="1"/>
  <c r="T92" i="2"/>
  <c r="S93" i="2" s="1"/>
  <c r="U92" i="2"/>
  <c r="L92" i="2"/>
  <c r="K93" i="2" s="1"/>
  <c r="N92" i="2"/>
  <c r="M93" i="2" s="1"/>
  <c r="P92" i="2"/>
  <c r="O93" i="2" s="1"/>
  <c r="X92" i="2"/>
  <c r="W93" i="2" s="1"/>
  <c r="AA92" i="2"/>
  <c r="I94" i="2" l="1"/>
  <c r="J94" i="2" s="1"/>
  <c r="R93" i="2"/>
  <c r="Q94" i="2" s="1"/>
  <c r="Z93" i="2"/>
  <c r="Y94" i="2" s="1"/>
  <c r="T93" i="2"/>
  <c r="S94" i="2" s="1"/>
  <c r="N93" i="2"/>
  <c r="M94" i="2" s="1"/>
  <c r="U93" i="2"/>
  <c r="L93" i="2"/>
  <c r="K94" i="2" s="1"/>
  <c r="P93" i="2"/>
  <c r="O94" i="2" s="1"/>
  <c r="X93" i="2"/>
  <c r="W94" i="2" s="1"/>
  <c r="AA93" i="2"/>
  <c r="R94" i="2" l="1"/>
  <c r="Q95" i="2" s="1"/>
  <c r="I95" i="2"/>
  <c r="J95" i="2" s="1"/>
  <c r="Z94" i="2"/>
  <c r="Y95" i="2" s="1"/>
  <c r="U94" i="2"/>
  <c r="P94" i="2"/>
  <c r="O95" i="2" s="1"/>
  <c r="L94" i="2"/>
  <c r="K95" i="2" s="1"/>
  <c r="N94" i="2"/>
  <c r="M95" i="2" s="1"/>
  <c r="T94" i="2"/>
  <c r="S95" i="2" s="1"/>
  <c r="X94" i="2"/>
  <c r="W95" i="2" s="1"/>
  <c r="AA94" i="2"/>
  <c r="R95" i="2" l="1"/>
  <c r="Q96" i="2" s="1"/>
  <c r="N95" i="2"/>
  <c r="M96" i="2" s="1"/>
  <c r="I96" i="2"/>
  <c r="J96" i="2" s="1"/>
  <c r="Z95" i="2"/>
  <c r="Y96" i="2" s="1"/>
  <c r="L95" i="2"/>
  <c r="K96" i="2" s="1"/>
  <c r="U95" i="2"/>
  <c r="P95" i="2"/>
  <c r="O96" i="2" s="1"/>
  <c r="T95" i="2"/>
  <c r="S96" i="2" s="1"/>
  <c r="X95" i="2"/>
  <c r="W96" i="2" s="1"/>
  <c r="AA95" i="2"/>
  <c r="R96" i="2" l="1"/>
  <c r="Q97" i="2" s="1"/>
  <c r="N96" i="2"/>
  <c r="M97" i="2" s="1"/>
  <c r="I97" i="2"/>
  <c r="J97" i="2" s="1"/>
  <c r="Z96" i="2"/>
  <c r="Y97" i="2" s="1"/>
  <c r="T96" i="2"/>
  <c r="S97" i="2" s="1"/>
  <c r="L96" i="2"/>
  <c r="K97" i="2" s="1"/>
  <c r="P96" i="2"/>
  <c r="O97" i="2" s="1"/>
  <c r="U96" i="2"/>
  <c r="X96" i="2"/>
  <c r="W97" i="2" s="1"/>
  <c r="AA96" i="2"/>
  <c r="R97" i="2" l="1"/>
  <c r="Q98" i="2" s="1"/>
  <c r="I98" i="2"/>
  <c r="J98" i="2" s="1"/>
  <c r="N97" i="2"/>
  <c r="M98" i="2" s="1"/>
  <c r="U97" i="2"/>
  <c r="Z97" i="2"/>
  <c r="Y98" i="2" s="1"/>
  <c r="L97" i="2"/>
  <c r="K98" i="2" s="1"/>
  <c r="T97" i="2"/>
  <c r="S98" i="2" s="1"/>
  <c r="P97" i="2"/>
  <c r="O98" i="2" s="1"/>
  <c r="X97" i="2"/>
  <c r="W98" i="2" s="1"/>
  <c r="AA97" i="2"/>
  <c r="R98" i="2" l="1"/>
  <c r="Q99" i="2" s="1"/>
  <c r="I99" i="2"/>
  <c r="J99" i="2" s="1"/>
  <c r="N98" i="2"/>
  <c r="M99" i="2" s="1"/>
  <c r="Z98" i="2"/>
  <c r="Y99" i="2" s="1"/>
  <c r="L98" i="2"/>
  <c r="K99" i="2" s="1"/>
  <c r="T98" i="2"/>
  <c r="S99" i="2" s="1"/>
  <c r="U98" i="2"/>
  <c r="P98" i="2"/>
  <c r="O99" i="2" s="1"/>
  <c r="X98" i="2"/>
  <c r="W99" i="2" s="1"/>
  <c r="AA98" i="2"/>
  <c r="I100" i="2" l="1"/>
  <c r="J100" i="2" s="1"/>
  <c r="R99" i="2"/>
  <c r="Q100" i="2" s="1"/>
  <c r="P99" i="2"/>
  <c r="O100" i="2" s="1"/>
  <c r="Z99" i="2"/>
  <c r="Y100" i="2" s="1"/>
  <c r="U99" i="2"/>
  <c r="N99" i="2"/>
  <c r="M100" i="2" s="1"/>
  <c r="L99" i="2"/>
  <c r="K100" i="2" s="1"/>
  <c r="T99" i="2"/>
  <c r="S100" i="2" s="1"/>
  <c r="X99" i="2"/>
  <c r="W100" i="2" s="1"/>
  <c r="AA99" i="2"/>
  <c r="R100" i="2" l="1"/>
  <c r="Q101" i="2" s="1"/>
  <c r="Z100" i="2"/>
  <c r="Y101" i="2" s="1"/>
  <c r="I101" i="2"/>
  <c r="J101" i="2" s="1"/>
  <c r="P100" i="2"/>
  <c r="O101" i="2" s="1"/>
  <c r="N100" i="2"/>
  <c r="M101" i="2" s="1"/>
  <c r="H36" i="1"/>
  <c r="L100" i="2"/>
  <c r="K101" i="2" s="1"/>
  <c r="U100" i="2"/>
  <c r="T100" i="2"/>
  <c r="S101" i="2" s="1"/>
  <c r="X100" i="2"/>
  <c r="W101" i="2" s="1"/>
  <c r="AA100" i="2"/>
  <c r="I102" i="2" l="1"/>
  <c r="J102" i="2" s="1"/>
  <c r="R101" i="2"/>
  <c r="Q102" i="2" s="1"/>
  <c r="Z101" i="2"/>
  <c r="Y102" i="2" s="1"/>
  <c r="N101" i="2"/>
  <c r="M102" i="2" s="1"/>
  <c r="P101" i="2"/>
  <c r="O102" i="2" s="1"/>
  <c r="L101" i="2"/>
  <c r="K102" i="2" s="1"/>
  <c r="T101" i="2"/>
  <c r="S102" i="2" s="1"/>
  <c r="U101" i="2"/>
  <c r="X101" i="2"/>
  <c r="W102" i="2" s="1"/>
  <c r="AA101" i="2"/>
  <c r="I103" i="2" l="1"/>
  <c r="J103" i="2" s="1"/>
  <c r="R102" i="2"/>
  <c r="Q103" i="2" s="1"/>
  <c r="Z102" i="2"/>
  <c r="Y103" i="2" s="1"/>
  <c r="N102" i="2"/>
  <c r="M103" i="2" s="1"/>
  <c r="P102" i="2"/>
  <c r="O103" i="2" s="1"/>
  <c r="U102" i="2"/>
  <c r="L102" i="2"/>
  <c r="K103" i="2" s="1"/>
  <c r="T102" i="2"/>
  <c r="S103" i="2" s="1"/>
  <c r="X102" i="2"/>
  <c r="W103" i="2" s="1"/>
  <c r="AA102" i="2"/>
  <c r="R103" i="2" l="1"/>
  <c r="Q104" i="2" s="1"/>
  <c r="Z103" i="2"/>
  <c r="Y104" i="2" s="1"/>
  <c r="N103" i="2"/>
  <c r="M104" i="2" s="1"/>
  <c r="I104" i="2"/>
  <c r="J104" i="2" s="1"/>
  <c r="P103" i="2"/>
  <c r="O104" i="2" s="1"/>
  <c r="U103" i="2"/>
  <c r="T103" i="2"/>
  <c r="S104" i="2" s="1"/>
  <c r="L103" i="2"/>
  <c r="K104" i="2" s="1"/>
  <c r="X103" i="2"/>
  <c r="W104" i="2" s="1"/>
  <c r="AA103" i="2"/>
  <c r="I105" i="2" l="1"/>
  <c r="J105" i="2" s="1"/>
  <c r="R104" i="2"/>
  <c r="Q105" i="2" s="1"/>
  <c r="Z104" i="2"/>
  <c r="Y105" i="2" s="1"/>
  <c r="T104" i="2"/>
  <c r="S105" i="2" s="1"/>
  <c r="P104" i="2"/>
  <c r="O105" i="2" s="1"/>
  <c r="U104" i="2"/>
  <c r="N104" i="2"/>
  <c r="M105" i="2" s="1"/>
  <c r="L104" i="2"/>
  <c r="K105" i="2" s="1"/>
  <c r="X104" i="2"/>
  <c r="W105" i="2" s="1"/>
  <c r="AA104" i="2"/>
  <c r="R105" i="2" l="1"/>
  <c r="Q106" i="2" s="1"/>
  <c r="I106" i="2"/>
  <c r="J106" i="2" s="1"/>
  <c r="Z105" i="2"/>
  <c r="Y106" i="2" s="1"/>
  <c r="P105" i="2"/>
  <c r="O106" i="2" s="1"/>
  <c r="T105" i="2"/>
  <c r="S106" i="2" s="1"/>
  <c r="N105" i="2"/>
  <c r="M106" i="2" s="1"/>
  <c r="U105" i="2"/>
  <c r="L105" i="2"/>
  <c r="K106" i="2" s="1"/>
  <c r="X105" i="2"/>
  <c r="W106" i="2" s="1"/>
  <c r="AA105" i="2"/>
  <c r="R106" i="2" l="1"/>
  <c r="Q107" i="2" s="1"/>
  <c r="I107" i="2"/>
  <c r="J107" i="2" s="1"/>
  <c r="P106" i="2"/>
  <c r="O107" i="2" s="1"/>
  <c r="Z106" i="2"/>
  <c r="Y107" i="2" s="1"/>
  <c r="T106" i="2"/>
  <c r="S107" i="2" s="1"/>
  <c r="U106" i="2"/>
  <c r="N106" i="2"/>
  <c r="M107" i="2" s="1"/>
  <c r="L106" i="2"/>
  <c r="K107" i="2" s="1"/>
  <c r="X106" i="2"/>
  <c r="W107" i="2" s="1"/>
  <c r="AA106" i="2"/>
  <c r="R107" i="2" l="1"/>
  <c r="Q108" i="2" s="1"/>
  <c r="I108" i="2"/>
  <c r="J108" i="2" s="1"/>
  <c r="Z107" i="2"/>
  <c r="Y108" i="2" s="1"/>
  <c r="T107" i="2"/>
  <c r="S108" i="2" s="1"/>
  <c r="P107" i="2"/>
  <c r="O108" i="2" s="1"/>
  <c r="U107" i="2"/>
  <c r="N107" i="2"/>
  <c r="M108" i="2" s="1"/>
  <c r="L107" i="2"/>
  <c r="K108" i="2" s="1"/>
  <c r="X107" i="2"/>
  <c r="W108" i="2" s="1"/>
  <c r="AA107" i="2"/>
  <c r="R108" i="2" l="1"/>
  <c r="Q109" i="2" s="1"/>
  <c r="Z108" i="2"/>
  <c r="Y109" i="2" s="1"/>
  <c r="I109" i="2"/>
  <c r="J109" i="2" s="1"/>
  <c r="T108" i="2"/>
  <c r="S109" i="2" s="1"/>
  <c r="P108" i="2"/>
  <c r="O109" i="2" s="1"/>
  <c r="U108" i="2"/>
  <c r="N108" i="2"/>
  <c r="M109" i="2" s="1"/>
  <c r="L108" i="2"/>
  <c r="K109" i="2" s="1"/>
  <c r="X108" i="2"/>
  <c r="W109" i="2" s="1"/>
  <c r="AA108" i="2"/>
  <c r="R109" i="2" l="1"/>
  <c r="Q110" i="2" s="1"/>
  <c r="Z109" i="2"/>
  <c r="Y110" i="2" s="1"/>
  <c r="I110" i="2"/>
  <c r="J110" i="2" s="1"/>
  <c r="P109" i="2"/>
  <c r="O110" i="2" s="1"/>
  <c r="T109" i="2"/>
  <c r="S110" i="2" s="1"/>
  <c r="U109" i="2"/>
  <c r="N109" i="2"/>
  <c r="M110" i="2" s="1"/>
  <c r="L109" i="2"/>
  <c r="K110" i="2" s="1"/>
  <c r="X109" i="2"/>
  <c r="W110" i="2" s="1"/>
  <c r="AA109" i="2"/>
  <c r="R110" i="2" l="1"/>
  <c r="Q111" i="2" s="1"/>
  <c r="Z110" i="2"/>
  <c r="Y111" i="2" s="1"/>
  <c r="I111" i="2"/>
  <c r="J111" i="2" s="1"/>
  <c r="P110" i="2"/>
  <c r="O111" i="2" s="1"/>
  <c r="T110" i="2"/>
  <c r="S111" i="2" s="1"/>
  <c r="N110" i="2"/>
  <c r="M111" i="2" s="1"/>
  <c r="U110" i="2"/>
  <c r="L110" i="2"/>
  <c r="K111" i="2" s="1"/>
  <c r="X110" i="2"/>
  <c r="W111" i="2" s="1"/>
  <c r="AA110" i="2"/>
  <c r="I112" i="2" l="1"/>
  <c r="J112" i="2" s="1"/>
  <c r="R111" i="2"/>
  <c r="Q112" i="2" s="1"/>
  <c r="Z111" i="2"/>
  <c r="Y112" i="2" s="1"/>
  <c r="T111" i="2"/>
  <c r="S112" i="2" s="1"/>
  <c r="U111" i="2"/>
  <c r="P111" i="2"/>
  <c r="O112" i="2" s="1"/>
  <c r="N111" i="2"/>
  <c r="M112" i="2" s="1"/>
  <c r="L111" i="2"/>
  <c r="K112" i="2" s="1"/>
  <c r="X111" i="2"/>
  <c r="W112" i="2" s="1"/>
  <c r="AA111" i="2"/>
  <c r="I113" i="2" l="1"/>
  <c r="J113" i="2" s="1"/>
  <c r="R112" i="2"/>
  <c r="Q113" i="2" s="1"/>
  <c r="Z112" i="2"/>
  <c r="Y113" i="2" s="1"/>
  <c r="T112" i="2"/>
  <c r="S113" i="2" s="1"/>
  <c r="P112" i="2"/>
  <c r="O113" i="2" s="1"/>
  <c r="N112" i="2"/>
  <c r="M113" i="2" s="1"/>
  <c r="U112" i="2"/>
  <c r="L112" i="2"/>
  <c r="K113" i="2" s="1"/>
  <c r="X112" i="2"/>
  <c r="W113" i="2" s="1"/>
  <c r="AA112" i="2"/>
  <c r="R113" i="2" l="1"/>
  <c r="Q114" i="2" s="1"/>
  <c r="I114" i="2"/>
  <c r="J114" i="2" s="1"/>
  <c r="Z113" i="2"/>
  <c r="Y114" i="2" s="1"/>
  <c r="T113" i="2"/>
  <c r="S114" i="2" s="1"/>
  <c r="N113" i="2"/>
  <c r="M114" i="2" s="1"/>
  <c r="U113" i="2"/>
  <c r="P113" i="2"/>
  <c r="O114" i="2" s="1"/>
  <c r="L113" i="2"/>
  <c r="K114" i="2" s="1"/>
  <c r="X113" i="2"/>
  <c r="W114" i="2" s="1"/>
  <c r="AA113" i="2"/>
  <c r="I115" i="2" l="1"/>
  <c r="J115" i="2" s="1"/>
  <c r="R114" i="2"/>
  <c r="Q115" i="2" s="1"/>
  <c r="P114" i="2"/>
  <c r="O115" i="2" s="1"/>
  <c r="T114" i="2"/>
  <c r="S115" i="2" s="1"/>
  <c r="Z114" i="2"/>
  <c r="Y115" i="2" s="1"/>
  <c r="U114" i="2"/>
  <c r="N114" i="2"/>
  <c r="M115" i="2" s="1"/>
  <c r="L114" i="2"/>
  <c r="K115" i="2" s="1"/>
  <c r="X114" i="2"/>
  <c r="W115" i="2" s="1"/>
  <c r="AA114" i="2"/>
  <c r="I116" i="2" l="1"/>
  <c r="J116" i="2" s="1"/>
  <c r="R115" i="2"/>
  <c r="Q116" i="2" s="1"/>
  <c r="Z115" i="2"/>
  <c r="Y116" i="2" s="1"/>
  <c r="T115" i="2"/>
  <c r="S116" i="2" s="1"/>
  <c r="N115" i="2"/>
  <c r="M116" i="2" s="1"/>
  <c r="P115" i="2"/>
  <c r="O116" i="2" s="1"/>
  <c r="U115" i="2"/>
  <c r="L115" i="2"/>
  <c r="K116" i="2" s="1"/>
  <c r="X115" i="2"/>
  <c r="W116" i="2" s="1"/>
  <c r="AA115" i="2"/>
  <c r="R116" i="2" l="1"/>
  <c r="Q117" i="2" s="1"/>
  <c r="I117" i="2"/>
  <c r="J117" i="2" s="1"/>
  <c r="Z116" i="2"/>
  <c r="Y117" i="2" s="1"/>
  <c r="U116" i="2"/>
  <c r="T116" i="2"/>
  <c r="S117" i="2" s="1"/>
  <c r="P116" i="2"/>
  <c r="O117" i="2" s="1"/>
  <c r="N116" i="2"/>
  <c r="M117" i="2" s="1"/>
  <c r="L116" i="2"/>
  <c r="K117" i="2" s="1"/>
  <c r="X116" i="2"/>
  <c r="W117" i="2" s="1"/>
  <c r="AA116" i="2"/>
  <c r="R117" i="2" l="1"/>
  <c r="Q118" i="2" s="1"/>
  <c r="I118" i="2"/>
  <c r="J118" i="2" s="1"/>
  <c r="Z117" i="2"/>
  <c r="Y118" i="2" s="1"/>
  <c r="U117" i="2"/>
  <c r="N117" i="2"/>
  <c r="M118" i="2" s="1"/>
  <c r="P117" i="2"/>
  <c r="O118" i="2" s="1"/>
  <c r="T117" i="2"/>
  <c r="S118" i="2" s="1"/>
  <c r="L117" i="2"/>
  <c r="K118" i="2" s="1"/>
  <c r="X117" i="2"/>
  <c r="W118" i="2" s="1"/>
  <c r="AA117" i="2"/>
  <c r="R118" i="2" l="1"/>
  <c r="Q119" i="2" s="1"/>
  <c r="Z118" i="2"/>
  <c r="Y119" i="2" s="1"/>
  <c r="I119" i="2"/>
  <c r="J119" i="2" s="1"/>
  <c r="T118" i="2"/>
  <c r="S119" i="2" s="1"/>
  <c r="N118" i="2"/>
  <c r="M119" i="2" s="1"/>
  <c r="U118" i="2"/>
  <c r="P118" i="2"/>
  <c r="O119" i="2" s="1"/>
  <c r="L118" i="2"/>
  <c r="K119" i="2" s="1"/>
  <c r="X118" i="2"/>
  <c r="W119" i="2" s="1"/>
  <c r="AA118" i="2"/>
  <c r="I120" i="2" l="1"/>
  <c r="J120" i="2" s="1"/>
  <c r="R119" i="2"/>
  <c r="Q120" i="2" s="1"/>
  <c r="Z119" i="2"/>
  <c r="Y120" i="2" s="1"/>
  <c r="U119" i="2"/>
  <c r="T119" i="2"/>
  <c r="S120" i="2" s="1"/>
  <c r="P119" i="2"/>
  <c r="O120" i="2" s="1"/>
  <c r="N119" i="2"/>
  <c r="M120" i="2" s="1"/>
  <c r="L119" i="2"/>
  <c r="K120" i="2" s="1"/>
  <c r="X119" i="2"/>
  <c r="W120" i="2" s="1"/>
  <c r="AA119" i="2"/>
  <c r="R120" i="2" l="1"/>
  <c r="Q121" i="2" s="1"/>
  <c r="Z120" i="2"/>
  <c r="Y121" i="2" s="1"/>
  <c r="I121" i="2"/>
  <c r="J121" i="2" s="1"/>
  <c r="N120" i="2"/>
  <c r="M121" i="2" s="1"/>
  <c r="P120" i="2"/>
  <c r="O121" i="2" s="1"/>
  <c r="U120" i="2"/>
  <c r="T120" i="2"/>
  <c r="S121" i="2" s="1"/>
  <c r="L120" i="2"/>
  <c r="K121" i="2" s="1"/>
  <c r="X120" i="2"/>
  <c r="W121" i="2" s="1"/>
  <c r="AA120" i="2"/>
  <c r="I122" i="2" l="1"/>
  <c r="J122" i="2" s="1"/>
  <c r="R121" i="2"/>
  <c r="Q122" i="2" s="1"/>
  <c r="Z121" i="2"/>
  <c r="Y122" i="2" s="1"/>
  <c r="P121" i="2"/>
  <c r="O122" i="2" s="1"/>
  <c r="N121" i="2"/>
  <c r="M122" i="2" s="1"/>
  <c r="U121" i="2"/>
  <c r="T121" i="2"/>
  <c r="S122" i="2" s="1"/>
  <c r="L121" i="2"/>
  <c r="K122" i="2" s="1"/>
  <c r="X121" i="2"/>
  <c r="W122" i="2" s="1"/>
  <c r="AA121" i="2"/>
  <c r="I123" i="2" l="1"/>
  <c r="J123" i="2" s="1"/>
  <c r="R122" i="2"/>
  <c r="Q123" i="2" s="1"/>
  <c r="T122" i="2"/>
  <c r="S123" i="2" s="1"/>
  <c r="Z122" i="2"/>
  <c r="Y123" i="2" s="1"/>
  <c r="P122" i="2"/>
  <c r="O123" i="2" s="1"/>
  <c r="U122" i="2"/>
  <c r="N122" i="2"/>
  <c r="M123" i="2" s="1"/>
  <c r="L122" i="2"/>
  <c r="K123" i="2" s="1"/>
  <c r="X122" i="2"/>
  <c r="W123" i="2" s="1"/>
  <c r="AA122" i="2"/>
  <c r="R123" i="2" l="1"/>
  <c r="Q124" i="2" s="1"/>
  <c r="Z123" i="2"/>
  <c r="Y124" i="2" s="1"/>
  <c r="T123" i="2"/>
  <c r="S124" i="2" s="1"/>
  <c r="I124" i="2"/>
  <c r="J124" i="2" s="1"/>
  <c r="P123" i="2"/>
  <c r="O124" i="2" s="1"/>
  <c r="U123" i="2"/>
  <c r="N123" i="2"/>
  <c r="M124" i="2" s="1"/>
  <c r="L123" i="2"/>
  <c r="K124" i="2" s="1"/>
  <c r="X123" i="2"/>
  <c r="W124" i="2" s="1"/>
  <c r="AA123" i="2"/>
  <c r="I125" i="2" l="1"/>
  <c r="J125" i="2" s="1"/>
  <c r="R124" i="2"/>
  <c r="Q125" i="2" s="1"/>
  <c r="T124" i="2"/>
  <c r="S125" i="2" s="1"/>
  <c r="Z124" i="2"/>
  <c r="Y125" i="2" s="1"/>
  <c r="U124" i="2"/>
  <c r="P124" i="2"/>
  <c r="O125" i="2" s="1"/>
  <c r="N124" i="2"/>
  <c r="M125" i="2" s="1"/>
  <c r="L124" i="2"/>
  <c r="K125" i="2" s="1"/>
  <c r="X124" i="2"/>
  <c r="W125" i="2" s="1"/>
  <c r="AA124" i="2"/>
  <c r="R125" i="2" l="1"/>
  <c r="Q126" i="2" s="1"/>
  <c r="I126" i="2"/>
  <c r="J126" i="2" s="1"/>
  <c r="Z125" i="2"/>
  <c r="Y126" i="2" s="1"/>
  <c r="N125" i="2"/>
  <c r="M126" i="2" s="1"/>
  <c r="T125" i="2"/>
  <c r="S126" i="2" s="1"/>
  <c r="P125" i="2"/>
  <c r="O126" i="2" s="1"/>
  <c r="U125" i="2"/>
  <c r="L125" i="2"/>
  <c r="K126" i="2" s="1"/>
  <c r="X125" i="2"/>
  <c r="W126" i="2" s="1"/>
  <c r="AA125" i="2"/>
  <c r="R126" i="2" l="1"/>
  <c r="Q127" i="2" s="1"/>
  <c r="I127" i="2"/>
  <c r="J127" i="2" s="1"/>
  <c r="N126" i="2"/>
  <c r="M127" i="2" s="1"/>
  <c r="T126" i="2"/>
  <c r="S127" i="2" s="1"/>
  <c r="Z126" i="2"/>
  <c r="Y127" i="2" s="1"/>
  <c r="U126" i="2"/>
  <c r="P126" i="2"/>
  <c r="O127" i="2" s="1"/>
  <c r="L126" i="2"/>
  <c r="K127" i="2" s="1"/>
  <c r="X126" i="2"/>
  <c r="W127" i="2" s="1"/>
  <c r="AA126" i="2"/>
  <c r="R127" i="2" l="1"/>
  <c r="Q128" i="2" s="1"/>
  <c r="I128" i="2"/>
  <c r="J128" i="2" s="1"/>
  <c r="U127" i="2"/>
  <c r="Z127" i="2"/>
  <c r="Y128" i="2" s="1"/>
  <c r="P127" i="2"/>
  <c r="O128" i="2" s="1"/>
  <c r="T127" i="2"/>
  <c r="S128" i="2" s="1"/>
  <c r="L127" i="2"/>
  <c r="K128" i="2" s="1"/>
  <c r="N127" i="2"/>
  <c r="M128" i="2" s="1"/>
  <c r="X127" i="2"/>
  <c r="W128" i="2" s="1"/>
  <c r="AA127" i="2"/>
  <c r="I129" i="2" l="1"/>
  <c r="J129" i="2" s="1"/>
  <c r="R128" i="2"/>
  <c r="Q129" i="2" s="1"/>
  <c r="P128" i="2"/>
  <c r="O129" i="2" s="1"/>
  <c r="T128" i="2"/>
  <c r="S129" i="2" s="1"/>
  <c r="Z128" i="2"/>
  <c r="Y129" i="2" s="1"/>
  <c r="L128" i="2"/>
  <c r="K129" i="2" s="1"/>
  <c r="U128" i="2"/>
  <c r="N128" i="2"/>
  <c r="M129" i="2" s="1"/>
  <c r="X128" i="2"/>
  <c r="W129" i="2" s="1"/>
  <c r="AA128" i="2"/>
  <c r="R129" i="2" l="1"/>
  <c r="Q130" i="2" s="1"/>
  <c r="I130" i="2"/>
  <c r="J130" i="2" s="1"/>
  <c r="T129" i="2"/>
  <c r="S130" i="2" s="1"/>
  <c r="Z129" i="2"/>
  <c r="Y130" i="2" s="1"/>
  <c r="P129" i="2"/>
  <c r="O130" i="2" s="1"/>
  <c r="N129" i="2"/>
  <c r="M130" i="2" s="1"/>
  <c r="L129" i="2"/>
  <c r="K130" i="2" s="1"/>
  <c r="U129" i="2"/>
  <c r="X129" i="2"/>
  <c r="W130" i="2" s="1"/>
  <c r="AA129" i="2"/>
  <c r="R130" i="2" l="1"/>
  <c r="Q131" i="2" s="1"/>
  <c r="Z130" i="2"/>
  <c r="Y131" i="2" s="1"/>
  <c r="I131" i="2"/>
  <c r="J131" i="2" s="1"/>
  <c r="U130" i="2"/>
  <c r="T130" i="2"/>
  <c r="S131" i="2" s="1"/>
  <c r="N130" i="2"/>
  <c r="M131" i="2" s="1"/>
  <c r="P130" i="2"/>
  <c r="O131" i="2" s="1"/>
  <c r="L130" i="2"/>
  <c r="K131" i="2" s="1"/>
  <c r="X130" i="2"/>
  <c r="W131" i="2" s="1"/>
  <c r="AA130" i="2"/>
  <c r="I132" i="2" l="1"/>
  <c r="J132" i="2" s="1"/>
  <c r="R131" i="2"/>
  <c r="Q132" i="2" s="1"/>
  <c r="Z131" i="2"/>
  <c r="Y132" i="2" s="1"/>
  <c r="N131" i="2"/>
  <c r="M132" i="2" s="1"/>
  <c r="P131" i="2"/>
  <c r="O132" i="2" s="1"/>
  <c r="U131" i="2"/>
  <c r="T131" i="2"/>
  <c r="S132" i="2" s="1"/>
  <c r="L131" i="2"/>
  <c r="K132" i="2" s="1"/>
  <c r="X131" i="2"/>
  <c r="W132" i="2" s="1"/>
  <c r="AA131" i="2"/>
  <c r="I133" i="2" l="1"/>
  <c r="J133" i="2" s="1"/>
  <c r="R132" i="2"/>
  <c r="Q133" i="2" s="1"/>
  <c r="Z132" i="2"/>
  <c r="Y133" i="2" s="1"/>
  <c r="P132" i="2"/>
  <c r="O133" i="2" s="1"/>
  <c r="T132" i="2"/>
  <c r="S133" i="2" s="1"/>
  <c r="N132" i="2"/>
  <c r="M133" i="2" s="1"/>
  <c r="U132" i="2"/>
  <c r="L132" i="2"/>
  <c r="K133" i="2" s="1"/>
  <c r="X132" i="2"/>
  <c r="W133" i="2" s="1"/>
  <c r="AA132" i="2"/>
  <c r="R133" i="2" l="1"/>
  <c r="Q134" i="2" s="1"/>
  <c r="I134" i="2"/>
  <c r="J134" i="2" s="1"/>
  <c r="N133" i="2"/>
  <c r="M134" i="2" s="1"/>
  <c r="P133" i="2"/>
  <c r="O134" i="2" s="1"/>
  <c r="T133" i="2"/>
  <c r="S134" i="2" s="1"/>
  <c r="U133" i="2"/>
  <c r="Z133" i="2"/>
  <c r="Y134" i="2" s="1"/>
  <c r="L133" i="2"/>
  <c r="K134" i="2" s="1"/>
  <c r="X133" i="2"/>
  <c r="W134" i="2" s="1"/>
  <c r="AA133" i="2"/>
  <c r="R134" i="2" l="1"/>
  <c r="Q135" i="2" s="1"/>
  <c r="I135" i="2"/>
  <c r="J135" i="2" s="1"/>
  <c r="P134" i="2"/>
  <c r="O135" i="2" s="1"/>
  <c r="Z134" i="2"/>
  <c r="Y135" i="2" s="1"/>
  <c r="T134" i="2"/>
  <c r="S135" i="2" s="1"/>
  <c r="N134" i="2"/>
  <c r="M135" i="2" s="1"/>
  <c r="L134" i="2"/>
  <c r="K135" i="2" s="1"/>
  <c r="U134" i="2"/>
  <c r="X134" i="2"/>
  <c r="W135" i="2" s="1"/>
  <c r="AA134" i="2"/>
  <c r="I136" i="2" l="1"/>
  <c r="J136" i="2" s="1"/>
  <c r="R135" i="2"/>
  <c r="Q136" i="2" s="1"/>
  <c r="Z135" i="2"/>
  <c r="Y136" i="2" s="1"/>
  <c r="T135" i="2"/>
  <c r="S136" i="2" s="1"/>
  <c r="N135" i="2"/>
  <c r="M136" i="2" s="1"/>
  <c r="P135" i="2"/>
  <c r="O136" i="2" s="1"/>
  <c r="U135" i="2"/>
  <c r="L135" i="2"/>
  <c r="K136" i="2" s="1"/>
  <c r="X135" i="2"/>
  <c r="W136" i="2" s="1"/>
  <c r="AA135" i="2"/>
  <c r="R136" i="2" l="1"/>
  <c r="Z136" i="2"/>
  <c r="P136" i="2"/>
  <c r="N136" i="2"/>
  <c r="T136" i="2"/>
  <c r="U136" i="2"/>
  <c r="L136" i="2"/>
  <c r="X136" i="2"/>
  <c r="AA136" i="2"/>
  <c r="O2" i="14" l="1" a="1"/>
  <c r="O8" i="14" l="1"/>
  <c r="O3" i="14"/>
  <c r="O7" i="14"/>
  <c r="O2" i="14"/>
  <c r="O9" i="14"/>
  <c r="O5" i="14"/>
  <c r="O4" i="14"/>
  <c r="O6" i="14"/>
  <c r="O12" i="14" l="1" a="1"/>
  <c r="O17" i="14" s="1"/>
  <c r="O16" i="14" l="1"/>
  <c r="O13" i="14"/>
  <c r="O14" i="14"/>
  <c r="O15" i="14"/>
  <c r="O19" i="14"/>
  <c r="O18" i="14"/>
  <c r="O12" i="14"/>
  <c r="O22" i="14" l="1" a="1"/>
  <c r="O29" i="14" s="1"/>
  <c r="O24" i="14" l="1"/>
  <c r="O25" i="14"/>
  <c r="O23" i="14"/>
  <c r="O26" i="14"/>
  <c r="O22" i="14"/>
  <c r="O28" i="14"/>
  <c r="O27" i="14"/>
  <c r="O32" i="14" l="1" a="1"/>
  <c r="O34" i="14" s="1"/>
  <c r="O32" i="14" l="1"/>
  <c r="O39" i="14"/>
  <c r="O36" i="14"/>
  <c r="O35" i="14"/>
  <c r="O37" i="14"/>
  <c r="O38" i="14"/>
  <c r="O33" i="14"/>
  <c r="O42" i="14" l="1" a="1"/>
  <c r="O49" i="14" s="1"/>
  <c r="O45" i="14" l="1"/>
  <c r="O44" i="14"/>
  <c r="O47" i="14"/>
  <c r="O43" i="14"/>
  <c r="O48" i="14"/>
  <c r="O42" i="14"/>
  <c r="O46" i="14"/>
  <c r="F65" i="14" a="1"/>
  <c r="F65" i="14" l="1"/>
  <c r="G67" i="14"/>
  <c r="H65" i="14"/>
  <c r="H71" i="14"/>
  <c r="I71" i="14"/>
  <c r="F71" i="14"/>
  <c r="J67" i="14"/>
  <c r="K65" i="14"/>
  <c r="K67" i="14"/>
  <c r="K69" i="14"/>
  <c r="K71" i="14"/>
  <c r="L65" i="14"/>
  <c r="L67" i="14"/>
  <c r="L69" i="14"/>
  <c r="L71" i="14"/>
  <c r="M65" i="14"/>
  <c r="M67" i="14"/>
  <c r="M69" i="14"/>
  <c r="M71" i="14"/>
  <c r="J66" i="14"/>
  <c r="F69" i="14"/>
  <c r="F72" i="14"/>
  <c r="F70" i="14"/>
  <c r="G66" i="14"/>
  <c r="G68" i="14"/>
  <c r="G70" i="14"/>
  <c r="G72" i="14"/>
  <c r="H66" i="14"/>
  <c r="H68" i="14"/>
  <c r="H70" i="14"/>
  <c r="H72" i="14"/>
  <c r="I66" i="14"/>
  <c r="I68" i="14"/>
  <c r="I70" i="14"/>
  <c r="I72" i="14"/>
  <c r="F67" i="14"/>
  <c r="J69" i="14"/>
  <c r="J72" i="14"/>
  <c r="J71" i="14"/>
  <c r="K66" i="14"/>
  <c r="K68" i="14"/>
  <c r="K70" i="14"/>
  <c r="K72" i="14"/>
  <c r="L66" i="14"/>
  <c r="L68" i="14"/>
  <c r="L70" i="14"/>
  <c r="L72" i="14"/>
  <c r="M66" i="14"/>
  <c r="M68" i="14"/>
  <c r="M70" i="14"/>
  <c r="J65" i="14"/>
  <c r="F68" i="14"/>
  <c r="J70" i="14"/>
  <c r="M72" i="14"/>
  <c r="G65" i="14"/>
  <c r="G69" i="14"/>
  <c r="G71" i="14"/>
  <c r="H67" i="14"/>
  <c r="H69" i="14"/>
  <c r="I65" i="14"/>
  <c r="I67" i="14"/>
  <c r="I69" i="14"/>
  <c r="F66" i="14"/>
  <c r="J68" i="14"/>
  <c r="H130" i="14" l="1"/>
  <c r="H126" i="14"/>
  <c r="H127" i="14"/>
  <c r="H131" i="14"/>
  <c r="H133" i="14"/>
  <c r="H132" i="14"/>
  <c r="H129" i="14"/>
  <c r="H128" i="14"/>
  <c r="F55" i="14" l="1" a="1"/>
  <c r="F56" i="14"/>
  <c r="F58" i="14"/>
  <c r="F60" i="14"/>
  <c r="F62" i="14"/>
  <c r="I62" i="14"/>
  <c r="K56" i="14"/>
  <c r="K58" i="14"/>
  <c r="K60" i="14"/>
  <c r="K62" i="14"/>
  <c r="L56" i="14"/>
  <c r="L58" i="14"/>
  <c r="L60" i="14"/>
  <c r="L62" i="14"/>
  <c r="M56" i="14"/>
  <c r="M58" i="14"/>
  <c r="M61" i="14"/>
  <c r="J56" i="14"/>
  <c r="J58" i="14"/>
  <c r="J60" i="14"/>
  <c r="J62" i="14"/>
  <c r="G55" i="14"/>
  <c r="G57" i="14"/>
  <c r="G59" i="14"/>
  <c r="G61" i="14"/>
  <c r="H55" i="14"/>
  <c r="H57" i="14"/>
  <c r="H59" i="14"/>
  <c r="H61" i="14"/>
  <c r="I55" i="14"/>
  <c r="I57" i="14"/>
  <c r="I59" i="14"/>
  <c r="M62" i="14"/>
  <c r="F55" i="14"/>
  <c r="F57" i="14"/>
  <c r="F59" i="14"/>
  <c r="F61" i="14"/>
  <c r="I60" i="14"/>
  <c r="K55" i="14"/>
  <c r="K57" i="14"/>
  <c r="K59" i="14"/>
  <c r="K61" i="14"/>
  <c r="L55" i="14"/>
  <c r="L57" i="14"/>
  <c r="L59" i="14"/>
  <c r="L61" i="14"/>
  <c r="M55" i="14"/>
  <c r="M57" i="14"/>
  <c r="M59" i="14"/>
  <c r="J55" i="14"/>
  <c r="J57" i="14"/>
  <c r="J59" i="14"/>
  <c r="J61" i="14"/>
  <c r="I61" i="14"/>
  <c r="G56" i="14"/>
  <c r="G58" i="14"/>
  <c r="G60" i="14"/>
  <c r="G62" i="14"/>
  <c r="H56" i="14"/>
  <c r="H58" i="14"/>
  <c r="H60" i="14"/>
  <c r="H62" i="14"/>
  <c r="I56" i="14"/>
  <c r="I58" i="14"/>
  <c r="M60" i="14"/>
  <c r="F45" i="14" a="1"/>
  <c r="J50" i="14"/>
  <c r="K52" i="14"/>
  <c r="L46" i="14"/>
  <c r="L48" i="14"/>
  <c r="L50" i="14"/>
  <c r="L52" i="14"/>
  <c r="M46" i="14"/>
  <c r="M48" i="14"/>
  <c r="M50" i="14"/>
  <c r="F45" i="14"/>
  <c r="F47" i="14"/>
  <c r="J49" i="14"/>
  <c r="J51" i="14"/>
  <c r="K45" i="14"/>
  <c r="K47" i="14"/>
  <c r="K49" i="14"/>
  <c r="G52" i="14"/>
  <c r="H45" i="14"/>
  <c r="H47" i="14"/>
  <c r="H49" i="14"/>
  <c r="H51" i="14"/>
  <c r="I45" i="14"/>
  <c r="I47" i="14"/>
  <c r="I49" i="14"/>
  <c r="I51" i="14"/>
  <c r="J45" i="14"/>
  <c r="J47" i="14"/>
  <c r="F50" i="14"/>
  <c r="F52" i="14"/>
  <c r="G46" i="14"/>
  <c r="G48" i="14"/>
  <c r="G50" i="14"/>
  <c r="M52" i="14"/>
  <c r="F48" i="14"/>
  <c r="L45" i="14"/>
  <c r="L47" i="14"/>
  <c r="L49" i="14"/>
  <c r="L51" i="14"/>
  <c r="M45" i="14"/>
  <c r="M47" i="14"/>
  <c r="M49" i="14"/>
  <c r="M51" i="14"/>
  <c r="F46" i="14"/>
  <c r="J48" i="14"/>
  <c r="J52" i="14"/>
  <c r="K46" i="14"/>
  <c r="K48" i="14"/>
  <c r="K50" i="14"/>
  <c r="G51" i="14"/>
  <c r="H46" i="14"/>
  <c r="H48" i="14"/>
  <c r="H50" i="14"/>
  <c r="H52" i="14"/>
  <c r="I46" i="14"/>
  <c r="I48" i="14"/>
  <c r="I50" i="14"/>
  <c r="I52" i="14"/>
  <c r="J46" i="14"/>
  <c r="F49" i="14"/>
  <c r="F51" i="14"/>
  <c r="G45" i="14"/>
  <c r="G47" i="14"/>
  <c r="G49" i="14"/>
  <c r="K51" i="14"/>
  <c r="G133" i="14"/>
  <c r="G127" i="14"/>
  <c r="G126" i="14"/>
  <c r="G130" i="14"/>
  <c r="G132" i="14"/>
  <c r="G131" i="14"/>
  <c r="G129" i="14"/>
  <c r="G128" i="14"/>
  <c r="F132" i="14" l="1"/>
  <c r="F130" i="14"/>
  <c r="F128" i="14"/>
  <c r="F129" i="14"/>
  <c r="F131" i="14"/>
  <c r="F133" i="14"/>
  <c r="F127" i="14"/>
  <c r="F126" i="14"/>
  <c r="F136" i="14" l="1" a="1"/>
  <c r="G138" i="14" l="1"/>
  <c r="H141" i="14"/>
  <c r="M141" i="14"/>
  <c r="F140" i="14"/>
  <c r="G136" i="14"/>
  <c r="K136" i="14"/>
  <c r="L141" i="14"/>
  <c r="K142" i="14"/>
  <c r="M139" i="14"/>
  <c r="I140" i="14"/>
  <c r="I139" i="14"/>
  <c r="I143" i="14"/>
  <c r="L143" i="14"/>
  <c r="I136" i="14"/>
  <c r="M138" i="14"/>
  <c r="F143" i="14"/>
  <c r="K137" i="14"/>
  <c r="M136" i="14"/>
  <c r="G143" i="14"/>
  <c r="I142" i="14"/>
  <c r="G137" i="14"/>
  <c r="G139" i="14"/>
  <c r="L137" i="14"/>
  <c r="H138" i="14"/>
  <c r="K139" i="14"/>
  <c r="G140" i="14"/>
  <c r="F137" i="14"/>
  <c r="I141" i="14"/>
  <c r="H139" i="14"/>
  <c r="J143" i="14"/>
  <c r="L136" i="14"/>
  <c r="F141" i="14"/>
  <c r="H137" i="14"/>
  <c r="H143" i="14"/>
  <c r="F142" i="14"/>
  <c r="M140" i="14"/>
  <c r="M142" i="14"/>
  <c r="J136" i="14"/>
  <c r="G141" i="14"/>
  <c r="F136" i="14"/>
  <c r="I138" i="14"/>
  <c r="G142" i="14"/>
  <c r="K140" i="14"/>
  <c r="L138" i="14"/>
  <c r="J139" i="14"/>
  <c r="L140" i="14"/>
  <c r="M143" i="14"/>
  <c r="J140" i="14"/>
  <c r="K141" i="14"/>
  <c r="J138" i="14"/>
  <c r="K138" i="14"/>
  <c r="F138" i="14"/>
  <c r="I137" i="14"/>
  <c r="H142" i="14"/>
  <c r="L142" i="14"/>
  <c r="J142" i="14"/>
  <c r="J137" i="14"/>
  <c r="K143" i="14"/>
  <c r="J141" i="14"/>
  <c r="H136" i="14"/>
  <c r="H140" i="14"/>
  <c r="M137" i="14"/>
  <c r="F139" i="14"/>
  <c r="L139" i="14"/>
  <c r="F146" i="14" l="1" a="1"/>
  <c r="F146" i="14" l="1"/>
  <c r="H146" i="14"/>
  <c r="L146" i="14"/>
  <c r="G146" i="14"/>
  <c r="I146" i="14"/>
  <c r="J146" i="14"/>
  <c r="K146" i="14"/>
  <c r="M146" i="14"/>
  <c r="I148" i="14" l="1"/>
  <c r="I166" i="14" s="1"/>
  <c r="I149" i="14"/>
  <c r="I167" i="14" s="1"/>
  <c r="I150" i="14"/>
  <c r="I168" i="14" s="1"/>
  <c r="I151" i="14"/>
  <c r="I169" i="14" s="1"/>
  <c r="I152" i="14"/>
  <c r="I170" i="14" s="1"/>
  <c r="I153" i="14"/>
  <c r="I171" i="14" s="1"/>
  <c r="I154" i="14"/>
  <c r="I172" i="14" s="1"/>
  <c r="I155" i="14"/>
  <c r="I173" i="14" s="1"/>
  <c r="F148" i="14"/>
  <c r="F166" i="14" s="1"/>
  <c r="F149" i="14"/>
  <c r="F167" i="14" s="1"/>
  <c r="F150" i="14"/>
  <c r="F168" i="14" s="1"/>
  <c r="F151" i="14"/>
  <c r="F169" i="14" s="1"/>
  <c r="F152" i="14"/>
  <c r="F170" i="14" s="1"/>
  <c r="F153" i="14"/>
  <c r="F171" i="14" s="1"/>
  <c r="F154" i="14"/>
  <c r="F172" i="14" s="1"/>
  <c r="F155" i="14"/>
  <c r="F173" i="14" s="1"/>
  <c r="M152" i="14"/>
  <c r="M170" i="14" s="1"/>
  <c r="M153" i="14"/>
  <c r="M171" i="14" s="1"/>
  <c r="M154" i="14"/>
  <c r="M172" i="14" s="1"/>
  <c r="M155" i="14"/>
  <c r="M173" i="14" s="1"/>
  <c r="M148" i="14"/>
  <c r="M166" i="14" s="1"/>
  <c r="M149" i="14"/>
  <c r="M167" i="14" s="1"/>
  <c r="M150" i="14"/>
  <c r="M168" i="14" s="1"/>
  <c r="M151" i="14"/>
  <c r="M169" i="14" s="1"/>
  <c r="G148" i="14"/>
  <c r="G166" i="14" s="1"/>
  <c r="G149" i="14"/>
  <c r="G167" i="14" s="1"/>
  <c r="G150" i="14"/>
  <c r="G168" i="14" s="1"/>
  <c r="G151" i="14"/>
  <c r="G169" i="14" s="1"/>
  <c r="G152" i="14"/>
  <c r="G170" i="14" s="1"/>
  <c r="G153" i="14"/>
  <c r="G171" i="14" s="1"/>
  <c r="G154" i="14"/>
  <c r="G172" i="14" s="1"/>
  <c r="G155" i="14"/>
  <c r="G173" i="14" s="1"/>
  <c r="K148" i="14"/>
  <c r="K166" i="14" s="1"/>
  <c r="K149" i="14"/>
  <c r="K167" i="14" s="1"/>
  <c r="K150" i="14"/>
  <c r="K168" i="14" s="1"/>
  <c r="K151" i="14"/>
  <c r="K169" i="14" s="1"/>
  <c r="K152" i="14"/>
  <c r="K170" i="14" s="1"/>
  <c r="K153" i="14"/>
  <c r="K171" i="14" s="1"/>
  <c r="K154" i="14"/>
  <c r="K172" i="14" s="1"/>
  <c r="K155" i="14"/>
  <c r="K173" i="14" s="1"/>
  <c r="L148" i="14"/>
  <c r="L166" i="14" s="1"/>
  <c r="L149" i="14"/>
  <c r="L167" i="14" s="1"/>
  <c r="L150" i="14"/>
  <c r="L168" i="14" s="1"/>
  <c r="L151" i="14"/>
  <c r="L169" i="14" s="1"/>
  <c r="L152" i="14"/>
  <c r="L170" i="14" s="1"/>
  <c r="L153" i="14"/>
  <c r="L171" i="14" s="1"/>
  <c r="L154" i="14"/>
  <c r="L172" i="14" s="1"/>
  <c r="L155" i="14"/>
  <c r="L173" i="14" s="1"/>
  <c r="J148" i="14"/>
  <c r="J166" i="14" s="1"/>
  <c r="J149" i="14"/>
  <c r="J167" i="14" s="1"/>
  <c r="J150" i="14"/>
  <c r="J168" i="14" s="1"/>
  <c r="J151" i="14"/>
  <c r="J169" i="14" s="1"/>
  <c r="J152" i="14"/>
  <c r="J170" i="14" s="1"/>
  <c r="J153" i="14"/>
  <c r="J171" i="14" s="1"/>
  <c r="J154" i="14"/>
  <c r="J172" i="14" s="1"/>
  <c r="J155" i="14"/>
  <c r="J173" i="14" s="1"/>
  <c r="H148" i="14"/>
  <c r="H166" i="14" s="1"/>
  <c r="H149" i="14"/>
  <c r="H167" i="14" s="1"/>
  <c r="H150" i="14"/>
  <c r="H168" i="14" s="1"/>
  <c r="H151" i="14"/>
  <c r="H169" i="14" s="1"/>
  <c r="H152" i="14"/>
  <c r="H170" i="14" s="1"/>
  <c r="H153" i="14"/>
  <c r="H171" i="14" s="1"/>
  <c r="H154" i="14"/>
  <c r="H172" i="14" s="1"/>
  <c r="H155" i="14"/>
  <c r="H173" i="14" s="1"/>
  <c r="AA24" i="14" l="1"/>
  <c r="AA96" i="14"/>
  <c r="AA6" i="14"/>
  <c r="AA106" i="14"/>
  <c r="AA132" i="14"/>
  <c r="AA126" i="14"/>
  <c r="AA94" i="14"/>
  <c r="AA86" i="14"/>
  <c r="AA26" i="14"/>
  <c r="AA8" i="14"/>
  <c r="AA82" i="14"/>
  <c r="AA74" i="14"/>
  <c r="AA116" i="14"/>
  <c r="AA134" i="14"/>
  <c r="AA12" i="14"/>
  <c r="AA105" i="14"/>
  <c r="AA80" i="14"/>
  <c r="AA46" i="14"/>
  <c r="AA3" i="14"/>
  <c r="AA47" i="14"/>
  <c r="AA104" i="14"/>
  <c r="AA130" i="14"/>
  <c r="AA93" i="14"/>
  <c r="AA117" i="14"/>
  <c r="AA53" i="14"/>
  <c r="AA76" i="14"/>
  <c r="AA64" i="14"/>
  <c r="AA133" i="14"/>
  <c r="AA18" i="14"/>
  <c r="AA100" i="14"/>
  <c r="AA127" i="14"/>
  <c r="AA39" i="14"/>
  <c r="AA21" i="14"/>
  <c r="AA50" i="14"/>
  <c r="AA62" i="14"/>
  <c r="AA42" i="14"/>
  <c r="AA70" i="14"/>
  <c r="AA63" i="14"/>
  <c r="AA27" i="14"/>
  <c r="AA97" i="14"/>
  <c r="AA112" i="14"/>
  <c r="AA7" i="14"/>
  <c r="AA20" i="14"/>
  <c r="AA57" i="14"/>
  <c r="AA69" i="14"/>
  <c r="AA103" i="14"/>
  <c r="AA58" i="14"/>
  <c r="AA68" i="14"/>
  <c r="AA38" i="14"/>
  <c r="AA45" i="14"/>
  <c r="AA73" i="14"/>
  <c r="AA22" i="14"/>
  <c r="AA23" i="14"/>
  <c r="AA98" i="14"/>
  <c r="AA78" i="14"/>
  <c r="AA59" i="14"/>
  <c r="AA120" i="14"/>
  <c r="AA71" i="14"/>
  <c r="AA13" i="14"/>
  <c r="AA122" i="14"/>
  <c r="AA34" i="14"/>
  <c r="AA75" i="14"/>
  <c r="AA121" i="14"/>
  <c r="AA14" i="14"/>
  <c r="AA90" i="14"/>
  <c r="AA43" i="14"/>
  <c r="AA109" i="14"/>
  <c r="AA131" i="14"/>
  <c r="AA84" i="14"/>
  <c r="AA108" i="14"/>
  <c r="AA32" i="14"/>
  <c r="AA31" i="14"/>
  <c r="AA25" i="14"/>
  <c r="AA19" i="14"/>
  <c r="AA60" i="14"/>
  <c r="AA118" i="14"/>
  <c r="AA48" i="14"/>
  <c r="AA11" i="14"/>
  <c r="AA10" i="14"/>
  <c r="AA77" i="14"/>
  <c r="AA2" i="14"/>
  <c r="AA88" i="14"/>
  <c r="AA135" i="14"/>
  <c r="AA16" i="14"/>
  <c r="AA99" i="14"/>
  <c r="AA91" i="14"/>
  <c r="AA123" i="14"/>
  <c r="AA36" i="14"/>
  <c r="AA29" i="14"/>
  <c r="AA49" i="14"/>
  <c r="AA37" i="14"/>
  <c r="AA101" i="14"/>
  <c r="AA55" i="14"/>
  <c r="AA85" i="14"/>
  <c r="AA87" i="14"/>
  <c r="AA5" i="14"/>
  <c r="AA92" i="14"/>
  <c r="AA17" i="14"/>
  <c r="AA89" i="14"/>
  <c r="AA9" i="14"/>
  <c r="AA114" i="14"/>
  <c r="AA35" i="14"/>
  <c r="AA72" i="14"/>
  <c r="AA56" i="14"/>
  <c r="AA95" i="14"/>
  <c r="AA52" i="14"/>
  <c r="AA30" i="14"/>
  <c r="AA40" i="14"/>
  <c r="AA83" i="14"/>
  <c r="AA81" i="14"/>
  <c r="AA33" i="14"/>
  <c r="AA44" i="14"/>
  <c r="AA28" i="14"/>
  <c r="AA61" i="14"/>
  <c r="AA113" i="14"/>
  <c r="AA51" i="14"/>
  <c r="AA15" i="14"/>
  <c r="AA102" i="14"/>
  <c r="AA128" i="14"/>
  <c r="AA4" i="14"/>
  <c r="AA125" i="14"/>
  <c r="AA115" i="14"/>
  <c r="AA54" i="14"/>
  <c r="AA124" i="14"/>
  <c r="AA65" i="14"/>
  <c r="AA41" i="14"/>
  <c r="AA110" i="14"/>
  <c r="AA129" i="14"/>
  <c r="AA136" i="14"/>
  <c r="AA119" i="14"/>
  <c r="AA111" i="14"/>
  <c r="AA67" i="14"/>
  <c r="AA79" i="14"/>
  <c r="AA107" i="14"/>
  <c r="AA66" i="14"/>
  <c r="W125" i="14"/>
  <c r="W17" i="14"/>
  <c r="W116" i="14"/>
  <c r="W53" i="14"/>
  <c r="W77" i="14"/>
  <c r="W134" i="14"/>
  <c r="W13" i="14"/>
  <c r="W42" i="14"/>
  <c r="W29" i="14"/>
  <c r="W76" i="14"/>
  <c r="W7" i="14"/>
  <c r="W45" i="14"/>
  <c r="W9" i="14"/>
  <c r="W93" i="14"/>
  <c r="W52" i="14"/>
  <c r="W43" i="14"/>
  <c r="W41" i="14"/>
  <c r="W99" i="14"/>
  <c r="W20" i="14"/>
  <c r="W123" i="14"/>
  <c r="W68" i="14"/>
  <c r="W38" i="14"/>
  <c r="W78" i="14"/>
  <c r="W87" i="14"/>
  <c r="W36" i="14"/>
  <c r="W32" i="14"/>
  <c r="W58" i="14"/>
  <c r="W120" i="14"/>
  <c r="W74" i="14"/>
  <c r="W44" i="14"/>
  <c r="W59" i="14"/>
  <c r="W130" i="14"/>
  <c r="W26" i="14"/>
  <c r="W112" i="14"/>
  <c r="W5" i="14"/>
  <c r="W54" i="14"/>
  <c r="W31" i="14"/>
  <c r="W96" i="14"/>
  <c r="W70" i="14"/>
  <c r="W4" i="14"/>
  <c r="W127" i="14"/>
  <c r="W35" i="14"/>
  <c r="W117" i="14"/>
  <c r="W21" i="14"/>
  <c r="W94" i="14"/>
  <c r="W67" i="14"/>
  <c r="W82" i="14"/>
  <c r="W102" i="14"/>
  <c r="W97" i="14"/>
  <c r="W81" i="14"/>
  <c r="W104" i="14"/>
  <c r="W128" i="14"/>
  <c r="W119" i="14"/>
  <c r="W12" i="14"/>
  <c r="W121" i="14"/>
  <c r="W27" i="14"/>
  <c r="W49" i="14"/>
  <c r="W57" i="14"/>
  <c r="W108" i="14"/>
  <c r="W106" i="14"/>
  <c r="W118" i="14"/>
  <c r="W73" i="14"/>
  <c r="W115" i="14"/>
  <c r="W10" i="14"/>
  <c r="W34" i="14"/>
  <c r="W50" i="14"/>
  <c r="W8" i="14"/>
  <c r="W40" i="14"/>
  <c r="W25" i="14"/>
  <c r="W85" i="14"/>
  <c r="W2" i="14"/>
  <c r="W28" i="14"/>
  <c r="W113" i="14"/>
  <c r="W88" i="14"/>
  <c r="W46" i="14"/>
  <c r="W79" i="14"/>
  <c r="W80" i="14"/>
  <c r="W30" i="14"/>
  <c r="W47" i="14"/>
  <c r="W100" i="14"/>
  <c r="W111" i="14"/>
  <c r="W92" i="14"/>
  <c r="W129" i="14"/>
  <c r="W83" i="14"/>
  <c r="W51" i="14"/>
  <c r="W126" i="14"/>
  <c r="W19" i="14"/>
  <c r="W69" i="14"/>
  <c r="W39" i="14"/>
  <c r="W90" i="14"/>
  <c r="W131" i="14"/>
  <c r="W136" i="14"/>
  <c r="W132" i="14"/>
  <c r="W103" i="14"/>
  <c r="W114" i="14"/>
  <c r="W18" i="14"/>
  <c r="W3" i="14"/>
  <c r="W110" i="14"/>
  <c r="W101" i="14"/>
  <c r="W107" i="14"/>
  <c r="W48" i="14"/>
  <c r="W62" i="14"/>
  <c r="W33" i="14"/>
  <c r="W122" i="14"/>
  <c r="W55" i="14"/>
  <c r="W60" i="14"/>
  <c r="W133" i="14"/>
  <c r="W124" i="14"/>
  <c r="W86" i="14"/>
  <c r="W24" i="14"/>
  <c r="W11" i="14"/>
  <c r="W15" i="14"/>
  <c r="W72" i="14"/>
  <c r="W64" i="14"/>
  <c r="W89" i="14"/>
  <c r="W75" i="14"/>
  <c r="W37" i="14"/>
  <c r="W61" i="14"/>
  <c r="W63" i="14"/>
  <c r="W16" i="14"/>
  <c r="W71" i="14"/>
  <c r="W66" i="14"/>
  <c r="W56" i="14"/>
  <c r="W22" i="14"/>
  <c r="W105" i="14"/>
  <c r="W84" i="14"/>
  <c r="W14" i="14"/>
  <c r="W6" i="14"/>
  <c r="W109" i="14"/>
  <c r="W23" i="14"/>
  <c r="W65" i="14"/>
  <c r="W98" i="14"/>
  <c r="W91" i="14"/>
  <c r="W135" i="14"/>
  <c r="W95" i="14"/>
  <c r="Z70" i="14"/>
  <c r="Z100" i="14"/>
  <c r="Z34" i="14"/>
  <c r="Z47" i="14"/>
  <c r="Z104" i="14"/>
  <c r="Z5" i="14"/>
  <c r="Z13" i="14"/>
  <c r="Z122" i="14"/>
  <c r="Z134" i="14"/>
  <c r="Z2" i="14"/>
  <c r="Z89" i="14"/>
  <c r="Z27" i="14"/>
  <c r="Z110" i="14"/>
  <c r="Z119" i="14"/>
  <c r="Z127" i="14"/>
  <c r="Z9" i="14"/>
  <c r="Z8" i="14"/>
  <c r="Z32" i="14"/>
  <c r="Z84" i="14"/>
  <c r="Z62" i="14"/>
  <c r="Z133" i="14"/>
  <c r="Z99" i="14"/>
  <c r="Z22" i="14"/>
  <c r="Z67" i="14"/>
  <c r="Z116" i="14"/>
  <c r="Z88" i="14"/>
  <c r="Z57" i="14"/>
  <c r="Z12" i="14"/>
  <c r="Z48" i="14"/>
  <c r="Z39" i="14"/>
  <c r="Z16" i="14"/>
  <c r="Z42" i="14"/>
  <c r="Z56" i="14"/>
  <c r="Z7" i="14"/>
  <c r="Z87" i="14"/>
  <c r="Z30" i="14"/>
  <c r="Z29" i="14"/>
  <c r="Z24" i="14"/>
  <c r="Z61" i="14"/>
  <c r="Z77" i="14"/>
  <c r="Z135" i="14"/>
  <c r="Z96" i="14"/>
  <c r="Z131" i="14"/>
  <c r="Z102" i="14"/>
  <c r="Z52" i="14"/>
  <c r="Z59" i="14"/>
  <c r="Z115" i="14"/>
  <c r="Z55" i="14"/>
  <c r="Z118" i="14"/>
  <c r="Z85" i="14"/>
  <c r="Z83" i="14"/>
  <c r="Z63" i="14"/>
  <c r="Z95" i="14"/>
  <c r="Z64" i="14"/>
  <c r="Z130" i="14"/>
  <c r="Z53" i="14"/>
  <c r="Z75" i="14"/>
  <c r="Z11" i="14"/>
  <c r="Z69" i="14"/>
  <c r="Z19" i="14"/>
  <c r="Z6" i="14"/>
  <c r="Z125" i="14"/>
  <c r="Z112" i="14"/>
  <c r="Z18" i="14"/>
  <c r="Z43" i="14"/>
  <c r="Z28" i="14"/>
  <c r="Z79" i="14"/>
  <c r="Z129" i="14"/>
  <c r="Z106" i="14"/>
  <c r="Z49" i="14"/>
  <c r="Z17" i="14"/>
  <c r="Z136" i="14"/>
  <c r="Z33" i="14"/>
  <c r="Z23" i="14"/>
  <c r="Z25" i="14"/>
  <c r="Z54" i="14"/>
  <c r="Z41" i="14"/>
  <c r="Z82" i="14"/>
  <c r="Z123" i="14"/>
  <c r="Z105" i="14"/>
  <c r="Z31" i="14"/>
  <c r="Z108" i="14"/>
  <c r="Z72" i="14"/>
  <c r="Z113" i="14"/>
  <c r="Z93" i="14"/>
  <c r="Z91" i="14"/>
  <c r="Z36" i="14"/>
  <c r="Z3" i="14"/>
  <c r="Z114" i="14"/>
  <c r="Z124" i="14"/>
  <c r="Z94" i="14"/>
  <c r="Z98" i="14"/>
  <c r="Z128" i="14"/>
  <c r="Z74" i="14"/>
  <c r="Z10" i="14"/>
  <c r="Z21" i="14"/>
  <c r="Z37" i="14"/>
  <c r="Z132" i="14"/>
  <c r="Z15" i="14"/>
  <c r="Z120" i="14"/>
  <c r="Z76" i="14"/>
  <c r="Z97" i="14"/>
  <c r="Z109" i="14"/>
  <c r="Z14" i="14"/>
  <c r="Z4" i="14"/>
  <c r="Z68" i="14"/>
  <c r="Z65" i="14"/>
  <c r="Z107" i="14"/>
  <c r="Z73" i="14"/>
  <c r="Z51" i="14"/>
  <c r="Z71" i="14"/>
  <c r="Z40" i="14"/>
  <c r="Z46" i="14"/>
  <c r="Z101" i="14"/>
  <c r="Z50" i="14"/>
  <c r="Z78" i="14"/>
  <c r="Z103" i="14"/>
  <c r="Z45" i="14"/>
  <c r="Z35" i="14"/>
  <c r="Z126" i="14"/>
  <c r="Z81" i="14"/>
  <c r="Z92" i="14"/>
  <c r="Z111" i="14"/>
  <c r="Z60" i="14"/>
  <c r="Z66" i="14"/>
  <c r="Z38" i="14"/>
  <c r="Z117" i="14"/>
  <c r="Z58" i="14"/>
  <c r="Z86" i="14"/>
  <c r="Z26" i="14"/>
  <c r="Z80" i="14"/>
  <c r="Z121" i="14"/>
  <c r="Z44" i="14"/>
  <c r="Z90" i="14"/>
  <c r="Z20" i="14"/>
  <c r="V106" i="14"/>
  <c r="V46" i="14"/>
  <c r="V14" i="14"/>
  <c r="V98" i="14"/>
  <c r="V135" i="14"/>
  <c r="V50" i="14"/>
  <c r="V97" i="14"/>
  <c r="V87" i="14"/>
  <c r="V131" i="14"/>
  <c r="V29" i="14"/>
  <c r="V5" i="14"/>
  <c r="V64" i="14"/>
  <c r="V78" i="14"/>
  <c r="V124" i="14"/>
  <c r="V96" i="14"/>
  <c r="V4" i="14"/>
  <c r="V127" i="14"/>
  <c r="V56" i="14"/>
  <c r="V103" i="14"/>
  <c r="V28" i="14"/>
  <c r="V69" i="14"/>
  <c r="V93" i="14"/>
  <c r="V66" i="14"/>
  <c r="V17" i="14"/>
  <c r="V35" i="14"/>
  <c r="V52" i="14"/>
  <c r="V94" i="14"/>
  <c r="V107" i="14"/>
  <c r="V112" i="14"/>
  <c r="V128" i="14"/>
  <c r="V18" i="14"/>
  <c r="V25" i="14"/>
  <c r="V58" i="14"/>
  <c r="V65" i="14"/>
  <c r="V109" i="14"/>
  <c r="V108" i="14"/>
  <c r="V136" i="14"/>
  <c r="V99" i="14"/>
  <c r="V47" i="14"/>
  <c r="V38" i="14"/>
  <c r="V104" i="14"/>
  <c r="V30" i="14"/>
  <c r="V41" i="14"/>
  <c r="V12" i="14"/>
  <c r="V134" i="14"/>
  <c r="V79" i="14"/>
  <c r="V77" i="14"/>
  <c r="V2" i="14"/>
  <c r="V15" i="14"/>
  <c r="V110" i="14"/>
  <c r="V33" i="14"/>
  <c r="V63" i="14"/>
  <c r="V57" i="14"/>
  <c r="V116" i="14"/>
  <c r="V84" i="14"/>
  <c r="V123" i="14"/>
  <c r="V37" i="14"/>
  <c r="V85" i="14"/>
  <c r="V113" i="14"/>
  <c r="V125" i="14"/>
  <c r="V42" i="14"/>
  <c r="V100" i="14"/>
  <c r="V132" i="14"/>
  <c r="V88" i="14"/>
  <c r="V26" i="14"/>
  <c r="V80" i="14"/>
  <c r="V20" i="14"/>
  <c r="V24" i="14"/>
  <c r="V126" i="14"/>
  <c r="V21" i="14"/>
  <c r="V55" i="14"/>
  <c r="V3" i="14"/>
  <c r="V22" i="14"/>
  <c r="V90" i="14"/>
  <c r="V54" i="14"/>
  <c r="V92" i="14"/>
  <c r="V31" i="14"/>
  <c r="V6" i="14"/>
  <c r="V129" i="14"/>
  <c r="V13" i="14"/>
  <c r="V102" i="14"/>
  <c r="V48" i="14"/>
  <c r="V75" i="14"/>
  <c r="V51" i="14"/>
  <c r="V101" i="14"/>
  <c r="V53" i="14"/>
  <c r="V27" i="14"/>
  <c r="V43" i="14"/>
  <c r="V23" i="14"/>
  <c r="V83" i="14"/>
  <c r="V91" i="14"/>
  <c r="V36" i="14"/>
  <c r="V44" i="14"/>
  <c r="V118" i="14"/>
  <c r="V68" i="14"/>
  <c r="V73" i="14"/>
  <c r="V45" i="14"/>
  <c r="V114" i="14"/>
  <c r="V11" i="14"/>
  <c r="V95" i="14"/>
  <c r="V70" i="14"/>
  <c r="V130" i="14"/>
  <c r="V67" i="14"/>
  <c r="V7" i="14"/>
  <c r="V72" i="14"/>
  <c r="V59" i="14"/>
  <c r="V32" i="14"/>
  <c r="V86" i="14"/>
  <c r="V19" i="14"/>
  <c r="V117" i="14"/>
  <c r="V121" i="14"/>
  <c r="V71" i="14"/>
  <c r="V34" i="14"/>
  <c r="V115" i="14"/>
  <c r="V61" i="14"/>
  <c r="V119" i="14"/>
  <c r="V74" i="14"/>
  <c r="V122" i="14"/>
  <c r="V60" i="14"/>
  <c r="V133" i="14"/>
  <c r="V8" i="14"/>
  <c r="V82" i="14"/>
  <c r="V62" i="14"/>
  <c r="V49" i="14"/>
  <c r="V105" i="14"/>
  <c r="V39" i="14"/>
  <c r="V10" i="14"/>
  <c r="V76" i="14"/>
  <c r="V111" i="14"/>
  <c r="V120" i="14"/>
  <c r="V81" i="14"/>
  <c r="V9" i="14"/>
  <c r="V16" i="14"/>
  <c r="V89" i="14"/>
  <c r="V40" i="14"/>
  <c r="Y38" i="14"/>
  <c r="Y66" i="14"/>
  <c r="Y26" i="14"/>
  <c r="Y124" i="14"/>
  <c r="Y105" i="14"/>
  <c r="Y37" i="14"/>
  <c r="Y95" i="14"/>
  <c r="Y82" i="14"/>
  <c r="Y83" i="14"/>
  <c r="Y121" i="14"/>
  <c r="Y130" i="14"/>
  <c r="Y94" i="14"/>
  <c r="Y8" i="14"/>
  <c r="Y109" i="14"/>
  <c r="Y28" i="14"/>
  <c r="Y48" i="14"/>
  <c r="Y40" i="14"/>
  <c r="Y131" i="14"/>
  <c r="Y64" i="14"/>
  <c r="Y68" i="14"/>
  <c r="Y75" i="14"/>
  <c r="Y98" i="14"/>
  <c r="Y134" i="14"/>
  <c r="Y14" i="14"/>
  <c r="Y91" i="14"/>
  <c r="Y115" i="14"/>
  <c r="Y69" i="14"/>
  <c r="Y114" i="14"/>
  <c r="Y125" i="14"/>
  <c r="Y51" i="14"/>
  <c r="Y85" i="14"/>
  <c r="Y41" i="14"/>
  <c r="Y61" i="14"/>
  <c r="Y128" i="14"/>
  <c r="Y24" i="14"/>
  <c r="Y71" i="14"/>
  <c r="Y133" i="14"/>
  <c r="Y92" i="14"/>
  <c r="Y127" i="14"/>
  <c r="Y65" i="14"/>
  <c r="Y20" i="14"/>
  <c r="Y54" i="14"/>
  <c r="Y3" i="14"/>
  <c r="Y104" i="14"/>
  <c r="Y136" i="14"/>
  <c r="Y56" i="14"/>
  <c r="Y107" i="14"/>
  <c r="Y52" i="14"/>
  <c r="Y113" i="14"/>
  <c r="Y90" i="14"/>
  <c r="Y16" i="14"/>
  <c r="Y129" i="14"/>
  <c r="Y126" i="14"/>
  <c r="Y72" i="14"/>
  <c r="Y73" i="14"/>
  <c r="Y35" i="14"/>
  <c r="Y6" i="14"/>
  <c r="Y111" i="14"/>
  <c r="Y30" i="14"/>
  <c r="Y19" i="14"/>
  <c r="Y39" i="14"/>
  <c r="Y100" i="14"/>
  <c r="Y79" i="14"/>
  <c r="Y36" i="14"/>
  <c r="Y76" i="14"/>
  <c r="Y99" i="14"/>
  <c r="Y112" i="14"/>
  <c r="Y9" i="14"/>
  <c r="Y47" i="14"/>
  <c r="Y42" i="14"/>
  <c r="Y31" i="14"/>
  <c r="Y58" i="14"/>
  <c r="Y123" i="14"/>
  <c r="Y119" i="14"/>
  <c r="Y7" i="14"/>
  <c r="Y44" i="14"/>
  <c r="Y57" i="14"/>
  <c r="Y87" i="14"/>
  <c r="Y45" i="14"/>
  <c r="Y78" i="14"/>
  <c r="Y103" i="14"/>
  <c r="Y53" i="14"/>
  <c r="Y93" i="14"/>
  <c r="Y18" i="14"/>
  <c r="Y32" i="14"/>
  <c r="Y97" i="14"/>
  <c r="Y135" i="14"/>
  <c r="Y29" i="14"/>
  <c r="Y118" i="14"/>
  <c r="Y74" i="14"/>
  <c r="Y63" i="14"/>
  <c r="Y132" i="14"/>
  <c r="Y2" i="14"/>
  <c r="Y46" i="14"/>
  <c r="Y110" i="14"/>
  <c r="Y81" i="14"/>
  <c r="Y84" i="14"/>
  <c r="Y21" i="14"/>
  <c r="Y17" i="14"/>
  <c r="Y122" i="14"/>
  <c r="Y25" i="14"/>
  <c r="Y43" i="14"/>
  <c r="Y89" i="14"/>
  <c r="Y106" i="14"/>
  <c r="Y49" i="14"/>
  <c r="Y5" i="14"/>
  <c r="Y77" i="14"/>
  <c r="Y22" i="14"/>
  <c r="Y70" i="14"/>
  <c r="Y59" i="14"/>
  <c r="Y86" i="14"/>
  <c r="Y67" i="14"/>
  <c r="Y108" i="14"/>
  <c r="Y15" i="14"/>
  <c r="Y4" i="14"/>
  <c r="Y50" i="14"/>
  <c r="Y23" i="14"/>
  <c r="Y96" i="14"/>
  <c r="Y117" i="14"/>
  <c r="Y10" i="14"/>
  <c r="Y88" i="14"/>
  <c r="Y33" i="14"/>
  <c r="Y12" i="14"/>
  <c r="Y55" i="14"/>
  <c r="Y120" i="14"/>
  <c r="Y62" i="14"/>
  <c r="Y34" i="14"/>
  <c r="Y11" i="14"/>
  <c r="Y101" i="14"/>
  <c r="Y13" i="14"/>
  <c r="Y60" i="14"/>
  <c r="Y27" i="14"/>
  <c r="Y116" i="14"/>
  <c r="Y80" i="14"/>
  <c r="Y102" i="14"/>
  <c r="U130" i="14"/>
  <c r="U110" i="14"/>
  <c r="U118" i="14"/>
  <c r="U63" i="14"/>
  <c r="U22" i="14"/>
  <c r="U37" i="14"/>
  <c r="U134" i="14"/>
  <c r="U69" i="14"/>
  <c r="U2" i="14"/>
  <c r="U33" i="14"/>
  <c r="U92" i="14"/>
  <c r="U90" i="14"/>
  <c r="U131" i="14"/>
  <c r="U53" i="14"/>
  <c r="U78" i="14"/>
  <c r="U71" i="14"/>
  <c r="U35" i="14"/>
  <c r="U113" i="14"/>
  <c r="U89" i="14"/>
  <c r="U10" i="14"/>
  <c r="U12" i="14"/>
  <c r="U39" i="14"/>
  <c r="U60" i="14"/>
  <c r="U79" i="14"/>
  <c r="U21" i="14"/>
  <c r="U3" i="14"/>
  <c r="U94" i="14"/>
  <c r="U127" i="14"/>
  <c r="U23" i="14"/>
  <c r="U116" i="14"/>
  <c r="U42" i="14"/>
  <c r="U24" i="14"/>
  <c r="U129" i="14"/>
  <c r="U32" i="14"/>
  <c r="U65" i="14"/>
  <c r="U74" i="14"/>
  <c r="U57" i="14"/>
  <c r="U6" i="14"/>
  <c r="U109" i="14"/>
  <c r="U46" i="14"/>
  <c r="U124" i="14"/>
  <c r="U101" i="14"/>
  <c r="U41" i="14"/>
  <c r="U36" i="14"/>
  <c r="U100" i="14"/>
  <c r="U20" i="14"/>
  <c r="U105" i="14"/>
  <c r="U48" i="14"/>
  <c r="U80" i="14"/>
  <c r="U135" i="14"/>
  <c r="U68" i="14"/>
  <c r="U95" i="14"/>
  <c r="U45" i="14"/>
  <c r="U107" i="14"/>
  <c r="U15" i="14"/>
  <c r="U51" i="14"/>
  <c r="U108" i="14"/>
  <c r="U8" i="14"/>
  <c r="U114" i="14"/>
  <c r="U66" i="14"/>
  <c r="U102" i="14"/>
  <c r="U16" i="14"/>
  <c r="U17" i="14"/>
  <c r="U5" i="14"/>
  <c r="U98" i="14"/>
  <c r="U132" i="14"/>
  <c r="U126" i="14"/>
  <c r="U72" i="14"/>
  <c r="U64" i="14"/>
  <c r="U26" i="14"/>
  <c r="U121" i="14"/>
  <c r="U52" i="14"/>
  <c r="U106" i="14"/>
  <c r="U59" i="14"/>
  <c r="U54" i="14"/>
  <c r="U43" i="14"/>
  <c r="U50" i="14"/>
  <c r="U111" i="14"/>
  <c r="U25" i="14"/>
  <c r="U40" i="14"/>
  <c r="U81" i="14"/>
  <c r="U87" i="14"/>
  <c r="U73" i="14"/>
  <c r="U70" i="14"/>
  <c r="U47" i="14"/>
  <c r="U133" i="14"/>
  <c r="U97" i="14"/>
  <c r="U103" i="14"/>
  <c r="U38" i="14"/>
  <c r="U86" i="14"/>
  <c r="U7" i="14"/>
  <c r="U11" i="14"/>
  <c r="U125" i="14"/>
  <c r="U61" i="14"/>
  <c r="U128" i="14"/>
  <c r="U122" i="14"/>
  <c r="U31" i="14"/>
  <c r="U58" i="14"/>
  <c r="U34" i="14"/>
  <c r="U62" i="14"/>
  <c r="U55" i="14"/>
  <c r="U49" i="14"/>
  <c r="U27" i="14"/>
  <c r="U19" i="14"/>
  <c r="U13" i="14"/>
  <c r="U77" i="14"/>
  <c r="U44" i="14"/>
  <c r="U9" i="14"/>
  <c r="U104" i="14"/>
  <c r="U91" i="14"/>
  <c r="U82" i="14"/>
  <c r="U76" i="14"/>
  <c r="U30" i="14"/>
  <c r="U56" i="14"/>
  <c r="U93" i="14"/>
  <c r="U120" i="14"/>
  <c r="U83" i="14"/>
  <c r="U29" i="14"/>
  <c r="U14" i="14"/>
  <c r="U4" i="14"/>
  <c r="U123" i="14"/>
  <c r="U136" i="14"/>
  <c r="U115" i="14"/>
  <c r="U67" i="14"/>
  <c r="U117" i="14"/>
  <c r="U85" i="14"/>
  <c r="U18" i="14"/>
  <c r="U75" i="14"/>
  <c r="U28" i="14"/>
  <c r="U112" i="14"/>
  <c r="U99" i="14"/>
  <c r="U119" i="14"/>
  <c r="U96" i="14"/>
  <c r="U84" i="14"/>
  <c r="U88" i="14"/>
  <c r="X84" i="14"/>
  <c r="X41" i="14"/>
  <c r="X82" i="14"/>
  <c r="X47" i="14"/>
  <c r="X35" i="14"/>
  <c r="X119" i="14"/>
  <c r="X50" i="14"/>
  <c r="X130" i="14"/>
  <c r="X85" i="14"/>
  <c r="X51" i="14"/>
  <c r="X62" i="14"/>
  <c r="X5" i="14"/>
  <c r="X3" i="14"/>
  <c r="X37" i="14"/>
  <c r="X132" i="14"/>
  <c r="X45" i="14"/>
  <c r="X43" i="14"/>
  <c r="X25" i="14"/>
  <c r="X93" i="14"/>
  <c r="X128" i="14"/>
  <c r="X7" i="14"/>
  <c r="X10" i="14"/>
  <c r="X19" i="14"/>
  <c r="X99" i="14"/>
  <c r="X107" i="14"/>
  <c r="X38" i="14"/>
  <c r="X29" i="14"/>
  <c r="X95" i="14"/>
  <c r="X31" i="14"/>
  <c r="X24" i="14"/>
  <c r="X92" i="14"/>
  <c r="X72" i="14"/>
  <c r="X83" i="14"/>
  <c r="X52" i="14"/>
  <c r="X17" i="14"/>
  <c r="X81" i="14"/>
  <c r="X111" i="14"/>
  <c r="X48" i="14"/>
  <c r="X126" i="14"/>
  <c r="X63" i="14"/>
  <c r="X116" i="14"/>
  <c r="X23" i="14"/>
  <c r="X79" i="14"/>
  <c r="X118" i="14"/>
  <c r="X106" i="14"/>
  <c r="X66" i="14"/>
  <c r="X89" i="14"/>
  <c r="X76" i="14"/>
  <c r="X129" i="14"/>
  <c r="X77" i="14"/>
  <c r="X68" i="14"/>
  <c r="X94" i="14"/>
  <c r="X54" i="14"/>
  <c r="X103" i="14"/>
  <c r="X78" i="14"/>
  <c r="X40" i="14"/>
  <c r="X70" i="14"/>
  <c r="X109" i="14"/>
  <c r="X131" i="14"/>
  <c r="X124" i="14"/>
  <c r="X75" i="14"/>
  <c r="X56" i="14"/>
  <c r="X90" i="14"/>
  <c r="X64" i="14"/>
  <c r="X117" i="14"/>
  <c r="X34" i="14"/>
  <c r="X21" i="14"/>
  <c r="X33" i="14"/>
  <c r="X110" i="14"/>
  <c r="X96" i="14"/>
  <c r="X22" i="14"/>
  <c r="X12" i="14"/>
  <c r="X123" i="14"/>
  <c r="X4" i="14"/>
  <c r="X39" i="14"/>
  <c r="X28" i="14"/>
  <c r="X91" i="14"/>
  <c r="X42" i="14"/>
  <c r="X87" i="14"/>
  <c r="X58" i="14"/>
  <c r="X18" i="14"/>
  <c r="X60" i="14"/>
  <c r="X16" i="14"/>
  <c r="X26" i="14"/>
  <c r="X15" i="14"/>
  <c r="X122" i="14"/>
  <c r="X133" i="14"/>
  <c r="X102" i="14"/>
  <c r="X53" i="14"/>
  <c r="X88" i="14"/>
  <c r="X112" i="14"/>
  <c r="X98" i="14"/>
  <c r="X59" i="14"/>
  <c r="X14" i="14"/>
  <c r="X27" i="14"/>
  <c r="X101" i="14"/>
  <c r="X114" i="14"/>
  <c r="X120" i="14"/>
  <c r="X11" i="14"/>
  <c r="X105" i="14"/>
  <c r="X136" i="14"/>
  <c r="X20" i="14"/>
  <c r="X9" i="14"/>
  <c r="X32" i="14"/>
  <c r="X6" i="14"/>
  <c r="X86" i="14"/>
  <c r="X127" i="14"/>
  <c r="X36" i="14"/>
  <c r="X65" i="14"/>
  <c r="X121" i="14"/>
  <c r="X80" i="14"/>
  <c r="X125" i="14"/>
  <c r="X61" i="14"/>
  <c r="X104" i="14"/>
  <c r="X135" i="14"/>
  <c r="X134" i="14"/>
  <c r="X97" i="14"/>
  <c r="X57" i="14"/>
  <c r="X115" i="14"/>
  <c r="X49" i="14"/>
  <c r="X73" i="14"/>
  <c r="X13" i="14"/>
  <c r="X2" i="14"/>
  <c r="X108" i="14"/>
  <c r="X46" i="14"/>
  <c r="X71" i="14"/>
  <c r="X74" i="14"/>
  <c r="X55" i="14"/>
  <c r="X30" i="14"/>
  <c r="X8" i="14"/>
  <c r="X44" i="14"/>
  <c r="X100" i="14"/>
  <c r="X69" i="14"/>
  <c r="X113" i="14"/>
  <c r="X67" i="14"/>
  <c r="T117" i="14"/>
  <c r="T68" i="14"/>
  <c r="T4" i="14"/>
  <c r="T97" i="14"/>
  <c r="T47" i="14"/>
  <c r="T120" i="14"/>
  <c r="T100" i="14"/>
  <c r="T89" i="14"/>
  <c r="T105" i="14"/>
  <c r="T26" i="14"/>
  <c r="T51" i="14"/>
  <c r="T8" i="14"/>
  <c r="T58" i="14"/>
  <c r="T67" i="14"/>
  <c r="T43" i="14"/>
  <c r="T77" i="14"/>
  <c r="T107" i="14"/>
  <c r="T75" i="14"/>
  <c r="T80" i="14"/>
  <c r="T116" i="14"/>
  <c r="T101" i="14"/>
  <c r="T21" i="14"/>
  <c r="T119" i="14"/>
  <c r="T103" i="14"/>
  <c r="T83" i="14"/>
  <c r="T45" i="14"/>
  <c r="T123" i="14"/>
  <c r="T74" i="14"/>
  <c r="T50" i="14"/>
  <c r="T27" i="14"/>
  <c r="T12" i="14"/>
  <c r="T125" i="14"/>
  <c r="T133" i="14"/>
  <c r="T106" i="14"/>
  <c r="T65" i="14"/>
  <c r="T134" i="14"/>
  <c r="T73" i="14"/>
  <c r="T129" i="14"/>
  <c r="T69" i="14"/>
  <c r="T131" i="14"/>
  <c r="T30" i="14"/>
  <c r="T127" i="14"/>
  <c r="T22" i="14"/>
  <c r="T108" i="14"/>
  <c r="T114" i="14"/>
  <c r="T78" i="14"/>
  <c r="T112" i="14"/>
  <c r="T7" i="14"/>
  <c r="T96" i="14"/>
  <c r="T17" i="14"/>
  <c r="T126" i="14"/>
  <c r="T90" i="14"/>
  <c r="T29" i="14"/>
  <c r="T13" i="14"/>
  <c r="T24" i="14"/>
  <c r="T57" i="14"/>
  <c r="T111" i="14"/>
  <c r="T76" i="14"/>
  <c r="T82" i="14"/>
  <c r="T40" i="14"/>
  <c r="T11" i="14"/>
  <c r="T92" i="14"/>
  <c r="T36" i="14"/>
  <c r="T60" i="14"/>
  <c r="T42" i="14"/>
  <c r="T122" i="14"/>
  <c r="T94" i="14"/>
  <c r="T66" i="14"/>
  <c r="T20" i="14"/>
  <c r="T14" i="14"/>
  <c r="T3" i="14"/>
  <c r="T130" i="14"/>
  <c r="T95" i="14"/>
  <c r="T118" i="14"/>
  <c r="T25" i="14"/>
  <c r="T34" i="14"/>
  <c r="T128" i="14"/>
  <c r="T109" i="14"/>
  <c r="T5" i="14"/>
  <c r="T56" i="14"/>
  <c r="T132" i="14"/>
  <c r="T48" i="14"/>
  <c r="T84" i="14"/>
  <c r="T121" i="14"/>
  <c r="T88" i="14"/>
  <c r="T64" i="14"/>
  <c r="T86" i="14"/>
  <c r="T28" i="14"/>
  <c r="T70" i="14"/>
  <c r="T136" i="14"/>
  <c r="T115" i="14"/>
  <c r="T6" i="14"/>
  <c r="T2" i="14"/>
  <c r="T33" i="14"/>
  <c r="T71" i="14"/>
  <c r="T113" i="14"/>
  <c r="T62" i="14"/>
  <c r="T81" i="14"/>
  <c r="T72" i="14"/>
  <c r="T23" i="14"/>
  <c r="T79" i="14"/>
  <c r="T41" i="14"/>
  <c r="T53" i="14"/>
  <c r="T99" i="14"/>
  <c r="T44" i="14"/>
  <c r="T59" i="14"/>
  <c r="T37" i="14"/>
  <c r="T135" i="14"/>
  <c r="T102" i="14"/>
  <c r="T32" i="14"/>
  <c r="T35" i="14"/>
  <c r="T55" i="14"/>
  <c r="T98" i="14"/>
  <c r="T91" i="14"/>
  <c r="T104" i="14"/>
  <c r="T19" i="14"/>
  <c r="T10" i="14"/>
  <c r="T15" i="14"/>
  <c r="T16" i="14"/>
  <c r="T39" i="14"/>
  <c r="T31" i="14"/>
  <c r="T61" i="14"/>
  <c r="T85" i="14"/>
  <c r="T18" i="14"/>
  <c r="T93" i="14"/>
  <c r="T63" i="14"/>
  <c r="T46" i="14"/>
  <c r="T9" i="14"/>
  <c r="T124" i="14"/>
  <c r="T52" i="14"/>
  <c r="T87" i="14"/>
  <c r="T49" i="14"/>
  <c r="T110" i="14"/>
  <c r="T54" i="14"/>
  <c r="T38" i="14"/>
</calcChain>
</file>

<file path=xl/sharedStrings.xml><?xml version="1.0" encoding="utf-8"?>
<sst xmlns="http://schemas.openxmlformats.org/spreadsheetml/2006/main" count="290" uniqueCount="189">
  <si>
    <t>%wt</t>
  </si>
  <si>
    <t>Masse (kg)</t>
  </si>
  <si>
    <t>Masse molaire (g/mol)</t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</si>
  <si>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(ans)</t>
    </r>
  </si>
  <si>
    <r>
      <t>T</t>
    </r>
    <r>
      <rPr>
        <b/>
        <sz val="6"/>
        <color rgb="FF000000"/>
        <rFont val="Liberation Sans"/>
      </rPr>
      <t xml:space="preserve">1/2 </t>
    </r>
    <r>
      <rPr>
        <b/>
        <sz val="10"/>
        <color rgb="FF000000"/>
        <rFont val="Liberation Sans"/>
      </rPr>
      <t>(s)</t>
    </r>
  </si>
  <si>
    <t>Mode de désintegration</t>
  </si>
  <si>
    <t>Constante radioactive  λ</t>
  </si>
  <si>
    <t>Pu238</t>
  </si>
  <si>
    <t>Alpha</t>
  </si>
  <si>
    <t>Pu239</t>
  </si>
  <si>
    <t>Pu240</t>
  </si>
  <si>
    <t>Pu241</t>
  </si>
  <si>
    <t>Beta -</t>
  </si>
  <si>
    <t>Pu242</t>
  </si>
  <si>
    <t>Am241</t>
  </si>
  <si>
    <t>U235</t>
  </si>
  <si>
    <t>U238</t>
  </si>
  <si>
    <t>Temps (ans)</t>
  </si>
  <si>
    <t>Temps (s)</t>
  </si>
  <si>
    <t>Pas de temps (s)</t>
  </si>
  <si>
    <t>Enrichissement (%wt)</t>
  </si>
  <si>
    <t>Masse combustible (kg)</t>
  </si>
  <si>
    <t>Equation de Bateman</t>
  </si>
  <si>
    <t>n</t>
  </si>
  <si>
    <t>t(y)</t>
  </si>
  <si>
    <t>t(s)</t>
  </si>
  <si>
    <t>N(Pu238)</t>
  </si>
  <si>
    <t>dN/dt(Pu238)</t>
  </si>
  <si>
    <t>N(Pu239)</t>
  </si>
  <si>
    <t>N(Pu240)</t>
  </si>
  <si>
    <t>dN/dt(Pu240)</t>
  </si>
  <si>
    <t>N(Pu241)</t>
  </si>
  <si>
    <t>dN/dt(Pu241)</t>
  </si>
  <si>
    <t>N(Pu242)</t>
  </si>
  <si>
    <t>dN/dt(Pu242)</t>
  </si>
  <si>
    <t>dN/dt(Am241)</t>
  </si>
  <si>
    <t>dN/dt(U235)</t>
  </si>
  <si>
    <t>dN/dt(U238)</t>
  </si>
  <si>
    <t>N(n+1)=(1-λh)*N</t>
  </si>
  <si>
    <t>h= pas de temps</t>
  </si>
  <si>
    <t>RK1</t>
  </si>
  <si>
    <t>y(n+1)=y(n)+h*f(t.yn)</t>
  </si>
  <si>
    <t>dN/dt(Pu239)</t>
  </si>
  <si>
    <t>Nat/cm3</t>
  </si>
  <si>
    <t>Densité UO2 (g/cm3)</t>
  </si>
  <si>
    <t>Densité PuO2 (g/cm3)</t>
  </si>
  <si>
    <t>Temps de fonctionnement (j)</t>
  </si>
  <si>
    <t>Burn Up (MWj/t)</t>
  </si>
  <si>
    <t>Efiss (MeV)</t>
  </si>
  <si>
    <t>Pvol=Efiss*Tfiss</t>
  </si>
  <si>
    <r>
      <t>Tfiss=[fiss]*</t>
    </r>
    <r>
      <rPr>
        <sz val="11"/>
        <color rgb="FF000000"/>
        <rFont val="Calibri"/>
        <family val="2"/>
      </rPr>
      <t>ɸ</t>
    </r>
    <r>
      <rPr>
        <sz val="11"/>
        <color rgb="FF000000"/>
        <rFont val="Liberation Sans"/>
      </rPr>
      <t>*σfiss</t>
    </r>
  </si>
  <si>
    <t>Puissance volumique (W/cm3)</t>
  </si>
  <si>
    <t>Efiss (Joule/fission)</t>
  </si>
  <si>
    <t>Section macro de fission totale (cm-1)</t>
  </si>
  <si>
    <t>Nombre de fissions (/cm3/s)</t>
  </si>
  <si>
    <t>Section efficace macroscopique de fission (cm-1)</t>
  </si>
  <si>
    <t>Nombre de fissions (/s)</t>
  </si>
  <si>
    <r>
      <t>Tfiss=</t>
    </r>
    <r>
      <rPr>
        <sz val="11"/>
        <color rgb="FF000000"/>
        <rFont val="Calibri"/>
        <family val="2"/>
      </rPr>
      <t>Σfiss*ɸ</t>
    </r>
  </si>
  <si>
    <t>Taux de disponibilité (%)</t>
  </si>
  <si>
    <t>Flux (n/cm²/s)</t>
  </si>
  <si>
    <t>Ntot combustible U</t>
  </si>
  <si>
    <t>Ntot vecteur Pu</t>
  </si>
  <si>
    <t>Fertile</t>
  </si>
  <si>
    <t>Fissile</t>
  </si>
  <si>
    <t>Nature de l'élement</t>
  </si>
  <si>
    <t>Phase d'irradiation</t>
  </si>
  <si>
    <t>Cœur</t>
  </si>
  <si>
    <t>Volume du combustible (cm3)</t>
  </si>
  <si>
    <t>Densité Combustible
(g/cm3)</t>
  </si>
  <si>
    <t>Phase de refroidissement</t>
  </si>
  <si>
    <t>Puissance thermique nominale du réacteur (MW)</t>
  </si>
  <si>
    <t>Puissance thermique effective du réacteur (MW)</t>
  </si>
  <si>
    <t>Combustible</t>
  </si>
  <si>
    <t>Masse PuO2 (kg)</t>
  </si>
  <si>
    <t>Masse UO2 (kg)</t>
  </si>
  <si>
    <t>Masse Noyaux lourds (kg)</t>
  </si>
  <si>
    <t>Masse Noyaux lourds Uranium (kg)</t>
  </si>
  <si>
    <t>Masse Noyaux lourds Plutonium (kg)</t>
  </si>
  <si>
    <t>N(Am241)</t>
  </si>
  <si>
    <t>N(U235)</t>
  </si>
  <si>
    <t>N(U238)</t>
  </si>
  <si>
    <t>Masse initiale (kg)</t>
  </si>
  <si>
    <t>conso Pu 1 an (kg)</t>
  </si>
  <si>
    <r>
      <t xml:space="preserve">Section efficace fission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</si>
  <si>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de capture </t>
    </r>
    <r>
      <rPr>
        <b/>
        <sz val="11"/>
        <color rgb="FF000000"/>
        <rFont val="Lucida Sans Unicode"/>
        <family val="2"/>
      </rPr>
      <t>σ pour un neutron SPX-DRAGON (barn)</t>
    </r>
  </si>
  <si>
    <r>
      <t xml:space="preserve">Section efficace absorption </t>
    </r>
    <r>
      <rPr>
        <b/>
        <sz val="11"/>
        <color rgb="FF000000"/>
        <rFont val="Lucida Sans Unicode"/>
        <family val="2"/>
      </rPr>
      <t>σ pour un neutron (barn)</t>
    </r>
  </si>
  <si>
    <t>Fraction de combustible</t>
  </si>
  <si>
    <t>Densité U/Pu O2
(g/cm3)</t>
  </si>
  <si>
    <t>VecteurPu</t>
  </si>
  <si>
    <t>Pu-238</t>
  </si>
  <si>
    <t>Pu-239</t>
  </si>
  <si>
    <t>Pu-240</t>
  </si>
  <si>
    <t>Pu-241</t>
  </si>
  <si>
    <t>Pu-242</t>
  </si>
  <si>
    <t>shortName</t>
  </si>
  <si>
    <t>P33</t>
  </si>
  <si>
    <t>P43</t>
  </si>
  <si>
    <t>P53</t>
  </si>
  <si>
    <t>B27</t>
  </si>
  <si>
    <t>B30</t>
  </si>
  <si>
    <t>C7</t>
  </si>
  <si>
    <t>A18</t>
  </si>
  <si>
    <t>M3</t>
  </si>
  <si>
    <t>M5</t>
  </si>
  <si>
    <t>G16</t>
  </si>
  <si>
    <t>G35</t>
  </si>
  <si>
    <t>4S</t>
  </si>
  <si>
    <t>PWR,33000</t>
  </si>
  <si>
    <t>PWR,43000</t>
  </si>
  <si>
    <t>PWR,53000</t>
  </si>
  <si>
    <t>BWR,27500</t>
  </si>
  <si>
    <t>BWR,30400</t>
  </si>
  <si>
    <t>CANDU,7500</t>
  </si>
  <si>
    <t>AGR,18000</t>
  </si>
  <si>
    <t>Magnox,3000</t>
  </si>
  <si>
    <t>Magnox,5000</t>
  </si>
  <si>
    <t>GFR,Pu2016</t>
  </si>
  <si>
    <t>GFR,Pu2035</t>
  </si>
  <si>
    <t>4S,Pu</t>
  </si>
  <si>
    <t xml:space="preserve">1 an
%wt </t>
  </si>
  <si>
    <t>i</t>
  </si>
  <si>
    <t>k</t>
  </si>
  <si>
    <t>m</t>
  </si>
  <si>
    <t>o</t>
  </si>
  <si>
    <t>q</t>
  </si>
  <si>
    <t>s</t>
  </si>
  <si>
    <t>1 an
N (kg)</t>
  </si>
  <si>
    <r>
      <t xml:space="preserve">Section efficace nu*fission </t>
    </r>
    <r>
      <rPr>
        <b/>
        <sz val="11"/>
        <color rgb="FF000000"/>
        <rFont val="Lucida Sans Unicode"/>
        <family val="2"/>
      </rPr>
      <t>σ pour un neutron SPX-DRAGON (barn)</t>
    </r>
  </si>
  <si>
    <t>W</t>
  </si>
  <si>
    <t>Y</t>
  </si>
  <si>
    <t>Section macro d'absorption (cm-1)</t>
  </si>
  <si>
    <t>Section macro de nu*fission  (cm-1)</t>
  </si>
  <si>
    <t>Section efficace macroscopique d(absorption (cm-1)</t>
  </si>
  <si>
    <t>Section efficace macroscopique de nu*fission (cm-1)</t>
  </si>
  <si>
    <t>kinf</t>
  </si>
  <si>
    <t>1 an
Nat/cm3</t>
  </si>
  <si>
    <t>1800K</t>
  </si>
  <si>
    <t>1500K</t>
  </si>
  <si>
    <t>sections</t>
  </si>
  <si>
    <t>fiss</t>
  </si>
  <si>
    <t>capt</t>
  </si>
  <si>
    <t>sensibilité aux sections</t>
  </si>
  <si>
    <t>Section macro de capture (cm-1)</t>
  </si>
  <si>
    <t>Val</t>
  </si>
  <si>
    <t xml:space="preserve">sensibilité </t>
  </si>
  <si>
    <t>fiss.</t>
  </si>
  <si>
    <t>capt.</t>
  </si>
  <si>
    <t>Y'=M.Y</t>
  </si>
  <si>
    <t>M=</t>
  </si>
  <si>
    <t>Y=</t>
  </si>
  <si>
    <t>Y''=M.Y'</t>
  </si>
  <si>
    <t>Y(3)=M.Y(2)</t>
  </si>
  <si>
    <t>Y(4)=M.Y(3)</t>
  </si>
  <si>
    <t>Y(5)=M.Y(4)</t>
  </si>
  <si>
    <t>M-1=</t>
  </si>
  <si>
    <t>A1</t>
  </si>
  <si>
    <t>ALPHA1</t>
  </si>
  <si>
    <t>ALPHA2</t>
  </si>
  <si>
    <t>ALPHA3</t>
  </si>
  <si>
    <t>ALPHA4</t>
  </si>
  <si>
    <t>ALPHA5</t>
  </si>
  <si>
    <t>ALPHA6</t>
  </si>
  <si>
    <t>ALPHA7</t>
  </si>
  <si>
    <t>ALPHA8</t>
  </si>
  <si>
    <t>polchar</t>
  </si>
  <si>
    <t>polchroot</t>
  </si>
  <si>
    <t>r</t>
  </si>
  <si>
    <t>M*K=</t>
  </si>
  <si>
    <t>A2</t>
  </si>
  <si>
    <t>A3</t>
  </si>
  <si>
    <t>A4</t>
  </si>
  <si>
    <t>A5</t>
  </si>
  <si>
    <t>A6</t>
  </si>
  <si>
    <t>A7</t>
  </si>
  <si>
    <t>A8</t>
  </si>
  <si>
    <t>Y1</t>
  </si>
  <si>
    <t>Y2</t>
  </si>
  <si>
    <t>Y3</t>
  </si>
  <si>
    <t>Y4</t>
  </si>
  <si>
    <t>Y5</t>
  </si>
  <si>
    <t>Y6</t>
  </si>
  <si>
    <t>Y7</t>
  </si>
  <si>
    <t>Y8</t>
  </si>
  <si>
    <t>A=</t>
  </si>
  <si>
    <t>A(-1)=</t>
  </si>
  <si>
    <t>K</t>
  </si>
  <si>
    <t>Exact</t>
  </si>
  <si>
    <t>Meth. Math.</t>
  </si>
  <si>
    <t>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</si>
</sst>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8">
    <numFmt numFmtId="164" formatCode="0.0000E+00"/>
    <numFmt numFmtId="165" formatCode="0.00E+000"/>
    <numFmt numFmtId="166" formatCode="#,##0.00&quot; &quot;[$€-40C];[Red]&quot;-&quot;#,##0.00&quot; &quot;[$€-40C]"/>
    <numFmt numFmtId="167" formatCode="0.00000"/>
    <numFmt numFmtId="168" formatCode="0.0000"/>
    <numFmt numFmtId="169" formatCode="0.0000%"/>
    <numFmt numFmtId="170" formatCode="0.000"/>
    <numFmt numFmtId="171" formatCode="0.00000E+00"/>
  </numFmts>
  <fonts count="17">
    <font>
      <sz val="11"/>
      <color rgb="FF000000"/>
      <name val="Liberation Sans"/>
    </font>
    <font>
      <b/>
      <i/>
      <sz val="16"/>
      <color rgb="FF000000"/>
      <name val="Liberation Sans"/>
    </font>
    <font>
      <b/>
      <i/>
      <u/>
      <sz val="11"/>
      <color rgb="FF000000"/>
      <name val="Liberation Sans"/>
    </font>
    <font>
      <b/>
      <sz val="11"/>
      <color rgb="FF000000"/>
      <name val="Liberation Sans"/>
    </font>
    <font>
      <b/>
      <sz val="6"/>
      <color rgb="FF000000"/>
      <name val="Liberation Sans"/>
    </font>
    <font>
      <b/>
      <sz val="10"/>
      <color rgb="FF000000"/>
      <name val="Liberation Sans"/>
    </font>
    <font>
      <b/>
      <sz val="11"/>
      <color rgb="FF000000"/>
      <name val="Lucida Sans Unicode"/>
      <family val="2"/>
    </font>
    <font>
      <sz val="10"/>
      <color rgb="FF000000"/>
      <name val="Liberation Sans"/>
    </font>
    <font>
      <sz val="9"/>
      <color rgb="FF000000"/>
      <name val="Verdana"/>
      <family val="2"/>
    </font>
    <font>
      <sz val="11"/>
      <color rgb="FF000000"/>
      <name val="Calibri"/>
      <family val="2"/>
    </font>
    <font>
      <sz val="11"/>
      <color rgb="FFFF0000"/>
      <name val="Liberation Sans"/>
    </font>
    <font>
      <sz val="11"/>
      <name val="Liberation Sans"/>
    </font>
    <font>
      <b/>
      <sz val="11"/>
      <name val="Calibri"/>
      <family val="2"/>
    </font>
    <font>
      <sz val="8"/>
      <color rgb="FF000000"/>
      <name val="Liberation Sans"/>
    </font>
    <font>
      <b/>
      <sz val="9"/>
      <color rgb="FF000000"/>
      <name val="Liberation Sans"/>
    </font>
    <font>
      <b/>
      <sz val="8"/>
      <color rgb="FF000000"/>
      <name val="Liberation Sans"/>
    </font>
    <font>
      <sz val="10"/>
      <color rgb="FF000000"/>
      <name val="Courier"/>
      <family val="3"/>
    </font>
  </fonts>
  <fills count="14">
    <fill>
      <patternFill patternType="none"/>
    </fill>
    <fill>
      <patternFill patternType="gray125"/>
    </fill>
    <fill>
      <patternFill patternType="solid">
        <fgColor rgb="FF95B3D7"/>
        <bgColor rgb="FF95B3D7"/>
      </patternFill>
    </fill>
    <fill>
      <patternFill patternType="solid">
        <fgColor rgb="FF23B8DC"/>
        <bgColor rgb="FF23B8DC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rgb="FFE1F2C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44FB19"/>
        <bgColor indexed="64"/>
      </patternFill>
    </fill>
    <fill>
      <patternFill patternType="solid">
        <fgColor theme="9" tint="0.59999389629810485"/>
        <bgColor indexed="64"/>
      </patternFill>
    </fill>
  </fills>
  <borders count="35"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/>
      <top style="thin">
        <color rgb="FF000000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rgb="FF000000"/>
      </top>
      <bottom/>
      <diagonal/>
    </border>
    <border>
      <left style="thin">
        <color rgb="FF000000"/>
      </left>
      <right style="medium">
        <color indexed="64"/>
      </right>
      <top style="thin">
        <color rgb="FF000000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rgb="FF000000"/>
      </left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5">
    <xf numFmtId="0" fontId="0" fillId="0" borderId="0"/>
    <xf numFmtId="0" fontId="1" fillId="0" borderId="0" applyNumberFormat="0" applyBorder="0" applyProtection="0">
      <alignment horizontal="center"/>
    </xf>
    <xf numFmtId="0" fontId="1" fillId="0" borderId="0" applyNumberFormat="0" applyBorder="0" applyProtection="0">
      <alignment horizontal="center" textRotation="90"/>
    </xf>
    <xf numFmtId="0" fontId="2" fillId="0" borderId="0" applyNumberFormat="0" applyBorder="0" applyProtection="0"/>
    <xf numFmtId="166" fontId="2" fillId="0" borderId="0" applyBorder="0" applyProtection="0"/>
  </cellStyleXfs>
  <cellXfs count="125">
    <xf numFmtId="0" fontId="0" fillId="0" borderId="0" xfId="0"/>
    <xf numFmtId="2" fontId="0" fillId="0" borderId="0" xfId="0" applyNumberFormat="1" applyAlignment="1">
      <alignment horizontal="center"/>
    </xf>
    <xf numFmtId="164" fontId="0" fillId="0" borderId="0" xfId="0" applyNumberFormat="1" applyAlignment="1">
      <alignment horizontal="center"/>
    </xf>
    <xf numFmtId="164" fontId="3" fillId="3" borderId="16" xfId="0" applyNumberFormat="1" applyFont="1" applyFill="1" applyBorder="1" applyAlignment="1">
      <alignment horizontal="center"/>
    </xf>
    <xf numFmtId="164" fontId="0" fillId="0" borderId="0" xfId="0" applyNumberFormat="1" applyFill="1" applyAlignment="1">
      <alignment horizontal="center"/>
    </xf>
    <xf numFmtId="0" fontId="3" fillId="2" borderId="7" xfId="0" applyFont="1" applyFill="1" applyBorder="1" applyAlignment="1">
      <alignment horizontal="center" wrapText="1"/>
    </xf>
    <xf numFmtId="0" fontId="0" fillId="0" borderId="0" xfId="0" applyAlignment="1">
      <alignment wrapText="1"/>
    </xf>
    <xf numFmtId="0" fontId="0" fillId="0" borderId="0" xfId="0" applyAlignment="1">
      <alignment horizontal="center" wrapText="1"/>
    </xf>
    <xf numFmtId="0" fontId="3" fillId="2" borderId="13" xfId="0" applyFont="1" applyFill="1" applyBorder="1" applyAlignment="1">
      <alignment horizontal="center" wrapText="1"/>
    </xf>
    <xf numFmtId="0" fontId="0" fillId="4" borderId="7" xfId="0" applyFill="1" applyBorder="1" applyAlignment="1">
      <alignment horizontal="center" wrapText="1"/>
    </xf>
    <xf numFmtId="11" fontId="0" fillId="0" borderId="0" xfId="0" applyNumberFormat="1" applyAlignment="1">
      <alignment wrapText="1"/>
    </xf>
    <xf numFmtId="164" fontId="0" fillId="0" borderId="0" xfId="0" applyNumberFormat="1" applyAlignment="1">
      <alignment wrapText="1"/>
    </xf>
    <xf numFmtId="11" fontId="9" fillId="0" borderId="0" xfId="0" applyNumberFormat="1" applyFont="1" applyAlignment="1">
      <alignment horizontal="center"/>
    </xf>
    <xf numFmtId="0" fontId="9" fillId="0" borderId="0" xfId="0" applyFont="1" applyAlignment="1">
      <alignment horizontal="center"/>
    </xf>
    <xf numFmtId="2" fontId="0" fillId="5" borderId="21" xfId="0" applyNumberFormat="1" applyFill="1" applyBorder="1" applyAlignment="1">
      <alignment horizontal="center"/>
    </xf>
    <xf numFmtId="2" fontId="0" fillId="5" borderId="22" xfId="0" applyNumberFormat="1" applyFill="1" applyBorder="1" applyAlignment="1">
      <alignment horizontal="center"/>
    </xf>
    <xf numFmtId="164" fontId="0" fillId="0" borderId="16" xfId="0" applyNumberFormat="1" applyBorder="1" applyAlignment="1">
      <alignment horizontal="center"/>
    </xf>
    <xf numFmtId="164" fontId="0" fillId="0" borderId="24" xfId="0" applyNumberFormat="1" applyBorder="1" applyAlignment="1">
      <alignment horizontal="center"/>
    </xf>
    <xf numFmtId="164" fontId="0" fillId="0" borderId="20" xfId="0" applyNumberFormat="1" applyBorder="1" applyAlignment="1">
      <alignment horizontal="center"/>
    </xf>
    <xf numFmtId="164" fontId="0" fillId="0" borderId="0" xfId="0" applyNumberFormat="1" applyFill="1" applyBorder="1" applyAlignment="1">
      <alignment horizontal="center"/>
    </xf>
    <xf numFmtId="0" fontId="0" fillId="0" borderId="18" xfId="0" applyNumberFormat="1" applyFill="1" applyBorder="1" applyAlignment="1">
      <alignment horizontal="center"/>
    </xf>
    <xf numFmtId="164" fontId="0" fillId="6" borderId="23" xfId="0" applyNumberFormat="1" applyFill="1" applyBorder="1" applyAlignment="1">
      <alignment horizontal="center"/>
    </xf>
    <xf numFmtId="164" fontId="0" fillId="7" borderId="25" xfId="0" applyNumberFormat="1" applyFill="1" applyBorder="1" applyAlignment="1">
      <alignment horizontal="center"/>
    </xf>
    <xf numFmtId="164" fontId="0" fillId="7" borderId="23" xfId="0" applyNumberFormat="1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0" fillId="0" borderId="26" xfId="0" applyBorder="1" applyAlignment="1">
      <alignment horizontal="center"/>
    </xf>
    <xf numFmtId="0" fontId="0" fillId="0" borderId="19" xfId="0" applyBorder="1" applyAlignment="1">
      <alignment horizontal="center"/>
    </xf>
    <xf numFmtId="2" fontId="0" fillId="5" borderId="18" xfId="0" applyNumberFormat="1" applyFont="1" applyFill="1" applyBorder="1" applyAlignment="1">
      <alignment horizontal="center"/>
    </xf>
    <xf numFmtId="164" fontId="3" fillId="3" borderId="16" xfId="0" applyNumberFormat="1" applyFont="1" applyFill="1" applyBorder="1" applyAlignment="1">
      <alignment horizontal="center" wrapText="1"/>
    </xf>
    <xf numFmtId="164" fontId="3" fillId="3" borderId="11" xfId="0" applyNumberFormat="1" applyFont="1" applyFill="1" applyBorder="1" applyAlignment="1">
      <alignment horizontal="center" wrapText="1"/>
    </xf>
    <xf numFmtId="164" fontId="0" fillId="0" borderId="0" xfId="0" applyNumberFormat="1" applyAlignment="1">
      <alignment horizontal="center" wrapText="1"/>
    </xf>
    <xf numFmtId="2" fontId="3" fillId="3" borderId="11" xfId="0" applyNumberFormat="1" applyFont="1" applyFill="1" applyBorder="1" applyAlignment="1">
      <alignment horizontal="center" wrapText="1"/>
    </xf>
    <xf numFmtId="0" fontId="0" fillId="0" borderId="0" xfId="0" applyBorder="1" applyAlignment="1">
      <alignment wrapText="1"/>
    </xf>
    <xf numFmtId="164" fontId="3" fillId="3" borderId="27" xfId="0" applyNumberFormat="1" applyFont="1" applyFill="1" applyBorder="1" applyAlignment="1">
      <alignment horizontal="center" wrapText="1"/>
    </xf>
    <xf numFmtId="164" fontId="3" fillId="3" borderId="26" xfId="0" applyNumberFormat="1" applyFont="1" applyFill="1" applyBorder="1" applyAlignment="1">
      <alignment horizontal="center" wrapText="1"/>
    </xf>
    <xf numFmtId="2" fontId="3" fillId="3" borderId="28" xfId="0" applyNumberFormat="1" applyFont="1" applyFill="1" applyBorder="1" applyAlignment="1">
      <alignment horizontal="center" wrapText="1"/>
    </xf>
    <xf numFmtId="0" fontId="0" fillId="0" borderId="17" xfId="0" applyNumberFormat="1" applyFill="1" applyBorder="1" applyAlignment="1">
      <alignment horizontal="center"/>
    </xf>
    <xf numFmtId="2" fontId="0" fillId="5" borderId="17" xfId="0" applyNumberFormat="1" applyFont="1" applyFill="1" applyBorder="1" applyAlignment="1">
      <alignment horizontal="center"/>
    </xf>
    <xf numFmtId="2" fontId="0" fillId="6" borderId="29" xfId="0" applyNumberFormat="1" applyFill="1" applyBorder="1" applyAlignment="1">
      <alignment horizontal="center"/>
    </xf>
    <xf numFmtId="2" fontId="0" fillId="6" borderId="30" xfId="0" applyNumberFormat="1" applyFill="1" applyBorder="1" applyAlignment="1">
      <alignment horizontal="center"/>
    </xf>
    <xf numFmtId="2" fontId="0" fillId="7" borderId="29" xfId="0" applyNumberFormat="1" applyFill="1" applyBorder="1" applyAlignment="1">
      <alignment horizontal="center"/>
    </xf>
    <xf numFmtId="2" fontId="0" fillId="7" borderId="30" xfId="0" applyNumberFormat="1" applyFill="1" applyBorder="1" applyAlignment="1">
      <alignment horizontal="center"/>
    </xf>
    <xf numFmtId="164" fontId="0" fillId="6" borderId="17" xfId="0" applyNumberFormat="1" applyFill="1" applyBorder="1" applyAlignment="1">
      <alignment horizontal="center"/>
    </xf>
    <xf numFmtId="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0" fillId="10" borderId="10" xfId="0" applyFill="1" applyBorder="1" applyAlignment="1">
      <alignment horizontal="center" wrapText="1"/>
    </xf>
    <xf numFmtId="11" fontId="0" fillId="10" borderId="10" xfId="0" applyNumberFormat="1" applyFill="1" applyBorder="1" applyAlignment="1">
      <alignment horizontal="center" wrapText="1"/>
    </xf>
    <xf numFmtId="1" fontId="0" fillId="10" borderId="10" xfId="0" applyNumberFormat="1" applyFill="1" applyBorder="1" applyAlignment="1">
      <alignment horizontal="center" wrapText="1"/>
    </xf>
    <xf numFmtId="0" fontId="3" fillId="2" borderId="10" xfId="0" applyFont="1" applyFill="1" applyBorder="1" applyAlignment="1">
      <alignment wrapText="1"/>
    </xf>
    <xf numFmtId="0" fontId="3" fillId="2" borderId="31" xfId="0" applyFont="1" applyFill="1" applyBorder="1" applyAlignment="1">
      <alignment wrapText="1"/>
    </xf>
    <xf numFmtId="0" fontId="0" fillId="11" borderId="15" xfId="0" applyFill="1" applyBorder="1" applyAlignment="1">
      <alignment horizontal="center" wrapText="1"/>
    </xf>
    <xf numFmtId="0" fontId="0" fillId="11" borderId="1" xfId="0" applyFill="1" applyBorder="1" applyAlignment="1">
      <alignment horizontal="center" wrapText="1"/>
    </xf>
    <xf numFmtId="0" fontId="0" fillId="11" borderId="9" xfId="0" applyFill="1" applyBorder="1" applyAlignment="1">
      <alignment horizontal="center" wrapText="1"/>
    </xf>
    <xf numFmtId="0" fontId="0" fillId="11" borderId="4" xfId="0" applyFill="1" applyBorder="1" applyAlignment="1">
      <alignment horizontal="center" wrapText="1"/>
    </xf>
    <xf numFmtId="0" fontId="0" fillId="11" borderId="8" xfId="0" applyFill="1" applyBorder="1" applyAlignment="1">
      <alignment horizontal="center" wrapText="1"/>
    </xf>
    <xf numFmtId="0" fontId="0" fillId="11" borderId="5" xfId="0" applyFill="1" applyBorder="1" applyAlignment="1">
      <alignment horizontal="center" wrapText="1"/>
    </xf>
    <xf numFmtId="2" fontId="0" fillId="9" borderId="12" xfId="0" applyNumberFormat="1" applyFill="1" applyBorder="1" applyAlignment="1">
      <alignment horizontal="center" wrapText="1"/>
    </xf>
    <xf numFmtId="11" fontId="0" fillId="9" borderId="10" xfId="0" applyNumberFormat="1" applyFill="1" applyBorder="1" applyAlignment="1">
      <alignment horizontal="center" wrapText="1"/>
    </xf>
    <xf numFmtId="0" fontId="0" fillId="9" borderId="1" xfId="0" applyFill="1" applyBorder="1" applyAlignment="1">
      <alignment horizontal="center" wrapText="1"/>
    </xf>
    <xf numFmtId="0" fontId="11" fillId="9" borderId="1" xfId="0" applyFont="1" applyFill="1" applyBorder="1" applyAlignment="1">
      <alignment horizontal="center" wrapText="1"/>
    </xf>
    <xf numFmtId="165" fontId="0" fillId="9" borderId="2" xfId="0" applyNumberFormat="1" applyFill="1" applyBorder="1" applyAlignment="1">
      <alignment horizontal="center" wrapText="1"/>
    </xf>
    <xf numFmtId="0" fontId="0" fillId="9" borderId="4" xfId="0" applyFill="1" applyBorder="1" applyAlignment="1">
      <alignment horizontal="center" wrapText="1"/>
    </xf>
    <xf numFmtId="0" fontId="10" fillId="9" borderId="4" xfId="0" applyFont="1" applyFill="1" applyBorder="1" applyAlignment="1">
      <alignment horizontal="center" wrapText="1"/>
    </xf>
    <xf numFmtId="165" fontId="0" fillId="9" borderId="3" xfId="0" applyNumberFormat="1" applyFill="1" applyBorder="1" applyAlignment="1">
      <alignment horizontal="center" wrapText="1"/>
    </xf>
    <xf numFmtId="0" fontId="7" fillId="9" borderId="4" xfId="0" applyFont="1" applyFill="1" applyBorder="1" applyAlignment="1">
      <alignment horizontal="center" wrapText="1"/>
    </xf>
    <xf numFmtId="165" fontId="7" fillId="9" borderId="5" xfId="0" applyNumberFormat="1" applyFont="1" applyFill="1" applyBorder="1" applyAlignment="1">
      <alignment horizontal="center" wrapText="1"/>
    </xf>
    <xf numFmtId="0" fontId="0" fillId="9" borderId="5" xfId="0" applyFill="1" applyBorder="1" applyAlignment="1">
      <alignment horizontal="center" wrapText="1"/>
    </xf>
    <xf numFmtId="165" fontId="0" fillId="9" borderId="6" xfId="0" applyNumberFormat="1" applyFill="1" applyBorder="1" applyAlignment="1">
      <alignment horizontal="center" wrapText="1"/>
    </xf>
    <xf numFmtId="11" fontId="8" fillId="9" borderId="4" xfId="0" applyNumberFormat="1" applyFont="1" applyFill="1" applyBorder="1" applyAlignment="1">
      <alignment horizontal="center" vertical="center" wrapText="1"/>
    </xf>
    <xf numFmtId="11" fontId="8" fillId="9" borderId="4" xfId="0" applyNumberFormat="1" applyFont="1" applyFill="1" applyBorder="1" applyAlignment="1">
      <alignment horizontal="center" wrapText="1"/>
    </xf>
    <xf numFmtId="11" fontId="0" fillId="9" borderId="4" xfId="0" applyNumberFormat="1" applyFill="1" applyBorder="1" applyAlignment="1">
      <alignment horizontal="center" wrapText="1"/>
    </xf>
    <xf numFmtId="11" fontId="3" fillId="10" borderId="12" xfId="0" applyNumberFormat="1" applyFont="1" applyFill="1" applyBorder="1" applyAlignment="1">
      <alignment horizontal="center" wrapText="1"/>
    </xf>
    <xf numFmtId="0" fontId="0" fillId="2" borderId="7" xfId="0" applyFont="1" applyFill="1" applyBorder="1" applyAlignment="1">
      <alignment horizontal="center" wrapText="1"/>
    </xf>
    <xf numFmtId="2" fontId="3" fillId="10" borderId="12" xfId="0" applyNumberFormat="1" applyFont="1" applyFill="1" applyBorder="1" applyAlignment="1">
      <alignment horizontal="center" wrapText="1"/>
    </xf>
    <xf numFmtId="164" fontId="0" fillId="0" borderId="27" xfId="0" applyNumberFormat="1" applyBorder="1" applyAlignment="1">
      <alignment horizontal="center"/>
    </xf>
    <xf numFmtId="0" fontId="3" fillId="12" borderId="10" xfId="0" applyFont="1" applyFill="1" applyBorder="1" applyAlignment="1">
      <alignment horizontal="center" wrapText="1"/>
    </xf>
    <xf numFmtId="0" fontId="12" fillId="12" borderId="10" xfId="0" applyFont="1" applyFill="1" applyBorder="1" applyAlignment="1">
      <alignment horizontal="center"/>
    </xf>
    <xf numFmtId="0" fontId="3" fillId="2" borderId="31" xfId="0" applyFont="1" applyFill="1" applyBorder="1" applyAlignment="1">
      <alignment horizontal="center" wrapText="1"/>
    </xf>
    <xf numFmtId="164" fontId="0" fillId="11" borderId="1" xfId="0" applyNumberFormat="1" applyFill="1" applyBorder="1" applyAlignment="1">
      <alignment horizontal="center" wrapText="1"/>
    </xf>
    <xf numFmtId="2" fontId="3" fillId="13" borderId="10" xfId="0" applyNumberFormat="1" applyFont="1" applyFill="1" applyBorder="1" applyAlignment="1">
      <alignment horizontal="center" wrapText="1"/>
    </xf>
    <xf numFmtId="167" fontId="0" fillId="9" borderId="2" xfId="0" applyNumberFormat="1" applyFill="1" applyBorder="1" applyAlignment="1">
      <alignment horizontal="center" wrapText="1"/>
    </xf>
    <xf numFmtId="167" fontId="0" fillId="9" borderId="15" xfId="0" applyNumberFormat="1" applyFill="1" applyBorder="1" applyAlignment="1">
      <alignment horizontal="center" wrapText="1"/>
    </xf>
    <xf numFmtId="167" fontId="0" fillId="9" borderId="3" xfId="0" applyNumberFormat="1" applyFill="1" applyBorder="1" applyAlignment="1">
      <alignment horizontal="center" wrapText="1"/>
    </xf>
    <xf numFmtId="167" fontId="0" fillId="9" borderId="9" xfId="0" applyNumberFormat="1" applyFill="1" applyBorder="1" applyAlignment="1">
      <alignment horizontal="center" wrapText="1"/>
    </xf>
    <xf numFmtId="0" fontId="0" fillId="8" borderId="10" xfId="0" applyFill="1" applyBorder="1" applyAlignment="1">
      <alignment wrapText="1"/>
    </xf>
    <xf numFmtId="11" fontId="0" fillId="8" borderId="10" xfId="0" applyNumberFormat="1" applyFill="1" applyBorder="1" applyAlignment="1">
      <alignment wrapText="1"/>
    </xf>
    <xf numFmtId="0" fontId="3" fillId="8" borderId="10" xfId="0" applyFont="1" applyFill="1" applyBorder="1" applyAlignment="1">
      <alignment wrapText="1"/>
    </xf>
    <xf numFmtId="11" fontId="3" fillId="8" borderId="10" xfId="0" applyNumberFormat="1" applyFont="1" applyFill="1" applyBorder="1" applyAlignment="1">
      <alignment wrapText="1"/>
    </xf>
    <xf numFmtId="164" fontId="3" fillId="13" borderId="1" xfId="0" applyNumberFormat="1" applyFont="1" applyFill="1" applyBorder="1" applyAlignment="1">
      <alignment horizontal="center" wrapText="1"/>
    </xf>
    <xf numFmtId="167" fontId="3" fillId="13" borderId="0" xfId="0" applyNumberFormat="1" applyFont="1" applyFill="1" applyAlignment="1">
      <alignment wrapText="1"/>
    </xf>
    <xf numFmtId="164" fontId="0" fillId="10" borderId="10" xfId="0" applyNumberFormat="1" applyFill="1" applyBorder="1" applyAlignment="1">
      <alignment horizontal="center" wrapText="1"/>
    </xf>
    <xf numFmtId="164" fontId="0" fillId="13" borderId="10" xfId="0" applyNumberFormat="1" applyFill="1" applyBorder="1" applyAlignment="1">
      <alignment horizontal="center" wrapText="1"/>
    </xf>
    <xf numFmtId="164" fontId="0" fillId="13" borderId="0" xfId="0" applyNumberFormat="1" applyFill="1" applyBorder="1" applyAlignment="1">
      <alignment horizontal="center" wrapText="1"/>
    </xf>
    <xf numFmtId="10" fontId="0" fillId="0" borderId="0" xfId="0" applyNumberFormat="1" applyAlignment="1">
      <alignment wrapText="1"/>
    </xf>
    <xf numFmtId="168" fontId="0" fillId="6" borderId="29" xfId="0" applyNumberFormat="1" applyFill="1" applyBorder="1" applyAlignment="1">
      <alignment horizontal="center"/>
    </xf>
    <xf numFmtId="169" fontId="0" fillId="0" borderId="0" xfId="0" applyNumberFormat="1" applyAlignment="1">
      <alignment wrapText="1"/>
    </xf>
    <xf numFmtId="170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11" fontId="0" fillId="0" borderId="0" xfId="0" applyNumberFormat="1"/>
    <xf numFmtId="171" fontId="0" fillId="0" borderId="0" xfId="0" applyNumberFormat="1" applyAlignment="1">
      <alignment wrapText="1"/>
    </xf>
    <xf numFmtId="0" fontId="3" fillId="2" borderId="10" xfId="0" applyFont="1" applyFill="1" applyBorder="1" applyAlignment="1">
      <alignment horizontal="center" wrapText="1"/>
    </xf>
    <xf numFmtId="0" fontId="3" fillId="9" borderId="16" xfId="0" applyFont="1" applyFill="1" applyBorder="1" applyAlignment="1">
      <alignment wrapText="1"/>
    </xf>
    <xf numFmtId="0" fontId="0" fillId="9" borderId="34" xfId="0" applyFill="1" applyBorder="1" applyAlignment="1">
      <alignment wrapText="1"/>
    </xf>
    <xf numFmtId="10" fontId="3" fillId="2" borderId="10" xfId="0" applyNumberFormat="1" applyFont="1" applyFill="1" applyBorder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164" fontId="3" fillId="3" borderId="28" xfId="0" applyNumberFormat="1" applyFont="1" applyFill="1" applyBorder="1" applyAlignment="1">
      <alignment horizontal="center" wrapText="1"/>
    </xf>
    <xf numFmtId="0" fontId="0" fillId="0" borderId="21" xfId="0" applyNumberFormat="1" applyFill="1" applyBorder="1" applyAlignment="1">
      <alignment horizontal="center"/>
    </xf>
    <xf numFmtId="0" fontId="0" fillId="0" borderId="22" xfId="0" applyNumberFormat="1" applyFill="1" applyBorder="1" applyAlignment="1">
      <alignment horizontal="center"/>
    </xf>
    <xf numFmtId="164" fontId="3" fillId="0" borderId="0" xfId="0" applyNumberFormat="1" applyFont="1" applyFill="1" applyBorder="1" applyAlignment="1">
      <alignment horizontal="center" wrapText="1"/>
    </xf>
    <xf numFmtId="164" fontId="3" fillId="0" borderId="0" xfId="0" applyNumberFormat="1" applyFont="1" applyFill="1" applyBorder="1" applyAlignment="1">
      <alignment horizontal="center"/>
    </xf>
    <xf numFmtId="11" fontId="13" fillId="0" borderId="0" xfId="0" applyNumberFormat="1" applyFont="1" applyFill="1" applyBorder="1" applyAlignment="1">
      <alignment horizontal="center"/>
    </xf>
    <xf numFmtId="11" fontId="13" fillId="0" borderId="10" xfId="0" applyNumberFormat="1" applyFont="1" applyFill="1" applyBorder="1" applyAlignment="1">
      <alignment horizontal="center"/>
    </xf>
    <xf numFmtId="0" fontId="13" fillId="0" borderId="10" xfId="0" applyNumberFormat="1" applyFont="1" applyFill="1" applyBorder="1" applyAlignment="1">
      <alignment horizontal="center"/>
    </xf>
    <xf numFmtId="164" fontId="14" fillId="0" borderId="0" xfId="0" applyNumberFormat="1" applyFont="1" applyFill="1" applyBorder="1" applyAlignment="1">
      <alignment horizontal="center"/>
    </xf>
    <xf numFmtId="11" fontId="15" fillId="0" borderId="0" xfId="0" applyNumberFormat="1" applyFont="1" applyFill="1" applyBorder="1" applyAlignment="1">
      <alignment horizontal="center"/>
    </xf>
    <xf numFmtId="0" fontId="16" fillId="0" borderId="0" xfId="0" applyFont="1"/>
    <xf numFmtId="11" fontId="16" fillId="0" borderId="0" xfId="0" applyNumberFormat="1" applyFont="1"/>
    <xf numFmtId="0" fontId="3" fillId="2" borderId="14" xfId="0" applyFont="1" applyFill="1" applyBorder="1" applyAlignment="1">
      <alignment horizontal="center" wrapText="1"/>
    </xf>
    <xf numFmtId="0" fontId="3" fillId="2" borderId="33" xfId="0" applyFont="1" applyFill="1" applyBorder="1" applyAlignment="1">
      <alignment horizontal="center" wrapText="1"/>
    </xf>
    <xf numFmtId="0" fontId="3" fillId="13" borderId="0" xfId="0" applyFont="1" applyFill="1" applyAlignment="1">
      <alignment horizontal="center" wrapText="1"/>
    </xf>
    <xf numFmtId="0" fontId="3" fillId="2" borderId="10" xfId="0" applyFont="1" applyFill="1" applyBorder="1" applyAlignment="1">
      <alignment horizontal="center" wrapText="1"/>
    </xf>
    <xf numFmtId="0" fontId="3" fillId="2" borderId="31" xfId="0" applyFont="1" applyFill="1" applyBorder="1" applyAlignment="1">
      <alignment horizontal="center" wrapText="1"/>
    </xf>
    <xf numFmtId="0" fontId="3" fillId="2" borderId="32" xfId="0" applyFont="1" applyFill="1" applyBorder="1" applyAlignment="1">
      <alignment horizontal="center" wrapText="1"/>
    </xf>
    <xf numFmtId="0" fontId="3" fillId="2" borderId="12" xfId="0" applyFont="1" applyFill="1" applyBorder="1" applyAlignment="1">
      <alignment horizontal="center" wrapText="1"/>
    </xf>
  </cellXfs>
  <cellStyles count="5">
    <cellStyle name="Heading" xfId="1"/>
    <cellStyle name="Heading1" xfId="2"/>
    <cellStyle name="Normal" xfId="0" builtinId="0" customBuiltin="1"/>
    <cellStyle name="Result" xfId="3"/>
    <cellStyle name="Result2" xfId="4"/>
  </cellStyles>
  <dxfs count="11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9" tint="0.39994506668294322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44FB19"/>
      <color rgb="FFFFF6E5"/>
      <color rgb="FFF2F2F2"/>
      <color rgb="FFE1F2CE"/>
      <color rgb="FFFFEDC9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hartsheet" Target="chartsheets/sheet2.xml"/><Relationship Id="rId1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hartsheet" Target="chartsheets/sheet1.xml"/><Relationship Id="rId17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theme" Target="theme/theme1.xml"/><Relationship Id="rId20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1.xml"/><Relationship Id="rId10" Type="http://schemas.openxmlformats.org/officeDocument/2006/relationships/worksheet" Target="worksheets/sheet10.xml"/><Relationship Id="rId19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hartsheet" Target="chartsheets/sheet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Données!$F$9</c:f>
              <c:strCache>
                <c:ptCount val="1"/>
                <c:pt idx="0">
                  <c:v>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Données!$F$10:$F$17</c:f>
              <c:numCache>
                <c:formatCode>0.0000E+00</c:formatCode>
                <c:ptCount val="8"/>
                <c:pt idx="0">
                  <c:v>1.2032336397210882E+19</c:v>
                </c:pt>
                <c:pt idx="1">
                  <c:v>2.1782E+21</c:v>
                </c:pt>
                <c:pt idx="2">
                  <c:v>7.2346005790387942E+20</c:v>
                </c:pt>
                <c:pt idx="3">
                  <c:v>1.5072084539664158E+20</c:v>
                </c:pt>
                <c:pt idx="4">
                  <c:v>5.1070699679853748E+19</c:v>
                </c:pt>
                <c:pt idx="5">
                  <c:v>3.2520680334545068E+19</c:v>
                </c:pt>
                <c:pt idx="6">
                  <c:v>8.8937324162937733E+19</c:v>
                </c:pt>
                <c:pt idx="7">
                  <c:v>1.6799927091276064E+22</c:v>
                </c:pt>
              </c:numCache>
            </c:numRef>
          </c:val>
        </c:ser>
        <c:ser>
          <c:idx val="1"/>
          <c:order val="1"/>
          <c:tx>
            <c:strRef>
              <c:f>Données!$I$9</c:f>
              <c:strCache>
                <c:ptCount val="1"/>
                <c:pt idx="0">
                  <c:v>1 an
Nat/cm3</c:v>
                </c:pt>
              </c:strCache>
            </c:strRef>
          </c:tx>
          <c:invertIfNegative val="0"/>
          <c:cat>
            <c:strRef>
              <c:f>Données!$B$10:$B$17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Données!$I$10:$I$17</c:f>
              <c:numCache>
                <c:formatCode>0.0000E+00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0585088"/>
        <c:axId val="170763008"/>
      </c:barChart>
      <c:catAx>
        <c:axId val="170585088"/>
        <c:scaling>
          <c:orientation val="minMax"/>
        </c:scaling>
        <c:delete val="0"/>
        <c:axPos val="b"/>
        <c:majorTickMark val="out"/>
        <c:minorTickMark val="none"/>
        <c:tickLblPos val="nextTo"/>
        <c:crossAx val="170763008"/>
        <c:crosses val="autoZero"/>
        <c:auto val="1"/>
        <c:lblAlgn val="ctr"/>
        <c:lblOffset val="100"/>
        <c:noMultiLvlLbl val="0"/>
      </c:catAx>
      <c:valAx>
        <c:axId val="170763008"/>
        <c:scaling>
          <c:logBase val="10"/>
          <c:orientation val="minMax"/>
          <c:min val="1E+17"/>
        </c:scaling>
        <c:delete val="0"/>
        <c:axPos val="l"/>
        <c:majorGridlines/>
        <c:numFmt formatCode="0.0000E+00" sourceLinked="1"/>
        <c:majorTickMark val="out"/>
        <c:minorTickMark val="none"/>
        <c:tickLblPos val="nextTo"/>
        <c:crossAx val="17058508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Données!$G$75</c:f>
              <c:strCache>
                <c:ptCount val="1"/>
                <c:pt idx="0">
                  <c:v>fiss</c:v>
                </c:pt>
              </c:strCache>
            </c:strRef>
          </c:tx>
          <c:spPr>
            <a:ln>
              <a:noFill/>
            </a:ln>
          </c:spPr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Données!$G$76:$G$83</c:f>
              <c:numCache>
                <c:formatCode>0.00%</c:formatCode>
                <c:ptCount val="8"/>
                <c:pt idx="0">
                  <c:v>-1.113320079522917E-3</c:v>
                </c:pt>
                <c:pt idx="1">
                  <c:v>-1.1375270162666817E-3</c:v>
                </c:pt>
                <c:pt idx="2">
                  <c:v>4.3648003103857747E-4</c:v>
                </c:pt>
                <c:pt idx="3">
                  <c:v>-2.0098441345365314E-3</c:v>
                </c:pt>
                <c:pt idx="4">
                  <c:v>5.0118614053262789E-4</c:v>
                </c:pt>
                <c:pt idx="5">
                  <c:v>3.6295245322870429E-4</c:v>
                </c:pt>
                <c:pt idx="6">
                  <c:v>-2.1225644933057231E-3</c:v>
                </c:pt>
                <c:pt idx="7">
                  <c:v>4.8404662982526325E-4</c:v>
                </c:pt>
              </c:numCache>
            </c:numRef>
          </c:val>
        </c:ser>
        <c:ser>
          <c:idx val="1"/>
          <c:order val="1"/>
          <c:tx>
            <c:strRef>
              <c:f>Données!$H$75</c:f>
              <c:strCache>
                <c:ptCount val="1"/>
                <c:pt idx="0">
                  <c:v>capt</c:v>
                </c:pt>
              </c:strCache>
            </c:strRef>
          </c:tx>
          <c:invertIfNegative val="0"/>
          <c:cat>
            <c:strRef>
              <c:f>Données!$B$76:$B$83</c:f>
              <c:strCache>
                <c:ptCount val="8"/>
                <c:pt idx="0">
                  <c:v>Pu238</c:v>
                </c:pt>
                <c:pt idx="1">
                  <c:v>Pu239</c:v>
                </c:pt>
                <c:pt idx="2">
                  <c:v>Pu240</c:v>
                </c:pt>
                <c:pt idx="3">
                  <c:v>Pu241</c:v>
                </c:pt>
                <c:pt idx="4">
                  <c:v>Pu242</c:v>
                </c:pt>
                <c:pt idx="5">
                  <c:v>Am241</c:v>
                </c:pt>
                <c:pt idx="6">
                  <c:v>U235</c:v>
                </c:pt>
                <c:pt idx="7">
                  <c:v>U238</c:v>
                </c:pt>
              </c:strCache>
            </c:strRef>
          </c:cat>
          <c:val>
            <c:numRef>
              <c:f>Données!$H$76:$H$83</c:f>
              <c:numCache>
                <c:formatCode>0.00%</c:formatCode>
                <c:ptCount val="8"/>
                <c:pt idx="0">
                  <c:v>-4.7829654385719289E-3</c:v>
                </c:pt>
                <c:pt idx="1">
                  <c:v>-3.956091729159894E-3</c:v>
                </c:pt>
                <c:pt idx="2">
                  <c:v>-2.6504282303463356E-3</c:v>
                </c:pt>
                <c:pt idx="3">
                  <c:v>-3.3815350389322374E-3</c:v>
                </c:pt>
                <c:pt idx="4">
                  <c:v>-3.4991530712311647E-3</c:v>
                </c:pt>
                <c:pt idx="5">
                  <c:v>-3.0758310658938193E-3</c:v>
                </c:pt>
                <c:pt idx="6">
                  <c:v>-3.8248304904668906E-3</c:v>
                </c:pt>
                <c:pt idx="7">
                  <c:v>4.6170148349984341E-3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71910272"/>
        <c:axId val="171911808"/>
      </c:barChart>
      <c:catAx>
        <c:axId val="171910272"/>
        <c:scaling>
          <c:orientation val="minMax"/>
        </c:scaling>
        <c:delete val="0"/>
        <c:axPos val="b"/>
        <c:majorTickMark val="out"/>
        <c:minorTickMark val="none"/>
        <c:tickLblPos val="nextTo"/>
        <c:crossAx val="171911808"/>
        <c:crosses val="autoZero"/>
        <c:auto val="1"/>
        <c:lblAlgn val="ctr"/>
        <c:lblOffset val="100"/>
        <c:noMultiLvlLbl val="0"/>
      </c:catAx>
      <c:valAx>
        <c:axId val="171911808"/>
        <c:scaling>
          <c:orientation val="minMax"/>
        </c:scaling>
        <c:delete val="0"/>
        <c:axPos val="l"/>
        <c:majorGridlines/>
        <c:numFmt formatCode="0.00%" sourceLinked="1"/>
        <c:majorTickMark val="out"/>
        <c:minorTickMark val="none"/>
        <c:tickLblPos val="nextTo"/>
        <c:crossAx val="17191027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Pu238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mod.math.!$T$2:$T$94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18.756454084060483</c:v>
                </c:pt>
                <c:pt idx="2">
                  <c:v>18.475473381827381</c:v>
                </c:pt>
                <c:pt idx="3">
                  <c:v>18.198701905638476</c:v>
                </c:pt>
                <c:pt idx="4">
                  <c:v>17.926076599263393</c:v>
                </c:pt>
                <c:pt idx="5">
                  <c:v>17.657535351084405</c:v>
                </c:pt>
                <c:pt idx="6">
                  <c:v>17.393016979945706</c:v>
                </c:pt>
                <c:pt idx="7">
                  <c:v>17.132461221214609</c:v>
                </c:pt>
                <c:pt idx="8">
                  <c:v>16.875808713051605</c:v>
                </c:pt>
                <c:pt idx="9">
                  <c:v>16.623000982886108</c:v>
                </c:pt>
                <c:pt idx="10">
                  <c:v>16.373980434094737</c:v>
                </c:pt>
                <c:pt idx="11">
                  <c:v>16.128690332879241</c:v>
                </c:pt>
                <c:pt idx="12">
                  <c:v>15.887074795340945</c:v>
                </c:pt>
                <c:pt idx="13">
                  <c:v>15.649078774748851</c:v>
                </c:pt>
                <c:pt idx="14">
                  <c:v>15.414648048998467</c:v>
                </c:pt>
                <c:pt idx="15">
                  <c:v>15.183729208258496</c:v>
                </c:pt>
                <c:pt idx="16">
                  <c:v>14.956269642802608</c:v>
                </c:pt>
                <c:pt idx="17">
                  <c:v>14.732217531023466</c:v>
                </c:pt>
                <c:pt idx="18">
                  <c:v>14.51152182762633</c:v>
                </c:pt>
                <c:pt idx="19">
                  <c:v>14.294132251999532</c:v>
                </c:pt>
                <c:pt idx="20">
                  <c:v>14.079999276759141</c:v>
                </c:pt>
                <c:pt idx="21">
                  <c:v>13.869074116465256</c:v>
                </c:pt>
                <c:pt idx="22">
                  <c:v>13.661308716507328</c:v>
                </c:pt>
                <c:pt idx="23">
                  <c:v>13.456655742155982</c:v>
                </c:pt>
                <c:pt idx="24">
                  <c:v>13.255068567778855</c:v>
                </c:pt>
                <c:pt idx="25">
                  <c:v>13.056501266217976</c:v>
                </c:pt>
                <c:pt idx="26">
                  <c:v>12.86090859832629</c:v>
                </c:pt>
                <c:pt idx="27">
                  <c:v>12.668246002660917</c:v>
                </c:pt>
                <c:pt idx="28">
                  <c:v>12.478469585330824</c:v>
                </c:pt>
                <c:pt idx="29">
                  <c:v>12.291536109996578</c:v>
                </c:pt>
                <c:pt idx="30">
                  <c:v>12.107402988019894</c:v>
                </c:pt>
                <c:pt idx="31">
                  <c:v>11.926028268760779</c:v>
                </c:pt>
                <c:pt idx="32">
                  <c:v>11.747370630019992</c:v>
                </c:pt>
                <c:pt idx="33">
                  <c:v>11.571389368624718</c:v>
                </c:pt>
                <c:pt idx="34">
                  <c:v>11.398044391155235</c:v>
                </c:pt>
                <c:pt idx="35">
                  <c:v>11.227296204810541</c:v>
                </c:pt>
                <c:pt idx="36">
                  <c:v>11.059105908410777</c:v>
                </c:pt>
                <c:pt idx="37">
                  <c:v>10.893435183534468</c:v>
                </c:pt>
                <c:pt idx="38">
                  <c:v>10.730246285788521</c:v>
                </c:pt>
                <c:pt idx="39">
                  <c:v>10.569502036209002</c:v>
                </c:pt>
                <c:pt idx="40">
                  <c:v>10.411165812790738</c:v>
                </c:pt>
                <c:pt idx="41">
                  <c:v>10.255201542143805</c:v>
                </c:pt>
                <c:pt idx="42">
                  <c:v>10.101573691275004</c:v>
                </c:pt>
                <c:pt idx="43">
                  <c:v>9.9502472594924658</c:v>
                </c:pt>
                <c:pt idx="44">
                  <c:v>9.8011877704315182</c:v>
                </c:pt>
                <c:pt idx="45">
                  <c:v>9.6543612642000074</c:v>
                </c:pt>
                <c:pt idx="46">
                  <c:v>9.5097342896413011</c:v>
                </c:pt>
                <c:pt idx="47">
                  <c:v>9.3672738967131757</c:v>
                </c:pt>
                <c:pt idx="48">
                  <c:v>9.2269476289808843</c:v>
                </c:pt>
                <c:pt idx="49">
                  <c:v>9.0887235162226894</c:v>
                </c:pt>
                <c:pt idx="50">
                  <c:v>8.952570067146139</c:v>
                </c:pt>
                <c:pt idx="51">
                  <c:v>8.8184562622134965</c:v>
                </c:pt>
                <c:pt idx="52">
                  <c:v>8.6863515465746097</c:v>
                </c:pt>
                <c:pt idx="53">
                  <c:v>8.5562258231056809</c:v>
                </c:pt>
                <c:pt idx="54">
                  <c:v>8.428049445552297</c:v>
                </c:pt>
                <c:pt idx="55">
                  <c:v>8.3017932117751982</c:v>
                </c:pt>
                <c:pt idx="56">
                  <c:v>8.1774283570972059</c:v>
                </c:pt>
                <c:pt idx="57">
                  <c:v>8.0549265477498491</c:v>
                </c:pt>
                <c:pt idx="58">
                  <c:v>7.9342598744181236</c:v>
                </c:pt>
                <c:pt idx="59">
                  <c:v>7.815400845881995</c:v>
                </c:pt>
                <c:pt idx="60">
                  <c:v>7.69832238275312</c:v>
                </c:pt>
                <c:pt idx="61">
                  <c:v>7.5829978113054191</c:v>
                </c:pt>
                <c:pt idx="62">
                  <c:v>7.4694008573980515</c:v>
                </c:pt>
                <c:pt idx="63">
                  <c:v>7.357505640489447</c:v>
                </c:pt>
                <c:pt idx="64">
                  <c:v>7.2472866677409904</c:v>
                </c:pt>
                <c:pt idx="65">
                  <c:v>7.1387188282090515</c:v>
                </c:pt>
                <c:pt idx="66">
                  <c:v>7.0317773871240101</c:v>
                </c:pt>
                <c:pt idx="67">
                  <c:v>6.92643798025499</c:v>
                </c:pt>
                <c:pt idx="68">
                  <c:v>6.8226766083590098</c:v>
                </c:pt>
                <c:pt idx="69">
                  <c:v>6.7204696317132901</c:v>
                </c:pt>
                <c:pt idx="70">
                  <c:v>6.6197937647294669</c:v>
                </c:pt>
                <c:pt idx="71">
                  <c:v>6.5206260706484924</c:v>
                </c:pt>
                <c:pt idx="72">
                  <c:v>6.422943956314989</c:v>
                </c:pt>
                <c:pt idx="73">
                  <c:v>6.326725167029922</c:v>
                </c:pt>
                <c:pt idx="74">
                  <c:v>6.231947781480347</c:v>
                </c:pt>
                <c:pt idx="75">
                  <c:v>6.1385902067451292</c:v>
                </c:pt>
                <c:pt idx="76">
                  <c:v>6.0466311733754754</c:v>
                </c:pt>
                <c:pt idx="77">
                  <c:v>5.9560497305491671</c:v>
                </c:pt>
                <c:pt idx="78">
                  <c:v>5.8668252412973754</c:v>
                </c:pt>
                <c:pt idx="79">
                  <c:v>5.7789373778029889</c:v>
                </c:pt>
                <c:pt idx="80">
                  <c:v>5.6923661167693753</c:v>
                </c:pt>
                <c:pt idx="81">
                  <c:v>5.6070917348585096</c:v>
                </c:pt>
                <c:pt idx="82">
                  <c:v>5.523094804197461</c:v>
                </c:pt>
                <c:pt idx="83">
                  <c:v>5.4403561879521769</c:v>
                </c:pt>
                <c:pt idx="84">
                  <c:v>5.3588570359675769</c:v>
                </c:pt>
                <c:pt idx="85">
                  <c:v>5.2785787804729756</c:v>
                </c:pt>
                <c:pt idx="86">
                  <c:v>5.1995031318518175</c:v>
                </c:pt>
                <c:pt idx="87">
                  <c:v>5.1216120744748004</c:v>
                </c:pt>
                <c:pt idx="88">
                  <c:v>5.0448878625954139</c:v>
                </c:pt>
                <c:pt idx="89">
                  <c:v>4.969313016306959</c:v>
                </c:pt>
                <c:pt idx="90">
                  <c:v>4.8948703175601533</c:v>
                </c:pt>
                <c:pt idx="91">
                  <c:v>4.8215428062403651</c:v>
                </c:pt>
                <c:pt idx="92">
                  <c:v>4.7493137763036426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mod.RK1!$I$2:$I$94</c:f>
              <c:numCache>
                <c:formatCode>0.00</c:formatCode>
                <c:ptCount val="93"/>
                <c:pt idx="0">
                  <c:v>19.041708027546772</c:v>
                </c:pt>
                <c:pt idx="1">
                  <c:v>18.754295882376709</c:v>
                </c:pt>
                <c:pt idx="2">
                  <c:v>18.471221884870278</c:v>
                </c:pt>
                <c:pt idx="3">
                  <c:v>18.192420555800286</c:v>
                </c:pt>
                <c:pt idx="4">
                  <c:v>17.917827404271318</c:v>
                </c:pt>
                <c:pt idx="5">
                  <c:v>17.647378912802036</c:v>
                </c:pt>
                <c:pt idx="6">
                  <c:v>17.381012522632634</c:v>
                </c:pt>
                <c:pt idx="7">
                  <c:v>17.118666619254071</c:v>
                </c:pt>
                <c:pt idx="8">
                  <c:v>16.860280518155722</c:v>
                </c:pt>
                <c:pt idx="9">
                  <c:v>16.605794450788139</c:v>
                </c:pt>
                <c:pt idx="10">
                  <c:v>16.355149550737696</c:v>
                </c:pt>
                <c:pt idx="11">
                  <c:v>16.108287840109927</c:v>
                </c:pt>
                <c:pt idx="12">
                  <c:v>15.865152216118359</c:v>
                </c:pt>
                <c:pt idx="13">
                  <c:v>15.625686437875796</c:v>
                </c:pt>
                <c:pt idx="14">
                  <c:v>15.389835113384963</c:v>
                </c:pt>
                <c:pt idx="15">
                  <c:v>15.157543686725514</c:v>
                </c:pt>
                <c:pt idx="16">
                  <c:v>14.928758425434436</c:v>
                </c:pt>
                <c:pt idx="17">
                  <c:v>14.703426408076929</c:v>
                </c:pt>
                <c:pt idx="18">
                  <c:v>14.481495512004892</c:v>
                </c:pt>
                <c:pt idx="19">
                  <c:v>14.262914401300183</c:v>
                </c:pt>
                <c:pt idx="20">
                  <c:v>14.047632514899849</c:v>
                </c:pt>
                <c:pt idx="21">
                  <c:v>13.835600054900606</c:v>
                </c:pt>
                <c:pt idx="22">
                  <c:v>13.626767975039842</c:v>
                </c:pt>
                <c:pt idx="23">
                  <c:v>13.421087969350484</c:v>
                </c:pt>
                <c:pt idx="24">
                  <c:v>13.218512460987116</c:v>
                </c:pt>
                <c:pt idx="25">
                  <c:v>13.018994591220736</c:v>
                </c:pt>
                <c:pt idx="26">
                  <c:v>12.822488208599646</c:v>
                </c:pt>
                <c:pt idx="27">
                  <c:v>12.628947858273927</c:v>
                </c:pt>
                <c:pt idx="28">
                  <c:v>12.438328771481059</c:v>
                </c:pt>
                <c:pt idx="29">
                  <c:v>12.250586855190241</c:v>
                </c:pt>
                <c:pt idx="30">
                  <c:v>12.065678681903014</c:v>
                </c:pt>
                <c:pt idx="31">
                  <c:v>11.883561479607836</c:v>
                </c:pt>
                <c:pt idx="32">
                  <c:v>11.704193121886282</c:v>
                </c:pt>
                <c:pt idx="33">
                  <c:v>11.527532118168571</c:v>
                </c:pt>
                <c:pt idx="34">
                  <c:v>11.353537604136182</c:v>
                </c:pt>
                <c:pt idx="35">
                  <c:v>11.182169332269336</c:v>
                </c:pt>
                <c:pt idx="36">
                  <c:v>11.013387662537134</c:v>
                </c:pt>
                <c:pt idx="37">
                  <c:v>10.847153553228239</c:v>
                </c:pt>
                <c:pt idx="38">
                  <c:v>10.683428551919937</c:v>
                </c:pt>
                <c:pt idx="39">
                  <c:v>10.52217478658353</c:v>
                </c:pt>
                <c:pt idx="40">
                  <c:v>10.363354956823965</c:v>
                </c:pt>
                <c:pt idx="41">
                  <c:v>10.206932325251701</c:v>
                </c:pt>
                <c:pt idx="42">
                  <c:v>10.052870708984802</c:v>
                </c:pt>
                <c:pt idx="43">
                  <c:v>9.901134471279299</c:v>
                </c:pt>
                <c:pt idx="44">
                  <c:v>9.7516885132858828</c:v>
                </c:pt>
                <c:pt idx="45">
                  <c:v>9.6044982659310172</c:v>
                </c:pt>
                <c:pt idx="46">
                  <c:v>9.4595296819205927</c:v>
                </c:pt>
                <c:pt idx="47">
                  <c:v>9.3167492278642907</c:v>
                </c:pt>
                <c:pt idx="48">
                  <c:v>9.1761238765188011</c:v>
                </c:pt>
                <c:pt idx="49">
                  <c:v>9.0376210991481365</c:v>
                </c:pt>
                <c:pt idx="50">
                  <c:v>8.9012088579992508</c:v>
                </c:pt>
                <c:pt idx="51">
                  <c:v>8.7668555988912278</c:v>
                </c:pt>
                <c:pt idx="52">
                  <c:v>8.6345302439163287</c:v>
                </c:pt>
                <c:pt idx="53">
                  <c:v>8.5042021842512163</c:v>
                </c:pt>
                <c:pt idx="54">
                  <c:v>8.37584127307667</c:v>
                </c:pt>
                <c:pt idx="55">
                  <c:v>8.2494178186041847</c:v>
                </c:pt>
                <c:pt idx="56">
                  <c:v>8.1249025772078163</c:v>
                </c:pt>
                <c:pt idx="57">
                  <c:v>8.0022667466596928</c:v>
                </c:pt>
                <c:pt idx="58">
                  <c:v>7.881481959467636</c:v>
                </c:pt>
                <c:pt idx="59">
                  <c:v>7.7625202763133343</c:v>
                </c:pt>
                <c:pt idx="60">
                  <c:v>7.6453541795895648</c:v>
                </c:pt>
                <c:pt idx="61">
                  <c:v>7.5299565670349606</c:v>
                </c:pt>
                <c:pt idx="62">
                  <c:v>7.416300745464854</c:v>
                </c:pt>
                <c:pt idx="63">
                  <c:v>7.3043604245967471</c:v>
                </c:pt>
                <c:pt idx="64">
                  <c:v>7.1941097109689771</c:v>
                </c:pt>
                <c:pt idx="65">
                  <c:v>7.0855231019511749</c:v>
                </c:pt>
                <c:pt idx="66">
                  <c:v>6.9785754798451247</c:v>
                </c:pt>
                <c:pt idx="67">
                  <c:v>6.8732421060746685</c:v>
                </c:pt>
                <c:pt idx="68">
                  <c:v>6.7694986154633057</c:v>
                </c:pt>
                <c:pt idx="69">
                  <c:v>6.6673210105981635</c:v>
                </c:pt>
                <c:pt idx="70">
                  <c:v>6.5666856562790414</c:v>
                </c:pt>
                <c:pt idx="71">
                  <c:v>6.4675692740512334</c:v>
                </c:pt>
                <c:pt idx="72">
                  <c:v>6.3699489368208795</c:v>
                </c:pt>
                <c:pt idx="73">
                  <c:v>6.2738020635515852</c:v>
                </c:pt>
                <c:pt idx="74">
                  <c:v>6.1791064140410912</c:v>
                </c:pt>
                <c:pt idx="75">
                  <c:v>6.0858400837767865</c:v>
                </c:pt>
                <c:pt idx="76">
                  <c:v>5.993981498868866</c:v>
                </c:pt>
                <c:pt idx="77">
                  <c:v>5.9035094110599706</c:v>
                </c:pt>
                <c:pt idx="78">
                  <c:v>5.8144028928101479</c:v>
                </c:pt>
                <c:pt idx="79">
                  <c:v>5.7266413324560013</c:v>
                </c:pt>
                <c:pt idx="80">
                  <c:v>5.6402044294429068</c:v>
                </c:pt>
                <c:pt idx="81">
                  <c:v>5.5550721896291906</c:v>
                </c:pt>
                <c:pt idx="82">
                  <c:v>5.4712249206611885</c:v>
                </c:pt>
                <c:pt idx="83">
                  <c:v>5.3886432274181102</c:v>
                </c:pt>
                <c:pt idx="84">
                  <c:v>5.3073080075256591</c:v>
                </c:pt>
                <c:pt idx="85">
                  <c:v>5.2272004469373705</c:v>
                </c:pt>
                <c:pt idx="86">
                  <c:v>5.148302015582642</c:v>
                </c:pt>
                <c:pt idx="87">
                  <c:v>5.070594463080452</c:v>
                </c:pt>
                <c:pt idx="88">
                  <c:v>4.994059814517775</c:v>
                </c:pt>
                <c:pt idx="89">
                  <c:v>4.918680366291718</c:v>
                </c:pt>
                <c:pt idx="90">
                  <c:v>4.8444386820144123</c:v>
                </c:pt>
                <c:pt idx="91">
                  <c:v>4.7713175884797181</c:v>
                </c:pt>
                <c:pt idx="92">
                  <c:v>4.6993001716908065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561536"/>
        <c:axId val="172563456"/>
      </c:scatterChart>
      <c:valAx>
        <c:axId val="17256153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2563456"/>
        <c:crosses val="autoZero"/>
        <c:crossBetween val="midCat"/>
      </c:valAx>
      <c:valAx>
        <c:axId val="172563456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25615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Pu239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mod.RK1!$K$2:$K$94</c:f>
              <c:numCache>
                <c:formatCode>0.00</c:formatCode>
                <c:ptCount val="93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mod.math.!$U$2:$U$94</c:f>
              <c:numCache>
                <c:formatCode>0.00</c:formatCode>
                <c:ptCount val="93"/>
                <c:pt idx="0">
                  <c:v>3461.582080376133</c:v>
                </c:pt>
                <c:pt idx="1">
                  <c:v>3456.2578200755306</c:v>
                </c:pt>
                <c:pt idx="2">
                  <c:v>3450.8815096753633</c:v>
                </c:pt>
                <c:pt idx="3">
                  <c:v>3445.4544850796105</c:v>
                </c:pt>
                <c:pt idx="4">
                  <c:v>3439.978056832434</c:v>
                </c:pt>
                <c:pt idx="5">
                  <c:v>3434.4535105825639</c:v>
                </c:pt>
                <c:pt idx="6">
                  <c:v>3428.8821075392261</c:v>
                </c:pt>
                <c:pt idx="7">
                  <c:v>3423.2650849197771</c:v>
                </c:pt>
                <c:pt idx="8">
                  <c:v>3417.6036563891876</c:v>
                </c:pt>
                <c:pt idx="9">
                  <c:v>3411.8990124915317</c:v>
                </c:pt>
                <c:pt idx="10">
                  <c:v>3406.15232107362</c:v>
                </c:pt>
                <c:pt idx="11">
                  <c:v>3400.364727700919</c:v>
                </c:pt>
                <c:pt idx="12">
                  <c:v>3394.5373560659064</c:v>
                </c:pt>
                <c:pt idx="13">
                  <c:v>3388.6713083889854</c:v>
                </c:pt>
                <c:pt idx="14">
                  <c:v>3382.7676658121059</c:v>
                </c:pt>
                <c:pt idx="15">
                  <c:v>3376.8274887852176</c:v>
                </c:pt>
                <c:pt idx="16">
                  <c:v>3370.8518174456899</c:v>
                </c:pt>
                <c:pt idx="17">
                  <c:v>3364.84167199082</c:v>
                </c:pt>
                <c:pt idx="18">
                  <c:v>3358.7980530435625</c:v>
                </c:pt>
                <c:pt idx="19">
                  <c:v>3352.7219420115985</c:v>
                </c:pt>
                <c:pt idx="20">
                  <c:v>3346.6143014398667</c:v>
                </c:pt>
                <c:pt idx="21">
                  <c:v>3340.4760753566757</c:v>
                </c:pt>
                <c:pt idx="22">
                  <c:v>3334.3081896135132</c:v>
                </c:pt>
                <c:pt idx="23">
                  <c:v>3328.1115522186669</c:v>
                </c:pt>
                <c:pt idx="24">
                  <c:v>3321.8870536647723</c:v>
                </c:pt>
                <c:pt idx="25">
                  <c:v>3315.6355672503914</c:v>
                </c:pt>
                <c:pt idx="26">
                  <c:v>3309.3579493957373</c:v>
                </c:pt>
                <c:pt idx="27">
                  <c:v>3303.0550399526473</c:v>
                </c:pt>
                <c:pt idx="28">
                  <c:v>3296.7276625089098</c:v>
                </c:pt>
                <c:pt idx="29">
                  <c:v>3290.3766246870528</c:v>
                </c:pt>
                <c:pt idx="30">
                  <c:v>3284.0027184376786</c:v>
                </c:pt>
                <c:pt idx="31">
                  <c:v>3277.6067203274702</c:v>
                </c:pt>
                <c:pt idx="32">
                  <c:v>3271.1893918219348</c:v>
                </c:pt>
                <c:pt idx="33">
                  <c:v>3264.7514795630123</c:v>
                </c:pt>
                <c:pt idx="34">
                  <c:v>3258.2937156416119</c:v>
                </c:pt>
                <c:pt idx="35">
                  <c:v>3251.8168178651945</c:v>
                </c:pt>
                <c:pt idx="36">
                  <c:v>3245.3214900204707</c:v>
                </c:pt>
                <c:pt idx="37">
                  <c:v>3238.8084221313197</c:v>
                </c:pt>
                <c:pt idx="38">
                  <c:v>3232.2782907120045</c:v>
                </c:pt>
                <c:pt idx="39">
                  <c:v>3225.7317590157704</c:v>
                </c:pt>
                <c:pt idx="40">
                  <c:v>3219.1694772789215</c:v>
                </c:pt>
                <c:pt idx="41">
                  <c:v>3212.5920829604365</c:v>
                </c:pt>
                <c:pt idx="42">
                  <c:v>3206.0002009772334</c:v>
                </c:pt>
                <c:pt idx="43">
                  <c:v>3199.3944439351299</c:v>
                </c:pt>
                <c:pt idx="44">
                  <c:v>3192.7754123556051</c:v>
                </c:pt>
                <c:pt idx="45">
                  <c:v>3186.1436948984251</c:v>
                </c:pt>
                <c:pt idx="46">
                  <c:v>3179.4998685802066</c:v>
                </c:pt>
                <c:pt idx="47">
                  <c:v>3172.8444989890031</c:v>
                </c:pt>
                <c:pt idx="48">
                  <c:v>3166.1781404949738</c:v>
                </c:pt>
                <c:pt idx="49">
                  <c:v>3159.5013364572114</c:v>
                </c:pt>
                <c:pt idx="50">
                  <c:v>3152.8146194268033</c:v>
                </c:pt>
                <c:pt idx="51">
                  <c:v>3146.1185113461866</c:v>
                </c:pt>
                <c:pt idx="52">
                  <c:v>3139.41352374487</c:v>
                </c:pt>
                <c:pt idx="53">
                  <c:v>3132.7001579315847</c:v>
                </c:pt>
                <c:pt idx="54">
                  <c:v>3125.9789051829339</c:v>
                </c:pt>
                <c:pt idx="55">
                  <c:v>3119.2502469285987</c:v>
                </c:pt>
                <c:pt idx="56">
                  <c:v>3112.5146549331694</c:v>
                </c:pt>
                <c:pt idx="57">
                  <c:v>3105.7725914746602</c:v>
                </c:pt>
                <c:pt idx="58">
                  <c:v>3099.0245095197624</c:v>
                </c:pt>
                <c:pt idx="59">
                  <c:v>3092.2708528959088</c:v>
                </c:pt>
                <c:pt idx="60">
                  <c:v>3085.512056460193</c:v>
                </c:pt>
                <c:pt idx="61">
                  <c:v>3078.7485462652135</c:v>
                </c:pt>
                <c:pt idx="62">
                  <c:v>3071.9807397218819</c:v>
                </c:pt>
                <c:pt idx="63">
                  <c:v>3065.2090457592735</c:v>
                </c:pt>
                <c:pt idx="64">
                  <c:v>3058.43386498155</c:v>
                </c:pt>
                <c:pt idx="65">
                  <c:v>3051.6555898220263</c:v>
                </c:pt>
                <c:pt idx="66">
                  <c:v>3044.8746046944216</c:v>
                </c:pt>
                <c:pt idx="67">
                  <c:v>3038.0912861413522</c:v>
                </c:pt>
                <c:pt idx="68">
                  <c:v>3031.3060029801159</c:v>
                </c:pt>
                <c:pt idx="69">
                  <c:v>3024.5191164458083</c:v>
                </c:pt>
                <c:pt idx="70">
                  <c:v>3017.7309803318385</c:v>
                </c:pt>
                <c:pt idx="71">
                  <c:v>3010.94194112787</c:v>
                </c:pt>
                <c:pt idx="72">
                  <c:v>3004.1523381552443</c:v>
                </c:pt>
                <c:pt idx="73">
                  <c:v>2997.3625036999433</c:v>
                </c:pt>
                <c:pt idx="74">
                  <c:v>2990.572763143105</c:v>
                </c:pt>
                <c:pt idx="75">
                  <c:v>2983.7834350891767</c:v>
                </c:pt>
                <c:pt idx="76">
                  <c:v>2976.9948314917124</c:v>
                </c:pt>
                <c:pt idx="77">
                  <c:v>2970.2072577768804</c:v>
                </c:pt>
                <c:pt idx="78">
                  <c:v>2963.4210129647154</c:v>
                </c:pt>
                <c:pt idx="79">
                  <c:v>2956.6363897881547</c:v>
                </c:pt>
                <c:pt idx="80">
                  <c:v>2949.8536748098986</c:v>
                </c:pt>
                <c:pt idx="81">
                  <c:v>2943.0731485371398</c:v>
                </c:pt>
                <c:pt idx="82">
                  <c:v>2936.2950855341946</c:v>
                </c:pt>
                <c:pt idx="83">
                  <c:v>2929.5197545330789</c:v>
                </c:pt>
                <c:pt idx="84">
                  <c:v>2922.7474185420588</c:v>
                </c:pt>
                <c:pt idx="85">
                  <c:v>2915.9783349522263</c:v>
                </c:pt>
                <c:pt idx="86">
                  <c:v>2909.2127556421192</c:v>
                </c:pt>
                <c:pt idx="87">
                  <c:v>2902.4509270804333</c:v>
                </c:pt>
                <c:pt idx="88">
                  <c:v>2895.6930904268593</c:v>
                </c:pt>
                <c:pt idx="89">
                  <c:v>2888.9394816310728</c:v>
                </c:pt>
                <c:pt idx="90">
                  <c:v>2882.1903315299169</c:v>
                </c:pt>
                <c:pt idx="91">
                  <c:v>2875.4458659428092</c:v>
                </c:pt>
                <c:pt idx="92">
                  <c:v>2868.7063057654036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599936"/>
        <c:axId val="172610304"/>
      </c:scatterChart>
      <c:valAx>
        <c:axId val="17259993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>
            <c:manualLayout>
              <c:xMode val="edge"/>
              <c:yMode val="edge"/>
              <c:x val="0.46574447860464036"/>
              <c:y val="0.92614103725898056"/>
            </c:manualLayout>
          </c:layout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2610304"/>
        <c:crosses val="autoZero"/>
        <c:crossBetween val="midCat"/>
      </c:valAx>
      <c:valAx>
        <c:axId val="172610304"/>
        <c:scaling>
          <c:orientation val="minMax"/>
          <c:min val="25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Pu239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259993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Pu240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mod.math.!$V$2:$V$94</c:f>
              <c:numCache>
                <c:formatCode>0.00</c:formatCode>
                <c:ptCount val="93"/>
                <c:pt idx="0">
                  <c:v>1154.5288235649405</c:v>
                </c:pt>
                <c:pt idx="1">
                  <c:v>1159.3325357283957</c:v>
                </c:pt>
                <c:pt idx="2">
                  <c:v>1164.0818898804214</c:v>
                </c:pt>
                <c:pt idx="3">
                  <c:v>1168.7770796442351</c:v>
                </c:pt>
                <c:pt idx="4">
                  <c:v>1173.4183022469758</c:v>
                </c:pt>
                <c:pt idx="5">
                  <c:v>1178.0057583994196</c:v>
                </c:pt>
                <c:pt idx="6">
                  <c:v>1182.5396521782793</c:v>
                </c:pt>
                <c:pt idx="7">
                  <c:v>1187.0201909110476</c:v>
                </c:pt>
                <c:pt idx="8">
                  <c:v>1191.4475850633282</c:v>
                </c:pt>
                <c:pt idx="9">
                  <c:v>1195.8220481286114</c:v>
                </c:pt>
                <c:pt idx="10">
                  <c:v>1200.1437965204427</c:v>
                </c:pt>
                <c:pt idx="11">
                  <c:v>1204.4130494669409</c:v>
                </c:pt>
                <c:pt idx="12">
                  <c:v>1208.6300289076191</c:v>
                </c:pt>
                <c:pt idx="13">
                  <c:v>1212.7949593924657</c:v>
                </c:pt>
                <c:pt idx="14">
                  <c:v>1216.9080679832359</c:v>
                </c:pt>
                <c:pt idx="15">
                  <c:v>1220.9695841569214</c:v>
                </c:pt>
                <c:pt idx="16">
                  <c:v>1224.9797397113418</c:v>
                </c:pt>
                <c:pt idx="17">
                  <c:v>1228.9387686728323</c:v>
                </c:pt>
                <c:pt idx="18">
                  <c:v>1232.8469072059718</c:v>
                </c:pt>
                <c:pt idx="19">
                  <c:v>1236.7043935253218</c:v>
                </c:pt>
                <c:pt idx="20">
                  <c:v>1240.5114678091343</c:v>
                </c:pt>
                <c:pt idx="21">
                  <c:v>1244.2683721149872</c:v>
                </c:pt>
                <c:pt idx="22">
                  <c:v>1247.9753502973149</c:v>
                </c:pt>
                <c:pt idx="23">
                  <c:v>1251.6326479267907</c:v>
                </c:pt>
                <c:pt idx="24">
                  <c:v>1255.2405122115317</c:v>
                </c:pt>
                <c:pt idx="25">
                  <c:v>1258.7991919200854</c:v>
                </c:pt>
                <c:pt idx="26">
                  <c:v>1262.3089373061619</c:v>
                </c:pt>
                <c:pt idx="27">
                  <c:v>1265.7700000350883</c:v>
                </c:pt>
                <c:pt idx="28">
                  <c:v>1269.1826331119319</c:v>
                </c:pt>
                <c:pt idx="29">
                  <c:v>1272.5470908112829</c:v>
                </c:pt>
                <c:pt idx="30">
                  <c:v>1275.8636286086419</c:v>
                </c:pt>
                <c:pt idx="31">
                  <c:v>1279.1325031133968</c:v>
                </c:pt>
                <c:pt idx="32">
                  <c:v>1282.3539720033489</c:v>
                </c:pt>
                <c:pt idx="33">
                  <c:v>1285.5282939607637</c:v>
                </c:pt>
                <c:pt idx="34">
                  <c:v>1288.6557286099055</c:v>
                </c:pt>
                <c:pt idx="35">
                  <c:v>1291.7365364560428</c:v>
                </c:pt>
                <c:pt idx="36">
                  <c:v>1294.7709788258819</c:v>
                </c:pt>
                <c:pt idx="37">
                  <c:v>1297.7593178094023</c:v>
                </c:pt>
                <c:pt idx="38">
                  <c:v>1300.7018162030765</c:v>
                </c:pt>
                <c:pt idx="39">
                  <c:v>1303.5987374544293</c:v>
                </c:pt>
                <c:pt idx="40">
                  <c:v>1306.4503456079285</c:v>
                </c:pt>
                <c:pt idx="41">
                  <c:v>1309.256905252166</c:v>
                </c:pt>
                <c:pt idx="42">
                  <c:v>1312.0186814683095</c:v>
                </c:pt>
                <c:pt idx="43">
                  <c:v>1314.7359397798043</c:v>
                </c:pt>
                <c:pt idx="44">
                  <c:v>1317.4089461032859</c:v>
                </c:pt>
                <c:pt idx="45">
                  <c:v>1320.0379667006994</c:v>
                </c:pt>
                <c:pt idx="46">
                  <c:v>1322.6232681325794</c:v>
                </c:pt>
                <c:pt idx="47">
                  <c:v>1325.1651172124873</c:v>
                </c:pt>
                <c:pt idx="48">
                  <c:v>1327.6637809625688</c:v>
                </c:pt>
                <c:pt idx="49">
                  <c:v>1330.1195265702156</c:v>
                </c:pt>
                <c:pt idx="50">
                  <c:v>1332.5326213458056</c:v>
                </c:pt>
                <c:pt idx="51">
                  <c:v>1334.9033326815043</c:v>
                </c:pt>
                <c:pt idx="52">
                  <c:v>1337.231928011103</c:v>
                </c:pt>
                <c:pt idx="53">
                  <c:v>1339.518674770871</c:v>
                </c:pt>
                <c:pt idx="54">
                  <c:v>1341.763840361408</c:v>
                </c:pt>
                <c:pt idx="55">
                  <c:v>1343.9676921104654</c:v>
                </c:pt>
                <c:pt idx="56">
                  <c:v>1346.1304972367298</c:v>
                </c:pt>
                <c:pt idx="57">
                  <c:v>1348.2525228145412</c:v>
                </c:pt>
                <c:pt idx="58">
                  <c:v>1350.3340357395261</c:v>
                </c:pt>
                <c:pt idx="59">
                  <c:v>1352.3753026951299</c:v>
                </c:pt>
                <c:pt idx="60">
                  <c:v>1354.3765901200341</c:v>
                </c:pt>
                <c:pt idx="61">
                  <c:v>1356.3381641764306</c:v>
                </c:pt>
                <c:pt idx="62">
                  <c:v>1358.2602907191408</c:v>
                </c:pt>
                <c:pt idx="63">
                  <c:v>1360.143235265567</c:v>
                </c:pt>
                <c:pt idx="64">
                  <c:v>1361.9872629664494</c:v>
                </c:pt>
                <c:pt idx="65">
                  <c:v>1363.7926385774181</c:v>
                </c:pt>
                <c:pt idx="66">
                  <c:v>1365.5596264313253</c:v>
                </c:pt>
                <c:pt idx="67">
                  <c:v>1367.2884904113339</c:v>
                </c:pt>
                <c:pt idx="68">
                  <c:v>1368.979493924757</c:v>
                </c:pt>
                <c:pt idx="69">
                  <c:v>1370.6328998776223</c:v>
                </c:pt>
                <c:pt idx="70">
                  <c:v>1372.248970649958</c:v>
                </c:pt>
                <c:pt idx="71">
                  <c:v>1373.8279680717746</c:v>
                </c:pt>
                <c:pt idx="72">
                  <c:v>1375.3701533997298</c:v>
                </c:pt>
                <c:pt idx="73">
                  <c:v>1376.8757872944745</c:v>
                </c:pt>
                <c:pt idx="74">
                  <c:v>1378.3451297986455</c:v>
                </c:pt>
                <c:pt idx="75">
                  <c:v>1379.7784403155092</c:v>
                </c:pt>
                <c:pt idx="76">
                  <c:v>1381.1759775882315</c:v>
                </c:pt>
                <c:pt idx="77">
                  <c:v>1382.5379996797683</c:v>
                </c:pt>
                <c:pt idx="78">
                  <c:v>1383.8647639533556</c:v>
                </c:pt>
                <c:pt idx="79">
                  <c:v>1385.1565270535943</c:v>
                </c:pt>
                <c:pt idx="80">
                  <c:v>1386.4135448881143</c:v>
                </c:pt>
                <c:pt idx="81">
                  <c:v>1387.636072609801</c:v>
                </c:pt>
                <c:pt idx="82">
                  <c:v>1388.8243645995824</c:v>
                </c:pt>
                <c:pt idx="83">
                  <c:v>1389.9786744497528</c:v>
                </c:pt>
                <c:pt idx="84">
                  <c:v>1391.099254947834</c:v>
                </c:pt>
                <c:pt idx="85">
                  <c:v>1392.1863580609518</c:v>
                </c:pt>
                <c:pt idx="86">
                  <c:v>1393.2402349207225</c:v>
                </c:pt>
                <c:pt idx="87">
                  <c:v>1394.2611358086394</c:v>
                </c:pt>
                <c:pt idx="88">
                  <c:v>1395.2493101419439</c:v>
                </c:pt>
                <c:pt idx="89">
                  <c:v>1396.2050064599769</c:v>
                </c:pt>
                <c:pt idx="90">
                  <c:v>1397.128472410991</c:v>
                </c:pt>
                <c:pt idx="91">
                  <c:v>1398.0199547394261</c:v>
                </c:pt>
                <c:pt idx="92">
                  <c:v>1398.8796992736266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mod.RK1!$M$2:$M$94</c:f>
              <c:numCache>
                <c:formatCode>0.00</c:formatCode>
                <c:ptCount val="93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683648"/>
        <c:axId val="172685568"/>
      </c:scatterChart>
      <c:valAx>
        <c:axId val="172683648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2685568"/>
        <c:crosses val="autoZero"/>
        <c:crossBetween val="midCat"/>
      </c:valAx>
      <c:valAx>
        <c:axId val="172685568"/>
        <c:scaling>
          <c:orientation val="minMax"/>
          <c:min val="1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Pu240(kg)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268364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Pu241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mod.RK1!$O$2:$O$94</c:f>
              <c:numCache>
                <c:formatCode>0.00</c:formatCode>
                <c:ptCount val="93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mod.math.!$W$2:$W$94</c:f>
              <c:numCache>
                <c:formatCode>0.00</c:formatCode>
                <c:ptCount val="93"/>
                <c:pt idx="0">
                  <c:v>241.52903340204068</c:v>
                </c:pt>
                <c:pt idx="1">
                  <c:v>239.19737987234839</c:v>
                </c:pt>
                <c:pt idx="2">
                  <c:v>236.94721362752381</c:v>
                </c:pt>
                <c:pt idx="3">
                  <c:v>234.77610355420589</c:v>
                </c:pt>
                <c:pt idx="4">
                  <c:v>232.6816858046675</c:v>
                </c:pt>
                <c:pt idx="5">
                  <c:v>230.66166196877316</c:v>
                </c:pt>
                <c:pt idx="6">
                  <c:v>228.7137972955336</c:v>
                </c:pt>
                <c:pt idx="7">
                  <c:v>226.83591896290719</c:v>
                </c:pt>
                <c:pt idx="8">
                  <c:v>225.02591439453829</c:v>
                </c:pt>
                <c:pt idx="9">
                  <c:v>223.28172962215604</c:v>
                </c:pt>
                <c:pt idx="10">
                  <c:v>221.60136769239398</c:v>
                </c:pt>
                <c:pt idx="11">
                  <c:v>219.98288711682176</c:v>
                </c:pt>
                <c:pt idx="12">
                  <c:v>218.42440036401626</c:v>
                </c:pt>
                <c:pt idx="13">
                  <c:v>216.92407239252853</c:v>
                </c:pt>
                <c:pt idx="14">
                  <c:v>215.48011922363727</c:v>
                </c:pt>
                <c:pt idx="15">
                  <c:v>214.09080655280562</c:v>
                </c:pt>
                <c:pt idx="16">
                  <c:v>212.75444839879219</c:v>
                </c:pt>
                <c:pt idx="17">
                  <c:v>211.46940578939135</c:v>
                </c:pt>
                <c:pt idx="18">
                  <c:v>210.23408548281009</c:v>
                </c:pt>
                <c:pt idx="19">
                  <c:v>209.04693872371087</c:v>
                </c:pt>
                <c:pt idx="20">
                  <c:v>207.90646003298161</c:v>
                </c:pt>
                <c:pt idx="21">
                  <c:v>206.81118603031507</c:v>
                </c:pt>
                <c:pt idx="22">
                  <c:v>205.75969428870749</c:v>
                </c:pt>
                <c:pt idx="23">
                  <c:v>204.75060222000931</c:v>
                </c:pt>
                <c:pt idx="24">
                  <c:v>203.78256599068479</c:v>
                </c:pt>
                <c:pt idx="25">
                  <c:v>202.85427946696151</c:v>
                </c:pt>
                <c:pt idx="26">
                  <c:v>201.96447318856971</c:v>
                </c:pt>
                <c:pt idx="27">
                  <c:v>201.11191337029751</c:v>
                </c:pt>
                <c:pt idx="28">
                  <c:v>200.29540093060504</c:v>
                </c:pt>
                <c:pt idx="29">
                  <c:v>199.51377054656501</c:v>
                </c:pt>
                <c:pt idx="30">
                  <c:v>198.76588973441244</c:v>
                </c:pt>
                <c:pt idx="31">
                  <c:v>198.05065795501218</c:v>
                </c:pt>
                <c:pt idx="32">
                  <c:v>197.36700574356425</c:v>
                </c:pt>
                <c:pt idx="33">
                  <c:v>196.7138938628915</c:v>
                </c:pt>
                <c:pt idx="34">
                  <c:v>196.09031247966925</c:v>
                </c:pt>
                <c:pt idx="35">
                  <c:v>195.49528036297426</c:v>
                </c:pt>
                <c:pt idx="36">
                  <c:v>194.92784410454743</c:v>
                </c:pt>
                <c:pt idx="37">
                  <c:v>194.38707736018091</c:v>
                </c:pt>
                <c:pt idx="38">
                  <c:v>193.87208011165768</c:v>
                </c:pt>
                <c:pt idx="39">
                  <c:v>193.38197794868444</c:v>
                </c:pt>
                <c:pt idx="40">
                  <c:v>192.91592137027669</c:v>
                </c:pt>
                <c:pt idx="41">
                  <c:v>192.47308510506826</c:v>
                </c:pt>
                <c:pt idx="42">
                  <c:v>192.05266745003124</c:v>
                </c:pt>
                <c:pt idx="43">
                  <c:v>191.6538896271087</c:v>
                </c:pt>
                <c:pt idx="44">
                  <c:v>191.27599515727232</c:v>
                </c:pt>
                <c:pt idx="45">
                  <c:v>190.91824925153429</c:v>
                </c:pt>
                <c:pt idx="46">
                  <c:v>190.57993821845264</c:v>
                </c:pt>
                <c:pt idx="47">
                  <c:v>190.26036888768354</c:v>
                </c:pt>
                <c:pt idx="48">
                  <c:v>189.95886804914534</c:v>
                </c:pt>
                <c:pt idx="49">
                  <c:v>189.67478190737069</c:v>
                </c:pt>
                <c:pt idx="50">
                  <c:v>189.40747555063587</c:v>
                </c:pt>
                <c:pt idx="51">
                  <c:v>189.15633243446635</c:v>
                </c:pt>
                <c:pt idx="52">
                  <c:v>188.92075387912854</c:v>
                </c:pt>
                <c:pt idx="53">
                  <c:v>188.70015858073009</c:v>
                </c:pt>
                <c:pt idx="54">
                  <c:v>188.49398213555818</c:v>
                </c:pt>
                <c:pt idx="55">
                  <c:v>188.30167657729854</c:v>
                </c:pt>
                <c:pt idx="56">
                  <c:v>188.12270992678521</c:v>
                </c:pt>
                <c:pt idx="57">
                  <c:v>187.95656575394295</c:v>
                </c:pt>
                <c:pt idx="58">
                  <c:v>187.80274275158962</c:v>
                </c:pt>
                <c:pt idx="59">
                  <c:v>187.66075432077994</c:v>
                </c:pt>
                <c:pt idx="60">
                  <c:v>187.53012816737632</c:v>
                </c:pt>
                <c:pt idx="61">
                  <c:v>187.4104059095431</c:v>
                </c:pt>
                <c:pt idx="62">
                  <c:v>187.30114269586835</c:v>
                </c:pt>
                <c:pt idx="63">
                  <c:v>187.201906833826</c:v>
                </c:pt>
                <c:pt idx="64">
                  <c:v>187.112279428297</c:v>
                </c:pt>
                <c:pt idx="65">
                  <c:v>187.03185402987867</c:v>
                </c:pt>
                <c:pt idx="66">
                  <c:v>186.96023629271616</c:v>
                </c:pt>
                <c:pt idx="67">
                  <c:v>186.89704364159846</c:v>
                </c:pt>
                <c:pt idx="68">
                  <c:v>186.84190494806882</c:v>
                </c:pt>
                <c:pt idx="69">
                  <c:v>186.79446021530433</c:v>
                </c:pt>
                <c:pt idx="70">
                  <c:v>186.75436027152841</c:v>
                </c:pt>
                <c:pt idx="71">
                  <c:v>186.72126647172539</c:v>
                </c:pt>
                <c:pt idx="72">
                  <c:v>186.69485040743029</c:v>
                </c:pt>
                <c:pt idx="73">
                  <c:v>186.67479362437948</c:v>
                </c:pt>
                <c:pt idx="74">
                  <c:v>186.66078734780447</c:v>
                </c:pt>
                <c:pt idx="75">
                  <c:v>186.65253221516684</c:v>
                </c:pt>
                <c:pt idx="76">
                  <c:v>186.64973801612885</c:v>
                </c:pt>
                <c:pt idx="77">
                  <c:v>186.65212343956716</c:v>
                </c:pt>
                <c:pt idx="78">
                  <c:v>186.65941582743716</c:v>
                </c:pt>
                <c:pt idx="79">
                  <c:v>186.67135093530376</c:v>
                </c:pt>
                <c:pt idx="80">
                  <c:v>186.68767269935748</c:v>
                </c:pt>
                <c:pt idx="81">
                  <c:v>186.70813300974092</c:v>
                </c:pt>
                <c:pt idx="82">
                  <c:v>186.73249149001529</c:v>
                </c:pt>
                <c:pt idx="83">
                  <c:v>186.7605152826001</c:v>
                </c:pt>
                <c:pt idx="84">
                  <c:v>186.79197884002465</c:v>
                </c:pt>
                <c:pt idx="85">
                  <c:v>186.8266637218361</c:v>
                </c:pt>
                <c:pt idx="86">
                  <c:v>186.86435839700704</c:v>
                </c:pt>
                <c:pt idx="87">
                  <c:v>186.90485805169897</c:v>
                </c:pt>
                <c:pt idx="88">
                  <c:v>186.94796440223271</c:v>
                </c:pt>
                <c:pt idx="89">
                  <c:v>186.99348551312767</c:v>
                </c:pt>
                <c:pt idx="90">
                  <c:v>187.04123562007101</c:v>
                </c:pt>
                <c:pt idx="91">
                  <c:v>187.09103495768579</c:v>
                </c:pt>
                <c:pt idx="92">
                  <c:v>187.1427095919656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865408"/>
        <c:axId val="172871680"/>
      </c:scatterChart>
      <c:valAx>
        <c:axId val="172865408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2871680"/>
        <c:crosses val="autoZero"/>
        <c:crossBetween val="midCat"/>
      </c:valAx>
      <c:valAx>
        <c:axId val="172871680"/>
        <c:scaling>
          <c:orientation val="minMax"/>
          <c:max val="300"/>
          <c:min val="1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2865408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de Pu242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mod.RK1!$Q$2:$Q$94</c:f>
              <c:numCache>
                <c:formatCode>0.00</c:formatCode>
                <c:ptCount val="93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mod.math.!$X$2:$X$94</c:f>
              <c:numCache>
                <c:formatCode>0.00</c:formatCode>
                <c:ptCount val="93"/>
                <c:pt idx="0">
                  <c:v>82.180003066254699</c:v>
                </c:pt>
                <c:pt idx="1">
                  <c:v>82.677242875249476</c:v>
                </c:pt>
                <c:pt idx="2">
                  <c:v>83.163231226244704</c:v>
                </c:pt>
                <c:pt idx="3">
                  <c:v>83.638308819265603</c:v>
                </c:pt>
                <c:pt idx="4">
                  <c:v>84.102806532346904</c:v>
                </c:pt>
                <c:pt idx="5">
                  <c:v>84.557045687099958</c:v>
                </c:pt>
                <c:pt idx="6">
                  <c:v>85.001338307226831</c:v>
                </c:pt>
                <c:pt idx="7">
                  <c:v>85.435987370175326</c:v>
                </c:pt>
                <c:pt idx="8">
                  <c:v>85.861287052120247</c:v>
                </c:pt>
                <c:pt idx="9">
                  <c:v>86.277522966441438</c:v>
                </c:pt>
                <c:pt idx="10">
                  <c:v>86.684972395875889</c:v>
                </c:pt>
                <c:pt idx="11">
                  <c:v>87.08390451851335</c:v>
                </c:pt>
                <c:pt idx="12">
                  <c:v>87.474580627792136</c:v>
                </c:pt>
                <c:pt idx="13">
                  <c:v>87.857254346665115</c:v>
                </c:pt>
                <c:pt idx="14">
                  <c:v>88.232171836080454</c:v>
                </c:pt>
                <c:pt idx="15">
                  <c:v>88.599571997936039</c:v>
                </c:pt>
                <c:pt idx="16">
                  <c:v>88.959686672647877</c:v>
                </c:pt>
                <c:pt idx="17">
                  <c:v>89.312740831482188</c:v>
                </c:pt>
                <c:pt idx="18">
                  <c:v>89.65895276378302</c:v>
                </c:pt>
                <c:pt idx="19">
                  <c:v>89.998534259236862</c:v>
                </c:pt>
                <c:pt idx="20">
                  <c:v>90.331690785303579</c:v>
                </c:pt>
                <c:pt idx="21">
                  <c:v>90.658621659939797</c:v>
                </c:pt>
                <c:pt idx="22">
                  <c:v>90.979520219742881</c:v>
                </c:pt>
                <c:pt idx="23">
                  <c:v>91.294573983638543</c:v>
                </c:pt>
                <c:pt idx="24">
                  <c:v>91.60396481222017</c:v>
                </c:pt>
                <c:pt idx="25">
                  <c:v>91.907869062870304</c:v>
                </c:pt>
                <c:pt idx="26">
                  <c:v>92.206457740763199</c:v>
                </c:pt>
                <c:pt idx="27">
                  <c:v>92.499896645862918</c:v>
                </c:pt>
                <c:pt idx="28">
                  <c:v>92.788346516025058</c:v>
                </c:pt>
                <c:pt idx="29">
                  <c:v>93.071963166299781</c:v>
                </c:pt>
                <c:pt idx="30">
                  <c:v>93.350897624541687</c:v>
                </c:pt>
                <c:pt idx="31">
                  <c:v>93.625296263420353</c:v>
                </c:pt>
                <c:pt idx="32">
                  <c:v>93.895300928932272</c:v>
                </c:pt>
                <c:pt idx="33">
                  <c:v>94.161049065498673</c:v>
                </c:pt>
                <c:pt idx="34">
                  <c:v>94.422673837746856</c:v>
                </c:pt>
                <c:pt idx="35">
                  <c:v>94.68030424905993</c:v>
                </c:pt>
                <c:pt idx="36">
                  <c:v>94.934065256980091</c:v>
                </c:pt>
                <c:pt idx="37">
                  <c:v>95.184077885548106</c:v>
                </c:pt>
                <c:pt idx="38">
                  <c:v>95.43045933466118</c:v>
                </c:pt>
                <c:pt idx="39">
                  <c:v>95.673323086528967</c:v>
                </c:pt>
                <c:pt idx="40">
                  <c:v>95.912779009301289</c:v>
                </c:pt>
                <c:pt idx="41">
                  <c:v>96.148933457944111</c:v>
                </c:pt>
                <c:pt idx="42">
                  <c:v>96.381889372440071</c:v>
                </c:pt>
                <c:pt idx="43">
                  <c:v>96.611746373372455</c:v>
                </c:pt>
                <c:pt idx="44">
                  <c:v>96.83860085497713</c:v>
                </c:pt>
                <c:pt idx="45">
                  <c:v>97.062546075721002</c:v>
                </c:pt>
                <c:pt idx="46">
                  <c:v>97.283672246468825</c:v>
                </c:pt>
                <c:pt idx="47">
                  <c:v>97.502066616307673</c:v>
                </c:pt>
                <c:pt idx="48">
                  <c:v>97.717813556093915</c:v>
                </c:pt>
                <c:pt idx="49">
                  <c:v>97.930994639771598</c:v>
                </c:pt>
                <c:pt idx="50">
                  <c:v>98.141688723532184</c:v>
                </c:pt>
                <c:pt idx="51">
                  <c:v>98.349972022866496</c:v>
                </c:pt>
                <c:pt idx="52">
                  <c:v>98.55591818756443</c:v>
                </c:pt>
                <c:pt idx="53">
                  <c:v>98.759598374720895</c:v>
                </c:pt>
                <c:pt idx="54">
                  <c:v>98.961081319794857</c:v>
                </c:pt>
                <c:pt idx="55">
                  <c:v>99.16043340577761</c:v>
                </c:pt>
                <c:pt idx="56">
                  <c:v>99.357718730516751</c:v>
                </c:pt>
                <c:pt idx="57">
                  <c:v>99.552999172242949</c:v>
                </c:pt>
                <c:pt idx="58">
                  <c:v>99.746334453356383</c:v>
                </c:pt>
                <c:pt idx="59">
                  <c:v>99.937782202504138</c:v>
                </c:pt>
                <c:pt idx="60">
                  <c:v>100.12739801500641</c:v>
                </c:pt>
                <c:pt idx="61">
                  <c:v>100.31523551166583</c:v>
                </c:pt>
                <c:pt idx="62">
                  <c:v>100.50134639600856</c:v>
                </c:pt>
                <c:pt idx="63">
                  <c:v>100.68578050999588</c:v>
                </c:pt>
                <c:pt idx="64">
                  <c:v>100.8685858882447</c:v>
                </c:pt>
                <c:pt idx="65">
                  <c:v>101.04980881080172</c:v>
                </c:pt>
                <c:pt idx="66">
                  <c:v>101.22949385450153</c:v>
                </c:pt>
                <c:pt idx="67">
                  <c:v>101.40768394295355</c:v>
                </c:pt>
                <c:pt idx="68">
                  <c:v>101.58442039518764</c:v>
                </c:pt>
                <c:pt idx="69">
                  <c:v>101.75974297299797</c:v>
                </c:pt>
                <c:pt idx="70">
                  <c:v>101.93368992701659</c:v>
                </c:pt>
                <c:pt idx="71">
                  <c:v>102.10629804155292</c:v>
                </c:pt>
                <c:pt idx="72">
                  <c:v>102.27760267822595</c:v>
                </c:pt>
                <c:pt idx="73">
                  <c:v>102.44763781842954</c:v>
                </c:pt>
                <c:pt idx="74">
                  <c:v>102.61643610465325</c:v>
                </c:pt>
                <c:pt idx="75">
                  <c:v>102.78402888069274</c:v>
                </c:pt>
                <c:pt idx="76">
                  <c:v>102.95044623077854</c:v>
                </c:pt>
                <c:pt idx="77">
                  <c:v>103.11571701765115</c:v>
                </c:pt>
                <c:pt idx="78">
                  <c:v>103.27986891961132</c:v>
                </c:pt>
                <c:pt idx="79">
                  <c:v>103.44292846656668</c:v>
                </c:pt>
                <c:pt idx="80">
                  <c:v>103.60492107511391</c:v>
                </c:pt>
                <c:pt idx="81">
                  <c:v>103.76587108266421</c:v>
                </c:pt>
                <c:pt idx="82">
                  <c:v>103.92580178065498</c:v>
                </c:pt>
                <c:pt idx="83">
                  <c:v>104.08473544685404</c:v>
                </c:pt>
                <c:pt idx="84">
                  <c:v>104.2426933768005</c:v>
                </c:pt>
                <c:pt idx="85">
                  <c:v>104.39969591438069</c:v>
                </c:pt>
                <c:pt idx="86">
                  <c:v>104.55576248158695</c:v>
                </c:pt>
                <c:pt idx="87">
                  <c:v>104.7109116074605</c:v>
                </c:pt>
                <c:pt idx="88">
                  <c:v>104.8651609562512</c:v>
                </c:pt>
                <c:pt idx="89">
                  <c:v>105.01852735481049</c:v>
                </c:pt>
                <c:pt idx="90">
                  <c:v>105.1710268192391</c:v>
                </c:pt>
                <c:pt idx="91">
                  <c:v>105.32267458080753</c:v>
                </c:pt>
                <c:pt idx="92">
                  <c:v>105.47348511117048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2957056"/>
        <c:axId val="172967424"/>
      </c:scatterChart>
      <c:valAx>
        <c:axId val="172957056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2967424"/>
        <c:crosses val="autoZero"/>
        <c:crossBetween val="midCat"/>
      </c:valAx>
      <c:valAx>
        <c:axId val="172967424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Pu242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2957056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</a:t>
            </a:r>
            <a:r>
              <a:rPr lang="fr-FR" sz="2000" baseline="0"/>
              <a:t> d'Am241 en fonction du temps</a:t>
            </a:r>
            <a:endParaRPr lang="fr-FR" sz="2000"/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9.6817476778848652E-2"/>
                  <c:y val="5.6479663504888582E-2"/>
                </c:manualLayout>
              </c:layout>
              <c:numFmt formatCode="General" sourceLinked="0"/>
            </c:trendlineLbl>
          </c:trendline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mod.RK1!$S$2:$S$94</c:f>
              <c:numCache>
                <c:formatCode>0.00</c:formatCode>
                <c:ptCount val="93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trendline>
            <c:trendlineType val="log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wer"/>
            <c:dispRSqr val="0"/>
            <c:dispEq val="0"/>
          </c:trendline>
          <c:trendline>
            <c:trendlineType val="poly"/>
            <c:order val="5"/>
            <c:dispRSqr val="1"/>
            <c:dispEq val="1"/>
            <c:trendlineLbl>
              <c:layout>
                <c:manualLayout>
                  <c:x val="1.790070043664968E-2"/>
                  <c:y val="-7.9826339854907682E-2"/>
                </c:manualLayout>
              </c:layout>
              <c:numFmt formatCode="General" sourceLinked="0"/>
            </c:trendlineLbl>
          </c:trendline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mod.math.!$Y$2:$Y$94</c:f>
              <c:numCache>
                <c:formatCode>0.00</c:formatCode>
                <c:ptCount val="93"/>
                <c:pt idx="0">
                  <c:v>52.114148285917622</c:v>
                </c:pt>
                <c:pt idx="1">
                  <c:v>52.221948130873727</c:v>
                </c:pt>
                <c:pt idx="2">
                  <c:v>52.318822213654499</c:v>
                </c:pt>
                <c:pt idx="3">
                  <c:v>52.405270436102484</c:v>
                </c:pt>
                <c:pt idx="4">
                  <c:v>52.481774926834817</c:v>
                </c:pt>
                <c:pt idx="5">
                  <c:v>52.548800597617372</c:v>
                </c:pt>
                <c:pt idx="6">
                  <c:v>52.606795683418596</c:v>
                </c:pt>
                <c:pt idx="7">
                  <c:v>52.656192266603625</c:v>
                </c:pt>
                <c:pt idx="8">
                  <c:v>52.697406785720034</c:v>
                </c:pt>
                <c:pt idx="9">
                  <c:v>52.730840529311166</c:v>
                </c:pt>
                <c:pt idx="10">
                  <c:v>52.756880115184657</c:v>
                </c:pt>
                <c:pt idx="11">
                  <c:v>52.775897955547094</c:v>
                </c:pt>
                <c:pt idx="12">
                  <c:v>52.78825270840845</c:v>
                </c:pt>
                <c:pt idx="13">
                  <c:v>52.794289715645945</c:v>
                </c:pt>
                <c:pt idx="14">
                  <c:v>52.7943414281077</c:v>
                </c:pt>
                <c:pt idx="15">
                  <c:v>52.788727818125182</c:v>
                </c:pt>
                <c:pt idx="16">
                  <c:v>52.777756779793066</c:v>
                </c:pt>
                <c:pt idx="17">
                  <c:v>52.761724517365778</c:v>
                </c:pt>
                <c:pt idx="18">
                  <c:v>52.740915922109252</c:v>
                </c:pt>
                <c:pt idx="19">
                  <c:v>52.715604937938252</c:v>
                </c:pt>
                <c:pt idx="20">
                  <c:v>52.686054916158938</c:v>
                </c:pt>
                <c:pt idx="21">
                  <c:v>52.65251895962831</c:v>
                </c:pt>
                <c:pt idx="22">
                  <c:v>52.615240256633967</c:v>
                </c:pt>
                <c:pt idx="23">
                  <c:v>52.57445240478684</c:v>
                </c:pt>
                <c:pt idx="24">
                  <c:v>52.530379725214928</c:v>
                </c:pt>
                <c:pt idx="25">
                  <c:v>52.483237567334257</c:v>
                </c:pt>
                <c:pt idx="26">
                  <c:v>52.433232604468301</c:v>
                </c:pt>
                <c:pt idx="27">
                  <c:v>52.3805631205786</c:v>
                </c:pt>
                <c:pt idx="28">
                  <c:v>52.325419288360365</c:v>
                </c:pt>
                <c:pt idx="29">
                  <c:v>52.267983438954104</c:v>
                </c:pt>
                <c:pt idx="30">
                  <c:v>52.208430323510768</c:v>
                </c:pt>
                <c:pt idx="31">
                  <c:v>52.146927366848175</c:v>
                </c:pt>
                <c:pt idx="32">
                  <c:v>52.083634913424078</c:v>
                </c:pt>
                <c:pt idx="33">
                  <c:v>52.01870646584895</c:v>
                </c:pt>
                <c:pt idx="34">
                  <c:v>51.952288916152384</c:v>
                </c:pt>
                <c:pt idx="35">
                  <c:v>51.884522770013547</c:v>
                </c:pt>
                <c:pt idx="36">
                  <c:v>51.81554236415775</c:v>
                </c:pt>
                <c:pt idx="37">
                  <c:v>51.745476077117416</c:v>
                </c:pt>
                <c:pt idx="38">
                  <c:v>51.674446533549172</c:v>
                </c:pt>
                <c:pt idx="39">
                  <c:v>51.602570802294125</c:v>
                </c:pt>
                <c:pt idx="40">
                  <c:v>51.52996058836149</c:v>
                </c:pt>
                <c:pt idx="41">
                  <c:v>51.456722419013389</c:v>
                </c:pt>
                <c:pt idx="42">
                  <c:v>51.382957824120609</c:v>
                </c:pt>
                <c:pt idx="43">
                  <c:v>51.308763510956894</c:v>
                </c:pt>
                <c:pt idx="44">
                  <c:v>51.234231533592663</c:v>
                </c:pt>
                <c:pt idx="45">
                  <c:v>51.159449457045767</c:v>
                </c:pt>
                <c:pt idx="46">
                  <c:v>51.084500516342018</c:v>
                </c:pt>
                <c:pt idx="47">
                  <c:v>51.009463770633687</c:v>
                </c:pt>
                <c:pt idx="48">
                  <c:v>50.934414252520526</c:v>
                </c:pt>
                <c:pt idx="49">
                  <c:v>50.859423112712946</c:v>
                </c:pt>
                <c:pt idx="50">
                  <c:v>50.784557760173968</c:v>
                </c:pt>
                <c:pt idx="51">
                  <c:v>50.709881997872486</c:v>
                </c:pt>
                <c:pt idx="52">
                  <c:v>50.635456154275545</c:v>
                </c:pt>
                <c:pt idx="53">
                  <c:v>50.561337210705403</c:v>
                </c:pt>
                <c:pt idx="54">
                  <c:v>50.487578924682651</c:v>
                </c:pt>
                <c:pt idx="55">
                  <c:v>50.414231949372649</c:v>
                </c:pt>
                <c:pt idx="56">
                  <c:v>50.341343949251225</c:v>
                </c:pt>
                <c:pt idx="57">
                  <c:v>50.268959712099544</c:v>
                </c:pt>
                <c:pt idx="58">
                  <c:v>50.197121257437175</c:v>
                </c:pt>
                <c:pt idx="59">
                  <c:v>50.125867941498115</c:v>
                </c:pt>
                <c:pt idx="60">
                  <c:v>50.05523655885294</c:v>
                </c:pt>
                <c:pt idx="61">
                  <c:v>49.985261440774053</c:v>
                </c:pt>
                <c:pt idx="62">
                  <c:v>49.915974550442954</c:v>
                </c:pt>
                <c:pt idx="63">
                  <c:v>49.847405575091685</c:v>
                </c:pt>
                <c:pt idx="64">
                  <c:v>49.779582015169481</c:v>
                </c:pt>
                <c:pt idx="65">
                  <c:v>49.712529270623975</c:v>
                </c:pt>
                <c:pt idx="66">
                  <c:v>49.646270724381722</c:v>
                </c:pt>
                <c:pt idx="67">
                  <c:v>49.580827823111903</c:v>
                </c:pt>
                <c:pt idx="68">
                  <c:v>49.516220155354802</c:v>
                </c:pt>
                <c:pt idx="69">
                  <c:v>49.452465527092485</c:v>
                </c:pt>
                <c:pt idx="70">
                  <c:v>49.389580034839639</c:v>
                </c:pt>
                <c:pt idx="71">
                  <c:v>49.327578136327745</c:v>
                </c:pt>
                <c:pt idx="72">
                  <c:v>49.266472718854935</c:v>
                </c:pt>
                <c:pt idx="73">
                  <c:v>49.206275165372269</c:v>
                </c:pt>
                <c:pt idx="74">
                  <c:v>49.14699541837367</c:v>
                </c:pt>
                <c:pt idx="75">
                  <c:v>49.088642041656215</c:v>
                </c:pt>
                <c:pt idx="76">
                  <c:v>49.031222280014632</c:v>
                </c:pt>
                <c:pt idx="77">
                  <c:v>48.974742116932624</c:v>
                </c:pt>
                <c:pt idx="78">
                  <c:v>48.919206330331434</c:v>
                </c:pt>
                <c:pt idx="79">
                  <c:v>48.864618546434727</c:v>
                </c:pt>
                <c:pt idx="80">
                  <c:v>48.810981291806605</c:v>
                </c:pt>
                <c:pt idx="81">
                  <c:v>48.758296043618657</c:v>
                </c:pt>
                <c:pt idx="82">
                  <c:v>48.70656327819934</c:v>
                </c:pt>
                <c:pt idx="83">
                  <c:v>48.655782517918709</c:v>
                </c:pt>
                <c:pt idx="84">
                  <c:v>48.605952376458994</c:v>
                </c:pt>
                <c:pt idx="85">
                  <c:v>48.557070602520398</c:v>
                </c:pt>
                <c:pt idx="86">
                  <c:v>48.509134122009705</c:v>
                </c:pt>
                <c:pt idx="87">
                  <c:v>48.462139078759279</c:v>
                </c:pt>
                <c:pt idx="88">
                  <c:v>48.416080873820313</c:v>
                </c:pt>
                <c:pt idx="89">
                  <c:v>48.37095420337527</c:v>
                </c:pt>
                <c:pt idx="90">
                  <c:v>48.326753095311481</c:v>
                </c:pt>
                <c:pt idx="91">
                  <c:v>48.283470944497751</c:v>
                </c:pt>
                <c:pt idx="92">
                  <c:v>48.241100546803551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03904"/>
        <c:axId val="173005824"/>
      </c:scatterChart>
      <c:valAx>
        <c:axId val="173003904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3005824"/>
        <c:crosses val="autoZero"/>
        <c:crossBetween val="midCat"/>
      </c:valAx>
      <c:valAx>
        <c:axId val="173005824"/>
        <c:scaling>
          <c:orientation val="minMax"/>
          <c:max val="9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Am241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3003904"/>
        <c:crosses val="autoZero"/>
        <c:crossBetween val="midCat"/>
      </c:valAx>
    </c:plotArea>
    <c:legend>
      <c:legendPos val="r"/>
      <c:legendEntry>
        <c:idx val="2"/>
        <c:delete val="1"/>
      </c:legendEntry>
      <c:legendEntry>
        <c:idx val="3"/>
        <c:delete val="1"/>
      </c:legendEntry>
      <c:legendEntry>
        <c:idx val="4"/>
        <c:delete val="1"/>
      </c:legendEntry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d'U235 en fonction du temps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mod.RK1!$W$2:$W$94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136.29276721068064</c:v>
                </c:pt>
                <c:pt idx="2">
                  <c:v>133.66422869958748</c:v>
                </c:pt>
                <c:pt idx="3">
                  <c:v>131.0865309861565</c:v>
                </c:pt>
                <c:pt idx="4">
                  <c:v>128.55869034267218</c:v>
                </c:pt>
                <c:pt idx="5">
                  <c:v>126.07974207656153</c:v>
                </c:pt>
                <c:pt idx="6">
                  <c:v>123.6487401620645</c:v>
                </c:pt>
                <c:pt idx="7">
                  <c:v>121.26475687903151</c:v>
                </c:pt>
                <c:pt idx="8">
                  <c:v>118.92688245871018</c:v>
                </c:pt>
                <c:pt idx="9">
                  <c:v>116.63422473638603</c:v>
                </c:pt>
                <c:pt idx="10">
                  <c:v>114.38590881074454</c:v>
                </c:pt>
                <c:pt idx="11">
                  <c:v>112.18107670982448</c:v>
                </c:pt>
                <c:pt idx="12">
                  <c:v>110.01888706343503</c:v>
                </c:pt>
                <c:pt idx="13">
                  <c:v>107.89851478191152</c:v>
                </c:pt>
                <c:pt idx="14">
                  <c:v>105.81915074108726</c:v>
                </c:pt>
                <c:pt idx="15">
                  <c:v>103.7800014733611</c:v>
                </c:pt>
                <c:pt idx="16">
                  <c:v>101.78028886474273</c:v>
                </c:pt>
                <c:pt idx="17">
                  <c:v>99.819249857760241</c:v>
                </c:pt>
                <c:pt idx="18">
                  <c:v>97.896136160116242</c:v>
                </c:pt>
                <c:pt idx="19">
                  <c:v>96.010213958981552</c:v>
                </c:pt>
                <c:pt idx="20">
                  <c:v>94.160763640817208</c:v>
                </c:pt>
                <c:pt idx="21">
                  <c:v>92.34707951661791</c:v>
                </c:pt>
                <c:pt idx="22">
                  <c:v>90.568469552471981</c:v>
                </c:pt>
                <c:pt idx="23">
                  <c:v>88.824255105334913</c:v>
                </c:pt>
                <c:pt idx="24">
                  <c:v>87.113770663915744</c:v>
                </c:pt>
                <c:pt idx="25">
                  <c:v>85.436363594577145</c:v>
                </c:pt>
                <c:pt idx="26">
                  <c:v>83.791393892152414</c:v>
                </c:pt>
                <c:pt idx="27">
                  <c:v>82.178233935584103</c:v>
                </c:pt>
                <c:pt idx="28">
                  <c:v>80.596268248290983</c:v>
                </c:pt>
                <c:pt idx="29">
                  <c:v>79.044893263171915</c:v>
                </c:pt>
                <c:pt idx="30">
                  <c:v>77.523517092156865</c:v>
                </c:pt>
                <c:pt idx="31">
                  <c:v>76.031559300217069</c:v>
                </c:pt>
                <c:pt idx="32">
                  <c:v>74.568450683748139</c:v>
                </c:pt>
                <c:pt idx="33">
                  <c:v>73.13363305324134</c:v>
                </c:pt>
                <c:pt idx="34">
                  <c:v>71.726559020160238</c:v>
                </c:pt>
                <c:pt idx="35">
                  <c:v>70.346691787941268</c:v>
                </c:pt>
                <c:pt idx="36">
                  <c:v>68.99350494703836</c:v>
                </c:pt>
                <c:pt idx="37">
                  <c:v>67.666482273933497</c:v>
                </c:pt>
                <c:pt idx="38">
                  <c:v>66.365117534036401</c:v>
                </c:pt>
                <c:pt idx="39">
                  <c:v>65.088914288398016</c:v>
                </c:pt>
                <c:pt idx="40">
                  <c:v>63.83738570416422</c:v>
                </c:pt>
                <c:pt idx="41">
                  <c:v>62.610054368697106</c:v>
                </c:pt>
                <c:pt idx="42">
                  <c:v>61.406452107293077</c:v>
                </c:pt>
                <c:pt idx="43">
                  <c:v>60.226119804428066</c:v>
                </c:pt>
                <c:pt idx="44">
                  <c:v>59.068607228461659</c:v>
                </c:pt>
                <c:pt idx="45">
                  <c:v>57.933472859733179</c:v>
                </c:pt>
                <c:pt idx="46">
                  <c:v>56.820283721984111</c:v>
                </c:pt>
                <c:pt idx="47">
                  <c:v>55.728615217042488</c:v>
                </c:pt>
                <c:pt idx="48">
                  <c:v>54.65805096270612</c:v>
                </c:pt>
                <c:pt idx="49">
                  <c:v>53.608182633762794</c:v>
                </c:pt>
                <c:pt idx="50">
                  <c:v>52.57860980608671</c:v>
                </c:pt>
                <c:pt idx="51">
                  <c:v>51.568939803751675</c:v>
                </c:pt>
                <c:pt idx="52">
                  <c:v>50.578787549102607</c:v>
                </c:pt>
                <c:pt idx="53">
                  <c:v>49.607775415728199</c:v>
                </c:pt>
                <c:pt idx="54">
                  <c:v>48.655533084278538</c:v>
                </c:pt>
                <c:pt idx="55">
                  <c:v>47.721697401072625</c:v>
                </c:pt>
                <c:pt idx="56">
                  <c:v>46.805912239441895</c:v>
                </c:pt>
                <c:pt idx="57">
                  <c:v>45.907828363756686</c:v>
                </c:pt>
                <c:pt idx="58">
                  <c:v>45.027103296083816</c:v>
                </c:pt>
                <c:pt idx="59">
                  <c:v>44.163401185424341</c:v>
                </c:pt>
                <c:pt idx="60">
                  <c:v>43.316392679481545</c:v>
                </c:pt>
                <c:pt idx="61">
                  <c:v>42.485754798910243</c:v>
                </c:pt>
                <c:pt idx="62">
                  <c:v>41.671170813999339</c:v>
                </c:pt>
                <c:pt idx="63">
                  <c:v>40.872330123740575</c:v>
                </c:pt>
                <c:pt idx="64">
                  <c:v>40.088928137237325</c:v>
                </c:pt>
                <c:pt idx="65">
                  <c:v>39.32066615740812</c:v>
                </c:pt>
                <c:pt idx="66">
                  <c:v>38.567251266940488</c:v>
                </c:pt>
                <c:pt idx="67">
                  <c:v>37.82839621645163</c:v>
                </c:pt>
                <c:pt idx="68">
                  <c:v>37.103819314813158</c:v>
                </c:pt>
                <c:pt idx="69">
                  <c:v>36.393244321598075</c:v>
                </c:pt>
                <c:pt idx="70">
                  <c:v>35.696400341608879</c:v>
                </c:pt>
                <c:pt idx="71">
                  <c:v>35.013021721446577</c:v>
                </c:pt>
                <c:pt idx="72">
                  <c:v>34.342847948081094</c:v>
                </c:pt>
                <c:pt idx="73">
                  <c:v>33.685623549384331</c:v>
                </c:pt>
                <c:pt idx="74">
                  <c:v>33.041097996587929</c:v>
                </c:pt>
                <c:pt idx="75">
                  <c:v>32.409025608628461</c:v>
                </c:pt>
                <c:pt idx="76">
                  <c:v>31.789165458343572</c:v>
                </c:pt>
                <c:pt idx="77">
                  <c:v>31.181281280483194</c:v>
                </c:pt>
                <c:pt idx="78">
                  <c:v>30.585141381500804</c:v>
                </c:pt>
                <c:pt idx="79">
                  <c:v>30.000518551090163</c:v>
                </c:pt>
                <c:pt idx="80">
                  <c:v>29.427189975433876</c:v>
                </c:pt>
                <c:pt idx="81">
                  <c:v>28.864937152130569</c:v>
                </c:pt>
                <c:pt idx="82">
                  <c:v>28.313545806768236</c:v>
                </c:pt>
                <c:pt idx="83">
                  <c:v>27.772805811111905</c:v>
                </c:pt>
                <c:pt idx="84">
                  <c:v>27.242511102874374</c:v>
                </c:pt>
                <c:pt idx="85">
                  <c:v>26.722459607039383</c:v>
                </c:pt>
                <c:pt idx="86">
                  <c:v>26.212453158707206</c:v>
                </c:pt>
                <c:pt idx="87">
                  <c:v>25.71229742743316</c:v>
                </c:pt>
                <c:pt idx="88">
                  <c:v>25.22180184303021</c:v>
                </c:pt>
                <c:pt idx="89">
                  <c:v>24.740779522807252</c:v>
                </c:pt>
                <c:pt idx="90">
                  <c:v>24.269047200215379</c:v>
                </c:pt>
                <c:pt idx="91">
                  <c:v>23.806425154874841</c:v>
                </c:pt>
                <c:pt idx="92">
                  <c:v>23.352737143955974</c:v>
                </c:pt>
              </c:numCache>
            </c:numRef>
          </c:yVal>
          <c:smooth val="0"/>
        </c:ser>
        <c:ser>
          <c:idx val="0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mod.math.!$Z$2:$Z$94</c:f>
              <c:numCache>
                <c:formatCode>0.00</c:formatCode>
                <c:ptCount val="93"/>
                <c:pt idx="0">
                  <c:v>138.97314965789133</c:v>
                </c:pt>
                <c:pt idx="1">
                  <c:v>136.30978258140138</c:v>
                </c:pt>
                <c:pt idx="2">
                  <c:v>133.69745750500215</c:v>
                </c:pt>
                <c:pt idx="3">
                  <c:v>131.13519624428579</c:v>
                </c:pt>
                <c:pt idx="4">
                  <c:v>128.62203936090978</c:v>
                </c:pt>
                <c:pt idx="5">
                  <c:v>126.1570458033478</c:v>
                </c:pt>
                <c:pt idx="6">
                  <c:v>123.73929255452508</c:v>
                </c:pt>
                <c:pt idx="7">
                  <c:v>121.36787428620633</c:v>
                </c:pt>
                <c:pt idx="8">
                  <c:v>119.04190302000701</c:v>
                </c:pt>
                <c:pt idx="9">
                  <c:v>116.76050779490096</c:v>
                </c:pt>
                <c:pt idx="10">
                  <c:v>114.52283434109968</c:v>
                </c:pt>
                <c:pt idx="11">
                  <c:v>112.32804476018156</c:v>
                </c:pt>
                <c:pt idx="12">
                  <c:v>110.17531721135087</c:v>
                </c:pt>
                <c:pt idx="13">
                  <c:v>108.06384560370941</c:v>
                </c:pt>
                <c:pt idx="14">
                  <c:v>105.99283929442521</c:v>
                </c:pt>
                <c:pt idx="15">
                  <c:v>103.96152279268573</c:v>
                </c:pt>
                <c:pt idx="16">
                  <c:v>101.96913546932419</c:v>
                </c:pt>
                <c:pt idx="17">
                  <c:v>100.01493127201086</c:v>
                </c:pt>
                <c:pt idx="18">
                  <c:v>98.098178445902036</c:v>
                </c:pt>
                <c:pt idx="19">
                  <c:v>96.218159259642903</c:v>
                </c:pt>
                <c:pt idx="20">
                  <c:v>94.374169736620814</c:v>
                </c:pt>
                <c:pt idx="21">
                  <c:v>92.565519391369051</c:v>
                </c:pt>
                <c:pt idx="22">
                  <c:v>90.791530971022041</c:v>
                </c:pt>
                <c:pt idx="23">
                  <c:v>89.051540201725288</c:v>
                </c:pt>
                <c:pt idx="24">
                  <c:v>87.344895539905096</c:v>
                </c:pt>
                <c:pt idx="25">
                  <c:v>85.670957928304844</c:v>
                </c:pt>
                <c:pt idx="26">
                  <c:v>84.029100556696719</c:v>
                </c:pt>
                <c:pt idx="27">
                  <c:v>82.418708627179015</c:v>
                </c:pt>
                <c:pt idx="28">
                  <c:v>80.839179123971149</c:v>
                </c:pt>
                <c:pt idx="29">
                  <c:v>79.289920587620657</c:v>
                </c:pt>
                <c:pt idx="30">
                  <c:v>77.770352893536895</c:v>
                </c:pt>
                <c:pt idx="31">
                  <c:v>76.279907034768982</c:v>
                </c:pt>
                <c:pt idx="32">
                  <c:v>74.818024908946768</c:v>
                </c:pt>
                <c:pt idx="33">
                  <c:v>73.384159109304633</c:v>
                </c:pt>
                <c:pt idx="34">
                  <c:v>71.977772719710103</c:v>
                </c:pt>
                <c:pt idx="35">
                  <c:v>70.598339113620682</c:v>
                </c:pt>
                <c:pt idx="36">
                  <c:v>69.245341756893211</c:v>
                </c:pt>
                <c:pt idx="37">
                  <c:v>67.918274014372415</c:v>
                </c:pt>
                <c:pt idx="38">
                  <c:v>66.61663896018581</c:v>
                </c:pt>
                <c:pt idx="39">
                  <c:v>65.339949191674137</c:v>
                </c:pt>
                <c:pt idx="40">
                  <c:v>64.087726646887717</c:v>
                </c:pt>
                <c:pt idx="41">
                  <c:v>62.85950242558016</c:v>
                </c:pt>
                <c:pt idx="42">
                  <c:v>61.654816613632548</c:v>
                </c:pt>
                <c:pt idx="43">
                  <c:v>60.473218110842502</c:v>
                </c:pt>
                <c:pt idx="44">
                  <c:v>59.314264462013291</c:v>
                </c:pt>
                <c:pt idx="45">
                  <c:v>58.17752169128002</c:v>
                </c:pt>
                <c:pt idx="46">
                  <c:v>57.062564139610807</c:v>
                </c:pt>
                <c:pt idx="47">
                  <c:v>55.968974305422087</c:v>
                </c:pt>
                <c:pt idx="48">
                  <c:v>54.896342688248282</c:v>
                </c:pt>
                <c:pt idx="49">
                  <c:v>53.844267635407405</c:v>
                </c:pt>
                <c:pt idx="50">
                  <c:v>52.812355191605263</c:v>
                </c:pt>
                <c:pt idx="51">
                  <c:v>51.80021895142162</c:v>
                </c:pt>
                <c:pt idx="52">
                  <c:v>50.807479914623578</c:v>
                </c:pt>
                <c:pt idx="53">
                  <c:v>49.833766344251465</c:v>
                </c:pt>
                <c:pt idx="54">
                  <c:v>48.878713627424595</c:v>
                </c:pt>
                <c:pt idx="55">
                  <c:v>47.941964138814384</c:v>
                </c:pt>
                <c:pt idx="56">
                  <c:v>47.023167106733865</c:v>
                </c:pt>
                <c:pt idx="57">
                  <c:v>46.121978481793626</c:v>
                </c:pt>
                <c:pt idx="58">
                  <c:v>45.238060808074586</c:v>
                </c:pt>
                <c:pt idx="59">
                  <c:v>44.371083096769802</c:v>
                </c:pt>
                <c:pt idx="60">
                  <c:v>43.520720702247758</c:v>
                </c:pt>
                <c:pt idx="61">
                  <c:v>42.686655200490677</c:v>
                </c:pt>
                <c:pt idx="62">
                  <c:v>41.868574269862577</c:v>
                </c:pt>
                <c:pt idx="63">
                  <c:v>41.066171574162219</c:v>
                </c:pt>
                <c:pt idx="64">
                  <c:v>40.279146647917202</c:v>
                </c:pt>
                <c:pt idx="65">
                  <c:v>39.507204783876375</c:v>
                </c:pt>
                <c:pt idx="66">
                  <c:v>38.750056922658246</c:v>
                </c:pt>
                <c:pt idx="67">
                  <c:v>38.007419544514214</c:v>
                </c:pt>
                <c:pt idx="68">
                  <c:v>37.279014563166093</c:v>
                </c:pt>
                <c:pt idx="69">
                  <c:v>36.564569221678042</c:v>
                </c:pt>
                <c:pt idx="70">
                  <c:v>35.863815990324056</c:v>
                </c:pt>
                <c:pt idx="71">
                  <c:v>35.176492466412803</c:v>
                </c:pt>
                <c:pt idx="72">
                  <c:v>34.502341276032041</c:v>
                </c:pt>
                <c:pt idx="73">
                  <c:v>33.841109977676219</c:v>
                </c:pt>
                <c:pt idx="74">
                  <c:v>33.192550967720756</c:v>
                </c:pt>
                <c:pt idx="75">
                  <c:v>32.556421387707978</c:v>
                </c:pt>
                <c:pt idx="76">
                  <c:v>31.932483033409763</c:v>
                </c:pt>
                <c:pt idx="77">
                  <c:v>31.320502265632904</c:v>
                </c:pt>
                <c:pt idx="78">
                  <c:v>30.7202499227338</c:v>
                </c:pt>
                <c:pt idx="79">
                  <c:v>30.131501234809775</c:v>
                </c:pt>
                <c:pt idx="80">
                  <c:v>29.554035739534754</c:v>
                </c:pt>
                <c:pt idx="81">
                  <c:v>28.98763719960796</c:v>
                </c:pt>
                <c:pt idx="82">
                  <c:v>28.432093521784552</c:v>
                </c:pt>
                <c:pt idx="83">
                  <c:v>27.88719667745799</c:v>
                </c:pt>
                <c:pt idx="84">
                  <c:v>27.352742624764403</c:v>
                </c:pt>
                <c:pt idx="85">
                  <c:v>26.828531232179692</c:v>
                </c:pt>
                <c:pt idx="86">
                  <c:v>26.314366203580857</c:v>
                </c:pt>
                <c:pt idx="87">
                  <c:v>25.810055004743475</c:v>
                </c:pt>
                <c:pt idx="88">
                  <c:v>25.315408791247734</c:v>
                </c:pt>
                <c:pt idx="89">
                  <c:v>24.830242337766098</c:v>
                </c:pt>
                <c:pt idx="90">
                  <c:v>24.35437396870617</c:v>
                </c:pt>
                <c:pt idx="91">
                  <c:v>23.887625490182614</c:v>
                </c:pt>
                <c:pt idx="92">
                  <c:v>23.429822123292869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105152"/>
        <c:axId val="173107072"/>
      </c:scatterChart>
      <c:valAx>
        <c:axId val="173105152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3107072"/>
        <c:crosses val="autoZero"/>
        <c:crossBetween val="midCat"/>
      </c:valAx>
      <c:valAx>
        <c:axId val="17310707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U235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3105152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d'U238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1"/>
          <c:order val="0"/>
          <c:tx>
            <c:strRef>
              <c:f>mod.math.!$D$7</c:f>
              <c:strCache>
                <c:ptCount val="1"/>
                <c:pt idx="0">
                  <c:v>Meth. Math.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mod.math.!$R$2:$R$94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mod.math.!$AA$2:$AA$94</c:f>
              <c:numCache>
                <c:formatCode>0.00</c:formatCode>
                <c:ptCount val="93"/>
                <c:pt idx="0">
                  <c:v>26586.632553782747</c:v>
                </c:pt>
                <c:pt idx="1">
                  <c:v>26518.179832723614</c:v>
                </c:pt>
                <c:pt idx="2">
                  <c:v>26449.903357182317</c:v>
                </c:pt>
                <c:pt idx="3">
                  <c:v>26381.802673378868</c:v>
                </c:pt>
                <c:pt idx="4">
                  <c:v>26313.877328701627</c:v>
                </c:pt>
                <c:pt idx="5">
                  <c:v>26246.126871704291</c:v>
                </c:pt>
                <c:pt idx="6">
                  <c:v>26178.550852102904</c:v>
                </c:pt>
                <c:pt idx="7">
                  <c:v>26111.148820772843</c:v>
                </c:pt>
                <c:pt idx="8">
                  <c:v>26043.920329745855</c:v>
                </c:pt>
                <c:pt idx="9">
                  <c:v>25976.864932207071</c:v>
                </c:pt>
                <c:pt idx="10">
                  <c:v>25909.982182492036</c:v>
                </c:pt>
                <c:pt idx="11">
                  <c:v>25843.271636083748</c:v>
                </c:pt>
                <c:pt idx="12">
                  <c:v>25776.732849609696</c:v>
                </c:pt>
                <c:pt idx="13">
                  <c:v>25710.365380838924</c:v>
                </c:pt>
                <c:pt idx="14">
                  <c:v>25644.168788679097</c:v>
                </c:pt>
                <c:pt idx="15">
                  <c:v>25578.142633173549</c:v>
                </c:pt>
                <c:pt idx="16">
                  <c:v>25512.286475498382</c:v>
                </c:pt>
                <c:pt idx="17">
                  <c:v>25446.599877959521</c:v>
                </c:pt>
                <c:pt idx="18">
                  <c:v>25381.082403989843</c:v>
                </c:pt>
                <c:pt idx="19">
                  <c:v>25315.733618146238</c:v>
                </c:pt>
                <c:pt idx="20">
                  <c:v>25250.553086106745</c:v>
                </c:pt>
                <c:pt idx="21">
                  <c:v>25185.540374667635</c:v>
                </c:pt>
                <c:pt idx="22">
                  <c:v>25120.695051740571</c:v>
                </c:pt>
                <c:pt idx="23">
                  <c:v>25056.016686349696</c:v>
                </c:pt>
                <c:pt idx="24">
                  <c:v>24991.504848628789</c:v>
                </c:pt>
                <c:pt idx="25">
                  <c:v>24927.159109818425</c:v>
                </c:pt>
                <c:pt idx="26">
                  <c:v>24862.979042263083</c:v>
                </c:pt>
                <c:pt idx="27">
                  <c:v>24798.964219408339</c:v>
                </c:pt>
                <c:pt idx="28">
                  <c:v>24735.114215798007</c:v>
                </c:pt>
                <c:pt idx="29">
                  <c:v>24671.428607071346</c:v>
                </c:pt>
                <c:pt idx="30">
                  <c:v>24607.906969960201</c:v>
                </c:pt>
                <c:pt idx="31">
                  <c:v>24544.548882286203</c:v>
                </c:pt>
                <c:pt idx="32">
                  <c:v>24481.353922957976</c:v>
                </c:pt>
                <c:pt idx="33">
                  <c:v>24418.32167196833</c:v>
                </c:pt>
                <c:pt idx="34">
                  <c:v>24355.451710391455</c:v>
                </c:pt>
                <c:pt idx="35">
                  <c:v>24292.743620380163</c:v>
                </c:pt>
                <c:pt idx="36">
                  <c:v>24230.196985163089</c:v>
                </c:pt>
                <c:pt idx="37">
                  <c:v>24167.811389041937</c:v>
                </c:pt>
                <c:pt idx="38">
                  <c:v>24105.586417388706</c:v>
                </c:pt>
                <c:pt idx="39">
                  <c:v>24043.521656642934</c:v>
                </c:pt>
                <c:pt idx="40">
                  <c:v>23981.61669430897</c:v>
                </c:pt>
                <c:pt idx="41">
                  <c:v>23919.87111895319</c:v>
                </c:pt>
                <c:pt idx="42">
                  <c:v>23858.284520201312</c:v>
                </c:pt>
                <c:pt idx="43">
                  <c:v>23796.856488735648</c:v>
                </c:pt>
                <c:pt idx="44">
                  <c:v>23735.586616292348</c:v>
                </c:pt>
                <c:pt idx="45">
                  <c:v>23674.474495658756</c:v>
                </c:pt>
                <c:pt idx="46">
                  <c:v>23613.519720670654</c:v>
                </c:pt>
                <c:pt idx="47">
                  <c:v>23552.721886209569</c:v>
                </c:pt>
                <c:pt idx="48">
                  <c:v>23492.080588200093</c:v>
                </c:pt>
                <c:pt idx="49">
                  <c:v>23431.595423607199</c:v>
                </c:pt>
                <c:pt idx="50">
                  <c:v>23371.265990433538</c:v>
                </c:pt>
                <c:pt idx="51">
                  <c:v>23311.091887716801</c:v>
                </c:pt>
                <c:pt idx="52">
                  <c:v>23251.072715527029</c:v>
                </c:pt>
                <c:pt idx="53">
                  <c:v>23191.208074963964</c:v>
                </c:pt>
                <c:pt idx="54">
                  <c:v>23131.497568154406</c:v>
                </c:pt>
                <c:pt idx="55">
                  <c:v>23071.94079824954</c:v>
                </c:pt>
                <c:pt idx="56">
                  <c:v>23012.537369422338</c:v>
                </c:pt>
                <c:pt idx="57">
                  <c:v>22953.286886864902</c:v>
                </c:pt>
                <c:pt idx="58">
                  <c:v>22894.188956785852</c:v>
                </c:pt>
                <c:pt idx="59">
                  <c:v>22835.243186407686</c:v>
                </c:pt>
                <c:pt idx="60">
                  <c:v>22776.449183964207</c:v>
                </c:pt>
                <c:pt idx="61">
                  <c:v>22717.806558697892</c:v>
                </c:pt>
                <c:pt idx="62">
                  <c:v>22659.314920857298</c:v>
                </c:pt>
                <c:pt idx="63">
                  <c:v>22600.973881694477</c:v>
                </c:pt>
                <c:pt idx="64">
                  <c:v>22542.783053462401</c:v>
                </c:pt>
                <c:pt idx="65">
                  <c:v>22484.742049412369</c:v>
                </c:pt>
                <c:pt idx="66">
                  <c:v>22426.850483791437</c:v>
                </c:pt>
                <c:pt idx="67">
                  <c:v>22369.107971839861</c:v>
                </c:pt>
                <c:pt idx="68">
                  <c:v>22311.514129788557</c:v>
                </c:pt>
                <c:pt idx="69">
                  <c:v>22254.068574856508</c:v>
                </c:pt>
                <c:pt idx="70">
                  <c:v>22196.770925248253</c:v>
                </c:pt>
                <c:pt idx="71">
                  <c:v>22139.620800151348</c:v>
                </c:pt>
                <c:pt idx="72">
                  <c:v>22082.617819733816</c:v>
                </c:pt>
                <c:pt idx="73">
                  <c:v>22025.761605141652</c:v>
                </c:pt>
                <c:pt idx="74">
                  <c:v>21969.051778496258</c:v>
                </c:pt>
                <c:pt idx="75">
                  <c:v>21912.487962891995</c:v>
                </c:pt>
                <c:pt idx="76">
                  <c:v>21856.069782393617</c:v>
                </c:pt>
                <c:pt idx="77">
                  <c:v>21799.796862033814</c:v>
                </c:pt>
                <c:pt idx="78">
                  <c:v>21743.668827810707</c:v>
                </c:pt>
                <c:pt idx="79">
                  <c:v>21687.685306685344</c:v>
                </c:pt>
                <c:pt idx="80">
                  <c:v>21631.845926579255</c:v>
                </c:pt>
                <c:pt idx="81">
                  <c:v>21576.150316371957</c:v>
                </c:pt>
                <c:pt idx="82">
                  <c:v>21520.598105898491</c:v>
                </c:pt>
                <c:pt idx="83">
                  <c:v>21465.18892594695</c:v>
                </c:pt>
                <c:pt idx="84">
                  <c:v>21409.922408256061</c:v>
                </c:pt>
                <c:pt idx="85">
                  <c:v>21354.798185512704</c:v>
                </c:pt>
                <c:pt idx="86">
                  <c:v>21299.815891349474</c:v>
                </c:pt>
                <c:pt idx="87">
                  <c:v>21244.975160342259</c:v>
                </c:pt>
                <c:pt idx="88">
                  <c:v>21190.275628007807</c:v>
                </c:pt>
                <c:pt idx="89">
                  <c:v>21135.716930801311</c:v>
                </c:pt>
                <c:pt idx="90">
                  <c:v>21081.298706113957</c:v>
                </c:pt>
                <c:pt idx="91">
                  <c:v>21027.020592270572</c:v>
                </c:pt>
                <c:pt idx="92">
                  <c:v>20972.882228527167</c:v>
                </c:pt>
              </c:numCache>
            </c:numRef>
          </c:yVal>
          <c:smooth val="0"/>
        </c:ser>
        <c:ser>
          <c:idx val="0"/>
          <c:order val="1"/>
          <c:tx>
            <c:strRef>
              <c:f>mod.RK1!$D$7</c:f>
              <c:strCache>
                <c:ptCount val="1"/>
                <c:pt idx="0">
                  <c:v>RK1</c:v>
                </c:pt>
              </c:strCache>
            </c:strRef>
          </c:tx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mod.RK1!$Y$2:$Y$94</c:f>
              <c:numCache>
                <c:formatCode>0.00</c:formatCode>
                <c:ptCount val="93"/>
                <c:pt idx="0">
                  <c:v>26586.632553782751</c:v>
                </c:pt>
                <c:pt idx="1">
                  <c:v>26518.091570463366</c:v>
                </c:pt>
                <c:pt idx="2">
                  <c:v>26449.727287570873</c:v>
                </c:pt>
                <c:pt idx="3">
                  <c:v>26381.539249565416</c:v>
                </c:pt>
                <c:pt idx="4">
                  <c:v>26313.527002081584</c:v>
                </c:pt>
                <c:pt idx="5">
                  <c:v>26245.690091925389</c:v>
                </c:pt>
                <c:pt idx="6">
                  <c:v>26178.028067071238</c:v>
                </c:pt>
                <c:pt idx="7">
                  <c:v>26110.540476658924</c:v>
                </c:pt>
                <c:pt idx="8">
                  <c:v>26043.226870990613</c:v>
                </c:pt>
                <c:pt idx="9">
                  <c:v>25976.086801527854</c:v>
                </c:pt>
                <c:pt idx="10">
                  <c:v>25909.11982088858</c:v>
                </c:pt>
                <c:pt idx="11">
                  <c:v>25842.325482844139</c:v>
                </c:pt>
                <c:pt idx="12">
                  <c:v>25775.703342316305</c:v>
                </c:pt>
                <c:pt idx="13">
                  <c:v>25709.252955374315</c:v>
                </c:pt>
                <c:pt idx="14">
                  <c:v>25642.973879231919</c:v>
                </c:pt>
                <c:pt idx="15">
                  <c:v>25576.86567224441</c:v>
                </c:pt>
                <c:pt idx="16">
                  <c:v>25510.927893905697</c:v>
                </c:pt>
                <c:pt idx="17">
                  <c:v>25445.160104845359</c:v>
                </c:pt>
                <c:pt idx="18">
                  <c:v>25379.561866825723</c:v>
                </c:pt>
                <c:pt idx="19">
                  <c:v>25314.132742738933</c:v>
                </c:pt>
                <c:pt idx="20">
                  <c:v>25248.872296604044</c:v>
                </c:pt>
                <c:pt idx="21">
                  <c:v>25183.780093564113</c:v>
                </c:pt>
                <c:pt idx="22">
                  <c:v>25118.855699883305</c:v>
                </c:pt>
                <c:pt idx="23">
                  <c:v>25054.098682943993</c:v>
                </c:pt>
                <c:pt idx="24">
                  <c:v>24989.50861124388</c:v>
                </c:pt>
                <c:pt idx="25">
                  <c:v>24925.085054393119</c:v>
                </c:pt>
                <c:pt idx="26">
                  <c:v>24860.827583111452</c:v>
                </c:pt>
                <c:pt idx="27">
                  <c:v>24796.735769225343</c:v>
                </c:pt>
                <c:pt idx="28">
                  <c:v>24732.809185665119</c:v>
                </c:pt>
                <c:pt idx="29">
                  <c:v>24669.047406462134</c:v>
                </c:pt>
                <c:pt idx="30">
                  <c:v>24605.450006745923</c:v>
                </c:pt>
                <c:pt idx="31">
                  <c:v>24542.01656274137</c:v>
                </c:pt>
                <c:pt idx="32">
                  <c:v>24478.746651765887</c:v>
                </c:pt>
                <c:pt idx="33">
                  <c:v>24415.639852226595</c:v>
                </c:pt>
                <c:pt idx="34">
                  <c:v>24352.695743617514</c:v>
                </c:pt>
                <c:pt idx="35">
                  <c:v>24289.913906516758</c:v>
                </c:pt>
                <c:pt idx="36">
                  <c:v>24227.293922583744</c:v>
                </c:pt>
                <c:pt idx="37">
                  <c:v>24164.835374556395</c:v>
                </c:pt>
                <c:pt idx="38">
                  <c:v>24102.537846248375</c:v>
                </c:pt>
                <c:pt idx="39">
                  <c:v>24040.400922546298</c:v>
                </c:pt>
                <c:pt idx="40">
                  <c:v>23978.424189406971</c:v>
                </c:pt>
                <c:pt idx="41">
                  <c:v>23916.607233854633</c:v>
                </c:pt>
                <c:pt idx="42">
                  <c:v>23854.949643978201</c:v>
                </c:pt>
                <c:pt idx="43">
                  <c:v>23793.451008928525</c:v>
                </c:pt>
                <c:pt idx="44">
                  <c:v>23732.110918915649</c:v>
                </c:pt>
                <c:pt idx="45">
                  <c:v>23670.928965206083</c:v>
                </c:pt>
                <c:pt idx="46">
                  <c:v>23609.904740120077</c:v>
                </c:pt>
                <c:pt idx="47">
                  <c:v>23549.0378370289</c:v>
                </c:pt>
                <c:pt idx="48">
                  <c:v>23488.327850352136</c:v>
                </c:pt>
                <c:pt idx="49">
                  <c:v>23427.774375554982</c:v>
                </c:pt>
                <c:pt idx="50">
                  <c:v>23367.377009145541</c:v>
                </c:pt>
                <c:pt idx="51">
                  <c:v>23307.135348672149</c:v>
                </c:pt>
                <c:pt idx="52">
                  <c:v>23247.04899272068</c:v>
                </c:pt>
                <c:pt idx="53">
                  <c:v>23187.117540911877</c:v>
                </c:pt>
                <c:pt idx="54">
                  <c:v>23127.340593898676</c:v>
                </c:pt>
                <c:pt idx="55">
                  <c:v>23067.717753363562</c:v>
                </c:pt>
                <c:pt idx="56">
                  <c:v>23008.24862201589</c:v>
                </c:pt>
                <c:pt idx="57">
                  <c:v>22948.932803589261</c:v>
                </c:pt>
                <c:pt idx="58">
                  <c:v>22889.769902838863</c:v>
                </c:pt>
                <c:pt idx="59">
                  <c:v>22830.759525538848</c:v>
                </c:pt>
                <c:pt idx="60">
                  <c:v>22771.901278479698</c:v>
                </c:pt>
                <c:pt idx="61">
                  <c:v>22713.194769465612</c:v>
                </c:pt>
                <c:pt idx="62">
                  <c:v>22654.639607311885</c:v>
                </c:pt>
                <c:pt idx="63">
                  <c:v>22596.235401842303</c:v>
                </c:pt>
                <c:pt idx="64">
                  <c:v>22537.981763886546</c:v>
                </c:pt>
                <c:pt idx="65">
                  <c:v>22479.878305277591</c:v>
                </c:pt>
                <c:pt idx="66">
                  <c:v>22421.92463884913</c:v>
                </c:pt>
                <c:pt idx="67">
                  <c:v>22364.120378432981</c:v>
                </c:pt>
                <c:pt idx="68">
                  <c:v>22306.465138856522</c:v>
                </c:pt>
                <c:pt idx="69">
                  <c:v>22248.958535940124</c:v>
                </c:pt>
                <c:pt idx="70">
                  <c:v>22191.600186494587</c:v>
                </c:pt>
                <c:pt idx="71">
                  <c:v>22134.389708318584</c:v>
                </c:pt>
                <c:pt idx="72">
                  <c:v>22077.326720196128</c:v>
                </c:pt>
                <c:pt idx="73">
                  <c:v>22020.410841894012</c:v>
                </c:pt>
                <c:pt idx="74">
                  <c:v>21963.641694159294</c:v>
                </c:pt>
                <c:pt idx="75">
                  <c:v>21907.018898716753</c:v>
                </c:pt>
                <c:pt idx="76">
                  <c:v>21850.542078266379</c:v>
                </c:pt>
                <c:pt idx="77">
                  <c:v>21794.210856480855</c:v>
                </c:pt>
                <c:pt idx="78">
                  <c:v>21738.024858003049</c:v>
                </c:pt>
                <c:pt idx="79">
                  <c:v>21681.983708443517</c:v>
                </c:pt>
                <c:pt idx="80">
                  <c:v>21626.087034377997</c:v>
                </c:pt>
                <c:pt idx="81">
                  <c:v>21570.334463344934</c:v>
                </c:pt>
                <c:pt idx="82">
                  <c:v>21514.725623842991</c:v>
                </c:pt>
                <c:pt idx="83">
                  <c:v>21459.260145328572</c:v>
                </c:pt>
                <c:pt idx="84">
                  <c:v>21403.937658213355</c:v>
                </c:pt>
                <c:pt idx="85">
                  <c:v>21348.757793861834</c:v>
                </c:pt>
                <c:pt idx="86">
                  <c:v>21293.720184588856</c:v>
                </c:pt>
                <c:pt idx="87">
                  <c:v>21238.824463657165</c:v>
                </c:pt>
                <c:pt idx="88">
                  <c:v>21184.070265274975</c:v>
                </c:pt>
                <c:pt idx="89">
                  <c:v>21129.45722459352</c:v>
                </c:pt>
                <c:pt idx="90">
                  <c:v>21074.984977704622</c:v>
                </c:pt>
                <c:pt idx="91">
                  <c:v>21020.653161638274</c:v>
                </c:pt>
                <c:pt idx="92">
                  <c:v>20966.461414360216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135360"/>
        <c:axId val="173137280"/>
      </c:scatterChart>
      <c:valAx>
        <c:axId val="173135360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3137280"/>
        <c:crosses val="autoZero"/>
        <c:crossBetween val="midCat"/>
      </c:valAx>
      <c:valAx>
        <c:axId val="173137280"/>
        <c:scaling>
          <c:orientation val="minMax"/>
          <c:min val="1500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U238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313536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 sz="2000"/>
              <a:t>Quantité total du vecteur Pu en fonction du temps </a:t>
            </a:r>
          </a:p>
        </c:rich>
      </c:tx>
      <c:layout/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xVal>
            <c:numRef>
              <c:f>mod.RK1!$F$2:$F$94</c:f>
              <c:numCache>
                <c:formatCode>General</c:formatCode>
                <c:ptCount val="93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</c:numCache>
            </c:numRef>
          </c:xVal>
          <c:yVal>
            <c:numRef>
              <c:f>mod.RK1!$U$2:$U$94</c:f>
              <c:numCache>
                <c:formatCode>0.00</c:formatCode>
                <c:ptCount val="93"/>
                <c:pt idx="0">
                  <c:v>5010.9757967228352</c:v>
                </c:pt>
                <c:pt idx="1">
                  <c:v>5008.4647466453116</c:v>
                </c:pt>
                <c:pt idx="2">
                  <c:v>5005.9110146688618</c:v>
                </c:pt>
                <c:pt idx="3">
                  <c:v>5003.3144462600267</c:v>
                </c:pt>
                <c:pt idx="4">
                  <c:v>5000.6749071720806</c:v>
                </c:pt>
                <c:pt idx="5">
                  <c:v>4997.9922827146056</c:v>
                </c:pt>
                <c:pt idx="6">
                  <c:v>4995.2664770455494</c:v>
                </c:pt>
                <c:pt idx="7">
                  <c:v>4992.4974124851014</c:v>
                </c:pt>
                <c:pt idx="8">
                  <c:v>4989.685028850733</c:v>
                </c:pt>
                <c:pt idx="9">
                  <c:v>4986.8292828127896</c:v>
                </c:pt>
                <c:pt idx="10">
                  <c:v>4983.9301472700299</c:v>
                </c:pt>
                <c:pt idx="11">
                  <c:v>4980.9876107445152</c:v>
                </c:pt>
                <c:pt idx="12">
                  <c:v>4978.0016767952866</c:v>
                </c:pt>
                <c:pt idx="13">
                  <c:v>4974.9723634502825</c:v>
                </c:pt>
                <c:pt idx="14">
                  <c:v>4971.8997026559291</c:v>
                </c:pt>
                <c:pt idx="15">
                  <c:v>4968.7837397439298</c:v>
                </c:pt>
                <c:pt idx="16">
                  <c:v>4965.6245329146868</c:v>
                </c:pt>
                <c:pt idx="17">
                  <c:v>4962.4221527369191</c:v>
                </c:pt>
                <c:pt idx="18">
                  <c:v>4959.1766816629543</c:v>
                </c:pt>
                <c:pt idx="19">
                  <c:v>4955.8882135592639</c:v>
                </c:pt>
                <c:pt idx="20">
                  <c:v>4952.5568532517509</c:v>
                </c:pt>
                <c:pt idx="21">
                  <c:v>4949.1827160854</c:v>
                </c:pt>
                <c:pt idx="22">
                  <c:v>4945.7659274978178</c:v>
                </c:pt>
                <c:pt idx="23">
                  <c:v>4942.3066226062892</c:v>
                </c:pt>
                <c:pt idx="24">
                  <c:v>4938.8049458079158</c:v>
                </c:pt>
                <c:pt idx="25">
                  <c:v>4935.2610503924743</c:v>
                </c:pt>
                <c:pt idx="26">
                  <c:v>4931.6750981675896</c:v>
                </c:pt>
                <c:pt idx="27">
                  <c:v>4928.0472590958825</c:v>
                </c:pt>
                <c:pt idx="28">
                  <c:v>4924.3777109437196</c:v>
                </c:pt>
                <c:pt idx="29">
                  <c:v>4920.6666389412139</c:v>
                </c:pt>
                <c:pt idx="30">
                  <c:v>4916.9142354531514</c:v>
                </c:pt>
                <c:pt idx="31">
                  <c:v>4913.1206996605224</c:v>
                </c:pt>
                <c:pt idx="32">
                  <c:v>4909.2862372523123</c:v>
                </c:pt>
                <c:pt idx="33">
                  <c:v>4905.4110601272851</c:v>
                </c:pt>
                <c:pt idx="34">
                  <c:v>4901.4953861054228</c:v>
                </c:pt>
                <c:pt idx="35">
                  <c:v>4897.5394386487442</c:v>
                </c:pt>
                <c:pt idx="36">
                  <c:v>4893.5434465912422</c:v>
                </c:pt>
                <c:pt idx="37">
                  <c:v>4889.5076438776314</c:v>
                </c:pt>
                <c:pt idx="38">
                  <c:v>4885.4322693106578</c:v>
                </c:pt>
                <c:pt idx="39">
                  <c:v>4881.3175663067177</c:v>
                </c:pt>
                <c:pt idx="40">
                  <c:v>4877.1637826595279</c:v>
                </c:pt>
                <c:pt idx="41">
                  <c:v>4872.9711703115991</c:v>
                </c:pt>
                <c:pt idx="42">
                  <c:v>4868.7399851332939</c:v>
                </c:pt>
                <c:pt idx="43">
                  <c:v>4864.4704867092232</c:v>
                </c:pt>
                <c:pt idx="44">
                  <c:v>4860.1629381317643</c:v>
                </c:pt>
                <c:pt idx="45">
                  <c:v>4855.8176058014869</c:v>
                </c:pt>
                <c:pt idx="46">
                  <c:v>4851.4347592342856</c:v>
                </c:pt>
                <c:pt idx="47">
                  <c:v>4847.0146708749871</c:v>
                </c:pt>
                <c:pt idx="48">
                  <c:v>4842.5576159172788</c:v>
                </c:pt>
                <c:pt idx="49">
                  <c:v>4838.0638721297173</c:v>
                </c:pt>
                <c:pt idx="50">
                  <c:v>4833.5337196876808</c:v>
                </c:pt>
                <c:pt idx="51">
                  <c:v>4828.9674410110383</c:v>
                </c:pt>
                <c:pt idx="52">
                  <c:v>4824.3653206073968</c:v>
                </c:pt>
                <c:pt idx="53">
                  <c:v>4819.7276449207393</c:v>
                </c:pt>
                <c:pt idx="54">
                  <c:v>4815.0547021852835</c:v>
                </c:pt>
                <c:pt idx="55">
                  <c:v>4810.3467822844259</c:v>
                </c:pt>
                <c:pt idx="56">
                  <c:v>4805.6041766145736</c:v>
                </c:pt>
                <c:pt idx="57">
                  <c:v>4800.8271779537663</c:v>
                </c:pt>
                <c:pt idx="58">
                  <c:v>4796.0160803348872</c:v>
                </c:pt>
                <c:pt idx="59">
                  <c:v>4791.1711789233696</c:v>
                </c:pt>
                <c:pt idx="60">
                  <c:v>4786.2927698992253</c:v>
                </c:pt>
                <c:pt idx="61">
                  <c:v>4781.381150343278</c:v>
                </c:pt>
                <c:pt idx="62">
                  <c:v>4776.4366181274709</c:v>
                </c:pt>
                <c:pt idx="63">
                  <c:v>4771.4594718091139</c:v>
                </c:pt>
                <c:pt idx="64">
                  <c:v>4766.4500105289644</c:v>
                </c:pt>
                <c:pt idx="65">
                  <c:v>4761.4085339130015</c:v>
                </c:pt>
                <c:pt idx="66">
                  <c:v>4756.3353419777941</c:v>
                </c:pt>
                <c:pt idx="67">
                  <c:v>4751.2307350393485</c:v>
                </c:pt>
                <c:pt idx="68">
                  <c:v>4746.095013625325</c:v>
                </c:pt>
                <c:pt idx="69">
                  <c:v>4740.9284783905159</c:v>
                </c:pt>
                <c:pt idx="70">
                  <c:v>4735.7314300354819</c:v>
                </c:pt>
                <c:pt idx="71">
                  <c:v>4730.5041692282612</c:v>
                </c:pt>
                <c:pt idx="72">
                  <c:v>4725.2469965290366</c:v>
                </c:pt>
                <c:pt idx="73">
                  <c:v>4719.9602123176755</c:v>
                </c:pt>
                <c:pt idx="74">
                  <c:v>4714.6441167240646</c:v>
                </c:pt>
                <c:pt idx="75">
                  <c:v>4709.2990095611203</c:v>
                </c:pt>
                <c:pt idx="76">
                  <c:v>4703.9251902604256</c:v>
                </c:pt>
                <c:pt idx="77">
                  <c:v>4698.5229578103826</c:v>
                </c:pt>
                <c:pt idx="78">
                  <c:v>4693.0926106968236</c:v>
                </c:pt>
                <c:pt idx="79">
                  <c:v>4687.6344468459802</c:v>
                </c:pt>
                <c:pt idx="80">
                  <c:v>4682.1487635697486</c:v>
                </c:pt>
                <c:pt idx="81">
                  <c:v>4676.6358575131835</c:v>
                </c:pt>
                <c:pt idx="82">
                  <c:v>4671.0960246041332</c:v>
                </c:pt>
                <c:pt idx="83">
                  <c:v>4665.5295600049512</c:v>
                </c:pt>
                <c:pt idx="84">
                  <c:v>4659.9367580662411</c:v>
                </c:pt>
                <c:pt idx="85">
                  <c:v>4654.3179122825295</c:v>
                </c:pt>
                <c:pt idx="86">
                  <c:v>4648.67331524983</c:v>
                </c:pt>
                <c:pt idx="87">
                  <c:v>4643.0032586250463</c:v>
                </c:pt>
                <c:pt idx="88">
                  <c:v>4637.3080330871253</c:v>
                </c:pt>
                <c:pt idx="89">
                  <c:v>4631.587928299924</c:v>
                </c:pt>
                <c:pt idx="90">
                  <c:v>4625.843232876734</c:v>
                </c:pt>
                <c:pt idx="91">
                  <c:v>4620.074234346399</c:v>
                </c:pt>
                <c:pt idx="92">
                  <c:v>4614.2812191209905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242240"/>
        <c:axId val="173248512"/>
      </c:scatterChart>
      <c:valAx>
        <c:axId val="173242240"/>
        <c:scaling>
          <c:orientation val="minMax"/>
        </c:scaling>
        <c:delete val="0"/>
        <c:axPos val="b"/>
        <c:title>
          <c:tx>
            <c:strRef>
              <c:f>mod.RK1!$F$1</c:f>
              <c:strCache>
                <c:ptCount val="1"/>
                <c:pt idx="0">
                  <c:v>t(y)</c:v>
                </c:pt>
              </c:strCache>
            </c:strRef>
          </c:tx>
          <c:layout/>
          <c:overlay val="0"/>
          <c:txPr>
            <a:bodyPr/>
            <a:lstStyle/>
            <a:p>
              <a:pPr>
                <a:defRPr/>
              </a:pPr>
              <a:endParaRPr lang="fr-FR"/>
            </a:p>
          </c:txPr>
        </c:title>
        <c:numFmt formatCode="General" sourceLinked="1"/>
        <c:majorTickMark val="out"/>
        <c:minorTickMark val="none"/>
        <c:tickLblPos val="nextTo"/>
        <c:crossAx val="173248512"/>
        <c:crosses val="autoZero"/>
        <c:crossBetween val="midCat"/>
      </c:valAx>
      <c:valAx>
        <c:axId val="173248512"/>
        <c:scaling>
          <c:orientation val="minMax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fr-FR" sz="1400"/>
                  <a:t>Masse vecteur Pu (kg)</a:t>
                </a:r>
              </a:p>
            </c:rich>
          </c:tx>
          <c:layout/>
          <c:overlay val="0"/>
        </c:title>
        <c:numFmt formatCode="0.00" sourceLinked="1"/>
        <c:majorTickMark val="out"/>
        <c:minorTickMark val="none"/>
        <c:tickLblPos val="nextTo"/>
        <c:crossAx val="173242240"/>
        <c:crosses val="autoZero"/>
        <c:crossBetween val="midCat"/>
      </c:valAx>
    </c:plotArea>
    <c:legend>
      <c:legendPos val="r"/>
      <c:layout/>
      <c:overlay val="0"/>
    </c:legend>
    <c:plotVisOnly val="1"/>
    <c:dispBlanksAs val="gap"/>
    <c:showDLblsOverMax val="0"/>
  </c:chart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mod.RK1!$K$1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mod.RK1!$K$2:$K$132</c:f>
              <c:numCache>
                <c:formatCode>0.00</c:formatCode>
                <c:ptCount val="131"/>
                <c:pt idx="0">
                  <c:v>3461.5820803761339</c:v>
                </c:pt>
                <c:pt idx="1">
                  <c:v>3456.2842968609007</c:v>
                </c:pt>
                <c:pt idx="2">
                  <c:v>3450.9331037282609</c:v>
                </c:pt>
                <c:pt idx="3">
                  <c:v>3445.529875750376</c:v>
                </c:pt>
                <c:pt idx="4">
                  <c:v>3440.0759613863374</c:v>
                </c:pt>
                <c:pt idx="5">
                  <c:v>3434.5726832683313</c:v>
                </c:pt>
                <c:pt idx="6">
                  <c:v>3429.0213386788773</c:v>
                </c:pt>
                <c:pt idx="7">
                  <c:v>3423.4232000193015</c:v>
                </c:pt>
                <c:pt idx="8">
                  <c:v>3417.7795152696062</c:v>
                </c:pt>
                <c:pt idx="9">
                  <c:v>3412.0915084398935</c:v>
                </c:pt>
                <c:pt idx="10">
                  <c:v>3406.3603800134961</c:v>
                </c:pt>
                <c:pt idx="11">
                  <c:v>3400.5873073819703</c:v>
                </c:pt>
                <c:pt idx="12">
                  <c:v>3394.7734452720988</c:v>
                </c:pt>
                <c:pt idx="13">
                  <c:v>3388.9199261650483</c:v>
                </c:pt>
                <c:pt idx="14">
                  <c:v>3383.0278607078285</c:v>
                </c:pt>
                <c:pt idx="15">
                  <c:v>3377.0983381171918</c:v>
                </c:pt>
                <c:pt idx="16">
                  <c:v>3371.1324265761145</c:v>
                </c:pt>
                <c:pt idx="17">
                  <c:v>3365.1311736229904</c:v>
                </c:pt>
                <c:pt idx="18">
                  <c:v>3359.0956065336777</c:v>
                </c:pt>
                <c:pt idx="19">
                  <c:v>3353.0267326965236</c:v>
                </c:pt>
                <c:pt idx="20">
                  <c:v>3346.9255399804997</c:v>
                </c:pt>
                <c:pt idx="21">
                  <c:v>3340.7929970965729</c:v>
                </c:pt>
                <c:pt idx="22">
                  <c:v>3334.630053952435</c:v>
                </c:pt>
                <c:pt idx="23">
                  <c:v>3328.4376420007143</c:v>
                </c:pt>
                <c:pt idx="24">
                  <c:v>3322.2166745807895</c:v>
                </c:pt>
                <c:pt idx="25">
                  <c:v>3315.9680472543191</c:v>
                </c:pt>
                <c:pt idx="26">
                  <c:v>3309.6926381346061</c:v>
                </c:pt>
                <c:pt idx="27">
                  <c:v>3303.3913082099093</c:v>
                </c:pt>
                <c:pt idx="28">
                  <c:v>3297.0649016608118</c:v>
                </c:pt>
                <c:pt idx="29">
                  <c:v>3290.7142461717553</c:v>
                </c:pt>
                <c:pt idx="30">
                  <c:v>3284.3401532368498</c:v>
                </c:pt>
                <c:pt idx="31">
                  <c:v>3277.9434184600595</c:v>
                </c:pt>
                <c:pt idx="32">
                  <c:v>3271.5248218498728</c:v>
                </c:pt>
                <c:pt idx="33">
                  <c:v>3265.0851281085529</c:v>
                </c:pt>
                <c:pt idx="34">
                  <c:v>3258.6250869160726</c:v>
                </c:pt>
                <c:pt idx="35">
                  <c:v>3252.1454332088274</c:v>
                </c:pt>
                <c:pt idx="36">
                  <c:v>3245.6468874532247</c:v>
                </c:pt>
                <c:pt idx="37">
                  <c:v>3239.130155914243</c:v>
                </c:pt>
                <c:pt idx="38">
                  <c:v>3232.5959309190516</c:v>
                </c:pt>
                <c:pt idx="39">
                  <c:v>3226.0448911157841</c:v>
                </c:pt>
                <c:pt idx="40">
                  <c:v>3219.4777017275519</c:v>
                </c:pt>
                <c:pt idx="41">
                  <c:v>3212.8950148017871</c:v>
                </c:pt>
                <c:pt idx="42">
                  <c:v>3206.2974694550003</c:v>
                </c:pt>
                <c:pt idx="43">
                  <c:v>3199.6856921130352</c:v>
                </c:pt>
                <c:pt idx="44">
                  <c:v>3193.0602967469049</c:v>
                </c:pt>
                <c:pt idx="45">
                  <c:v>3186.4218851042901</c:v>
                </c:pt>
                <c:pt idx="46">
                  <c:v>3179.7710469367812</c:v>
                </c:pt>
                <c:pt idx="47">
                  <c:v>3173.1083602229351</c:v>
                </c:pt>
                <c:pt idx="48">
                  <c:v>3166.434391387234</c:v>
                </c:pt>
                <c:pt idx="49">
                  <c:v>3159.7496955150123</c:v>
                </c:pt>
                <c:pt idx="50">
                  <c:v>3153.0548165634309</c:v>
                </c:pt>
                <c:pt idx="51">
                  <c:v>3146.3502875685695</c:v>
                </c:pt>
                <c:pt idx="52">
                  <c:v>3139.6366308487068</c:v>
                </c:pt>
                <c:pt idx="53">
                  <c:v>3132.9143582038628</c:v>
                </c:pt>
                <c:pt idx="54">
                  <c:v>3126.1839711116663</c:v>
                </c:pt>
                <c:pt idx="55">
                  <c:v>3119.445960919621</c:v>
                </c:pt>
                <c:pt idx="56">
                  <c:v>3112.70080903383</c:v>
                </c:pt>
                <c:pt idx="57">
                  <c:v>3105.9489871042479</c:v>
                </c:pt>
                <c:pt idx="58">
                  <c:v>3099.1909572065242</c:v>
                </c:pt>
                <c:pt idx="59">
                  <c:v>3092.4271720204979</c:v>
                </c:pt>
                <c:pt idx="60">
                  <c:v>3085.6580750054081</c:v>
                </c:pt>
                <c:pt idx="61">
                  <c:v>3078.8841005718778</c:v>
                </c:pt>
                <c:pt idx="62">
                  <c:v>3072.1056742507303</c:v>
                </c:pt>
                <c:pt idx="63">
                  <c:v>3065.3232128587015</c:v>
                </c:pt>
                <c:pt idx="64">
                  <c:v>3058.5371246610962</c:v>
                </c:pt>
                <c:pt idx="65">
                  <c:v>3051.7478095314536</c:v>
                </c:pt>
                <c:pt idx="66">
                  <c:v>3044.9556591082696</c:v>
                </c:pt>
                <c:pt idx="67">
                  <c:v>3038.1610569488339</c:v>
                </c:pt>
                <c:pt idx="68">
                  <c:v>3031.3643786802354</c:v>
                </c:pt>
                <c:pt idx="69">
                  <c:v>3024.5659921475835</c:v>
                </c:pt>
                <c:pt idx="70">
                  <c:v>3017.7662575595036</c:v>
                </c:pt>
                <c:pt idx="71">
                  <c:v>3010.9655276309468</c:v>
                </c:pt>
                <c:pt idx="72">
                  <c:v>3004.1641477233743</c:v>
                </c:pt>
                <c:pt idx="73">
                  <c:v>2997.362455982357</c:v>
                </c:pt>
                <c:pt idx="74">
                  <c:v>2990.5607834726393</c:v>
                </c:pt>
                <c:pt idx="75">
                  <c:v>2983.7594543107148</c:v>
                </c:pt>
                <c:pt idx="76">
                  <c:v>2976.9587857949614</c:v>
                </c:pt>
                <c:pt idx="77">
                  <c:v>2970.1590885333749</c:v>
                </c:pt>
                <c:pt idx="78">
                  <c:v>2963.3606665689517</c:v>
                </c:pt>
                <c:pt idx="79">
                  <c:v>2956.563817502758</c:v>
                </c:pt>
                <c:pt idx="80">
                  <c:v>2949.7688326147336</c:v>
                </c:pt>
                <c:pt idx="81">
                  <c:v>2942.9759969822662</c:v>
                </c:pt>
                <c:pt idx="82">
                  <c:v>2936.1855895965837</c:v>
                </c:pt>
                <c:pt idx="83">
                  <c:v>2929.397883476996</c:v>
                </c:pt>
                <c:pt idx="84">
                  <c:v>2922.6131457830343</c:v>
                </c:pt>
                <c:pt idx="85">
                  <c:v>2915.831637924523</c:v>
                </c:pt>
                <c:pt idx="86">
                  <c:v>2909.0536156696185</c:v>
                </c:pt>
                <c:pt idx="87">
                  <c:v>2902.2793292508604</c:v>
                </c:pt>
                <c:pt idx="88">
                  <c:v>2895.5090234692634</c:v>
                </c:pt>
                <c:pt idx="89">
                  <c:v>2888.7429377964909</c:v>
                </c:pt>
                <c:pt idx="90">
                  <c:v>2881.9813064751443</c:v>
                </c:pt>
                <c:pt idx="91">
                  <c:v>2875.2243586172021</c:v>
                </c:pt>
                <c:pt idx="92">
                  <c:v>2868.4723183006427</c:v>
                </c:pt>
                <c:pt idx="93">
                  <c:v>2861.7254046642861</c:v>
                </c:pt>
                <c:pt idx="94">
                  <c:v>2854.9838320008835</c:v>
                </c:pt>
                <c:pt idx="95">
                  <c:v>2848.2478098484917</c:v>
                </c:pt>
                <c:pt idx="96">
                  <c:v>2841.5175430801601</c:v>
                </c:pt>
                <c:pt idx="97">
                  <c:v>2834.7932319919619</c:v>
                </c:pt>
                <c:pt idx="98">
                  <c:v>2828.0750723894025</c:v>
                </c:pt>
                <c:pt idx="99">
                  <c:v>2821.3632556722323</c:v>
                </c:pt>
                <c:pt idx="100">
                  <c:v>2814.657968917692</c:v>
                </c:pt>
                <c:pt idx="101">
                  <c:v>2807.9593949622249</c:v>
                </c:pt>
                <c:pt idx="102">
                  <c:v>2801.2677124816778</c:v>
                </c:pt>
                <c:pt idx="103">
                  <c:v>2794.5830960700214</c:v>
                </c:pt>
                <c:pt idx="104">
                  <c:v>2787.9057163166181</c:v>
                </c:pt>
                <c:pt idx="105">
                  <c:v>2781.2357398820623</c:v>
                </c:pt>
                <c:pt idx="106">
                  <c:v>2774.5733295726209</c:v>
                </c:pt>
                <c:pt idx="107">
                  <c:v>2767.918644413297</c:v>
                </c:pt>
                <c:pt idx="108">
                  <c:v>2761.2718397195454</c:v>
                </c:pt>
                <c:pt idx="109">
                  <c:v>2754.6330671676637</c:v>
                </c:pt>
                <c:pt idx="110">
                  <c:v>2748.0024748638812</c:v>
                </c:pt>
                <c:pt idx="111">
                  <c:v>2741.3802074121727</c:v>
                </c:pt>
                <c:pt idx="112">
                  <c:v>2734.7664059808185</c:v>
                </c:pt>
                <c:pt idx="113">
                  <c:v>2728.1612083677346</c:v>
                </c:pt>
                <c:pt idx="114">
                  <c:v>2721.5647490645952</c:v>
                </c:pt>
                <c:pt idx="115">
                  <c:v>2714.9771593197697</c:v>
                </c:pt>
                <c:pt idx="116">
                  <c:v>2708.3985672000977</c:v>
                </c:pt>
                <c:pt idx="117">
                  <c:v>2701.8290976515186</c:v>
                </c:pt>
                <c:pt idx="118">
                  <c:v>2695.2688725585849</c:v>
                </c:pt>
                <c:pt idx="119">
                  <c:v>2688.7180108028701</c:v>
                </c:pt>
                <c:pt idx="120">
                  <c:v>2682.1766283203001</c:v>
                </c:pt>
                <c:pt idx="121">
                  <c:v>2675.6448381574219</c:v>
                </c:pt>
                <c:pt idx="122">
                  <c:v>2669.1227505266329</c:v>
                </c:pt>
                <c:pt idx="123">
                  <c:v>2662.6104728603868</c:v>
                </c:pt>
                <c:pt idx="124">
                  <c:v>2656.108109864399</c:v>
                </c:pt>
                <c:pt idx="125">
                  <c:v>2649.6157635698646</c:v>
                </c:pt>
                <c:pt idx="126">
                  <c:v>2643.1335333847128</c:v>
                </c:pt>
                <c:pt idx="127">
                  <c:v>2636.6615161439108</c:v>
                </c:pt>
                <c:pt idx="128">
                  <c:v>2630.1998061588361</c:v>
                </c:pt>
                <c:pt idx="129">
                  <c:v>2623.7484952657369</c:v>
                </c:pt>
                <c:pt idx="130">
                  <c:v>2617.307672873294</c:v>
                </c:pt>
              </c:numCache>
            </c:numRef>
          </c:val>
        </c:ser>
        <c:ser>
          <c:idx val="2"/>
          <c:order val="1"/>
          <c:tx>
            <c:strRef>
              <c:f>mod.RK1!$M$1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mod.RK1!$M$2:$M$132</c:f>
              <c:numCache>
                <c:formatCode>0.00</c:formatCode>
                <c:ptCount val="131"/>
                <c:pt idx="0">
                  <c:v>1154.5288235649409</c:v>
                </c:pt>
                <c:pt idx="1">
                  <c:v>1159.3597783497064</c:v>
                </c:pt>
                <c:pt idx="2">
                  <c:v>1164.1361849056666</c:v>
                </c:pt>
                <c:pt idx="3">
                  <c:v>1168.8582312347976</c:v>
                </c:pt>
                <c:pt idx="4">
                  <c:v>1173.5261091910857</c:v>
                </c:pt>
                <c:pt idx="5">
                  <c:v>1178.1400143535529</c:v>
                </c:pt>
                <c:pt idx="6">
                  <c:v>1182.7001459020278</c:v>
                </c:pt>
                <c:pt idx="7">
                  <c:v>1187.2067064956063</c:v>
                </c:pt>
                <c:pt idx="8">
                  <c:v>1191.6599021537545</c:v>
                </c:pt>
                <c:pt idx="9">
                  <c:v>1196.0599421399954</c:v>
                </c:pt>
                <c:pt idx="10">
                  <c:v>1200.4070388481364</c:v>
                </c:pt>
                <c:pt idx="11">
                  <c:v>1204.7014076909829</c:v>
                </c:pt>
                <c:pt idx="12">
                  <c:v>1208.9432669914916</c:v>
                </c:pt>
                <c:pt idx="13">
                  <c:v>1213.1328378763151</c:v>
                </c:pt>
                <c:pt idx="14">
                  <c:v>1217.2703441716919</c:v>
                </c:pt>
                <c:pt idx="15">
                  <c:v>1221.3560123016357</c:v>
                </c:pt>
                <c:pt idx="16">
                  <c:v>1225.390071188378</c:v>
                </c:pt>
                <c:pt idx="17">
                  <c:v>1229.3727521550213</c:v>
                </c:pt>
                <c:pt idx="18">
                  <c:v>1233.3042888303587</c:v>
                </c:pt>
                <c:pt idx="19">
                  <c:v>1237.1849170558176</c:v>
                </c:pt>
                <c:pt idx="20">
                  <c:v>1241.0148747944852</c:v>
                </c:pt>
                <c:pt idx="21">
                  <c:v>1244.7944020421771</c:v>
                </c:pt>
                <c:pt idx="22">
                  <c:v>1248.5237407405052</c:v>
                </c:pt>
                <c:pt idx="23">
                  <c:v>1252.2031346919091</c:v>
                </c:pt>
                <c:pt idx="24">
                  <c:v>1255.8328294766097</c:v>
                </c:pt>
                <c:pt idx="25">
                  <c:v>1259.4130723714488</c:v>
                </c:pt>
                <c:pt idx="26">
                  <c:v>1262.9441122705766</c:v>
                </c:pt>
                <c:pt idx="27">
                  <c:v>1266.4261996079504</c:v>
                </c:pt>
                <c:pt idx="28">
                  <c:v>1269.8595862816096</c:v>
                </c:pt>
                <c:pt idx="29">
                  <c:v>1273.2445255796918</c:v>
                </c:pt>
                <c:pt idx="30">
                  <c:v>1276.5812721081531</c:v>
                </c:pt>
                <c:pt idx="31">
                  <c:v>1279.8700817201634</c:v>
                </c:pt>
                <c:pt idx="32">
                  <c:v>1283.1112114471382</c:v>
                </c:pt>
                <c:pt idx="33">
                  <c:v>1286.3049194313792</c:v>
                </c:pt>
                <c:pt idx="34">
                  <c:v>1289.4514648602876</c:v>
                </c:pt>
                <c:pt idx="35">
                  <c:v>1292.5511079021221</c:v>
                </c:pt>
                <c:pt idx="36">
                  <c:v>1295.6041096432682</c:v>
                </c:pt>
                <c:pt idx="37">
                  <c:v>1298.6107320269905</c:v>
                </c:pt>
                <c:pt idx="38">
                  <c:v>1301.5712377936377</c:v>
                </c:pt>
                <c:pt idx="39">
                  <c:v>1304.4858904222708</c:v>
                </c:pt>
                <c:pt idx="40">
                  <c:v>1307.3549540736869</c:v>
                </c:pt>
                <c:pt idx="41">
                  <c:v>1310.1786935348102</c:v>
                </c:pt>
                <c:pt idx="42">
                  <c:v>1312.9573741644222</c:v>
                </c:pt>
                <c:pt idx="43">
                  <c:v>1315.691261840205</c:v>
                </c:pt>
                <c:pt idx="44">
                  <c:v>1318.3806229070719</c:v>
                </c:pt>
                <c:pt idx="45">
                  <c:v>1321.0257241267575</c:v>
                </c:pt>
                <c:pt idx="46">
                  <c:v>1323.6268326286429</c:v>
                </c:pt>
                <c:pt idx="47">
                  <c:v>1326.1842158617926</c:v>
                </c:pt>
                <c:pt idx="48">
                  <c:v>1328.6981415481753</c:v>
                </c:pt>
                <c:pt idx="49">
                  <c:v>1331.1688776370479</c:v>
                </c:pt>
                <c:pt idx="50">
                  <c:v>1333.5966922604771</c:v>
                </c:pt>
                <c:pt idx="51">
                  <c:v>1335.9818536899766</c:v>
                </c:pt>
                <c:pt idx="52">
                  <c:v>1338.3246302942366</c:v>
                </c:pt>
                <c:pt idx="53">
                  <c:v>1340.6252904979237</c:v>
                </c:pt>
                <c:pt idx="54">
                  <c:v>1342.8841027415297</c:v>
                </c:pt>
                <c:pt idx="55">
                  <c:v>1345.1013354422469</c:v>
                </c:pt>
                <c:pt idx="56">
                  <c:v>1347.2772569558501</c:v>
                </c:pt>
                <c:pt idx="57">
                  <c:v>1349.4121355395648</c:v>
                </c:pt>
                <c:pt idx="58">
                  <c:v>1351.5062393158996</c:v>
                </c:pt>
                <c:pt idx="59">
                  <c:v>1353.5598362374255</c:v>
                </c:pt>
                <c:pt idx="60">
                  <c:v>1355.5731940524813</c:v>
                </c:pt>
                <c:pt idx="61">
                  <c:v>1357.5465802717852</c:v>
                </c:pt>
                <c:pt idx="62">
                  <c:v>1359.4802621359365</c:v>
                </c:pt>
                <c:pt idx="63">
                  <c:v>1361.374506583787</c:v>
                </c:pt>
                <c:pt idx="64">
                  <c:v>1363.229580221664</c:v>
                </c:pt>
                <c:pt idx="65">
                  <c:v>1365.0457492934293</c:v>
                </c:pt>
                <c:pt idx="66">
                  <c:v>1366.8232796513539</c:v>
                </c:pt>
                <c:pt idx="67">
                  <c:v>1368.5624367277953</c:v>
                </c:pt>
                <c:pt idx="68">
                  <c:v>1370.2634855076569</c:v>
                </c:pt>
                <c:pt idx="69">
                  <c:v>1371.9266905016157</c:v>
                </c:pt>
                <c:pt idx="70">
                  <c:v>1373.5523157201005</c:v>
                </c:pt>
                <c:pt idx="71">
                  <c:v>1375.1406246480083</c:v>
                </c:pt>
                <c:pt idx="72">
                  <c:v>1376.691880220138</c:v>
                </c:pt>
                <c:pt idx="73">
                  <c:v>1378.2063447973321</c:v>
                </c:pt>
                <c:pt idx="74">
                  <c:v>1379.684280143307</c:v>
                </c:pt>
                <c:pt idx="75">
                  <c:v>1381.1259474021613</c:v>
                </c:pt>
                <c:pt idx="76">
                  <c:v>1382.5316070765437</c:v>
                </c:pt>
                <c:pt idx="77">
                  <c:v>1383.9015190064704</c:v>
                </c:pt>
                <c:pt idx="78">
                  <c:v>1385.235942348776</c:v>
                </c:pt>
                <c:pt idx="79">
                  <c:v>1386.5351355571854</c:v>
                </c:pt>
                <c:pt idx="80">
                  <c:v>1387.7993563629925</c:v>
                </c:pt>
                <c:pt idx="81">
                  <c:v>1389.0288617563344</c:v>
                </c:pt>
                <c:pt idx="82">
                  <c:v>1390.2239079680473</c:v>
                </c:pt>
                <c:pt idx="83">
                  <c:v>1391.3847504520918</c:v>
                </c:pt>
                <c:pt idx="84">
                  <c:v>1392.5116438685357</c:v>
                </c:pt>
                <c:pt idx="85">
                  <c:v>1393.6048420670816</c:v>
                </c:pt>
                <c:pt idx="86">
                  <c:v>1394.6645980711296</c:v>
                </c:pt>
                <c:pt idx="87">
                  <c:v>1395.6911640623612</c:v>
                </c:pt>
                <c:pt idx="88">
                  <c:v>1396.6847913658339</c:v>
                </c:pt>
                <c:pt idx="89">
                  <c:v>1397.6457304355765</c:v>
                </c:pt>
                <c:pt idx="90">
                  <c:v>1398.5742308406734</c:v>
                </c:pt>
                <c:pt idx="91">
                  <c:v>1399.4705412518265</c:v>
                </c:pt>
                <c:pt idx="92">
                  <c:v>1400.3349094283867</c:v>
                </c:pt>
                <c:pt idx="93">
                  <c:v>1401.1675822058417</c:v>
                </c:pt>
                <c:pt idx="94">
                  <c:v>1401.9688054837522</c:v>
                </c:pt>
                <c:pt idx="95">
                  <c:v>1402.7388242141271</c:v>
                </c:pt>
                <c:pt idx="96">
                  <c:v>1403.4778823902257</c:v>
                </c:pt>
                <c:pt idx="97">
                  <c:v>1404.186223035779</c:v>
                </c:pt>
                <c:pt idx="98">
                  <c:v>1404.8640881946221</c:v>
                </c:pt>
                <c:pt idx="99">
                  <c:v>1405.511718920726</c:v>
                </c:pt>
                <c:pt idx="100">
                  <c:v>1406.1293552686211</c:v>
                </c:pt>
                <c:pt idx="101">
                  <c:v>1406.7172362842048</c:v>
                </c:pt>
                <c:pt idx="102">
                  <c:v>1407.2755999959224</c:v>
                </c:pt>
                <c:pt idx="103">
                  <c:v>1407.8046834063152</c:v>
                </c:pt>
                <c:pt idx="104">
                  <c:v>1408.3047224839254</c:v>
                </c:pt>
                <c:pt idx="105">
                  <c:v>1408.7759521555522</c:v>
                </c:pt>
                <c:pt idx="106">
                  <c:v>1409.2186062988485</c:v>
                </c:pt>
                <c:pt idx="107">
                  <c:v>1409.6329177352532</c:v>
                </c:pt>
                <c:pt idx="108">
                  <c:v>1410.0191182232486</c:v>
                </c:pt>
                <c:pt idx="109">
                  <c:v>1410.3774384519386</c:v>
                </c:pt>
                <c:pt idx="110">
                  <c:v>1410.7081080349374</c:v>
                </c:pt>
                <c:pt idx="111">
                  <c:v>1411.0113555045641</c:v>
                </c:pt>
                <c:pt idx="112">
                  <c:v>1411.287408306335</c:v>
                </c:pt>
                <c:pt idx="113">
                  <c:v>1411.5364927937453</c:v>
                </c:pt>
                <c:pt idx="114">
                  <c:v>1411.7588342233373</c:v>
                </c:pt>
                <c:pt idx="115">
                  <c:v>1411.9546567500445</c:v>
                </c:pt>
                <c:pt idx="116">
                  <c:v>1412.1241834228074</c:v>
                </c:pt>
                <c:pt idx="117">
                  <c:v>1412.2676361804538</c:v>
                </c:pt>
                <c:pt idx="118">
                  <c:v>1412.3852358478387</c:v>
                </c:pt>
                <c:pt idx="119">
                  <c:v>1412.4772021322353</c:v>
                </c:pt>
                <c:pt idx="120">
                  <c:v>1412.5437536199731</c:v>
                </c:pt>
                <c:pt idx="121">
                  <c:v>1412.5851077733175</c:v>
                </c:pt>
                <c:pt idx="122">
                  <c:v>1412.6014809275825</c:v>
                </c:pt>
                <c:pt idx="123">
                  <c:v>1412.5930882884752</c:v>
                </c:pt>
                <c:pt idx="124">
                  <c:v>1412.5601439296618</c:v>
                </c:pt>
                <c:pt idx="125">
                  <c:v>1412.5028607905535</c:v>
                </c:pt>
                <c:pt idx="126">
                  <c:v>1412.4214506743053</c:v>
                </c:pt>
                <c:pt idx="127">
                  <c:v>1412.3161242460226</c:v>
                </c:pt>
                <c:pt idx="128">
                  <c:v>1412.1870910311702</c:v>
                </c:pt>
                <c:pt idx="129">
                  <c:v>1412.0345594141811</c:v>
                </c:pt>
                <c:pt idx="130">
                  <c:v>1411.858736637256</c:v>
                </c:pt>
              </c:numCache>
            </c:numRef>
          </c:val>
        </c:ser>
        <c:ser>
          <c:idx val="3"/>
          <c:order val="2"/>
          <c:tx>
            <c:strRef>
              <c:f>mod.RK1!$O$1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mod.RK1!$O$2:$O$132</c:f>
              <c:numCache>
                <c:formatCode>0.00</c:formatCode>
                <c:ptCount val="131"/>
                <c:pt idx="0">
                  <c:v>241.52903340204062</c:v>
                </c:pt>
                <c:pt idx="1">
                  <c:v>239.15580866831414</c:v>
                </c:pt>
                <c:pt idx="2">
                  <c:v>236.86656555506474</c:v>
                </c:pt>
                <c:pt idx="3">
                  <c:v>234.65876875573559</c:v>
                </c:pt>
                <c:pt idx="4">
                  <c:v>232.52995403087959</c:v>
                </c:pt>
                <c:pt idx="5">
                  <c:v>230.47772625028944</c:v>
                </c:pt>
                <c:pt idx="6">
                  <c:v>228.49975748898811</c:v>
                </c:pt>
                <c:pt idx="7">
                  <c:v>226.59378517559514</c:v>
                </c:pt>
                <c:pt idx="8">
                  <c:v>224.75761029162518</c:v>
                </c:pt>
                <c:pt idx="9">
                  <c:v>222.9890956203154</c:v>
                </c:pt>
                <c:pt idx="10">
                  <c:v>221.28616404361662</c:v>
                </c:pt>
                <c:pt idx="11">
                  <c:v>219.64679688602118</c:v>
                </c:pt>
                <c:pt idx="12">
                  <c:v>218.06903230393704</c:v>
                </c:pt>
                <c:pt idx="13">
                  <c:v>216.55096371935306</c:v>
                </c:pt>
                <c:pt idx="14">
                  <c:v>215.09073829657535</c:v>
                </c:pt>
                <c:pt idx="15">
                  <c:v>213.68655546084815</c:v>
                </c:pt>
                <c:pt idx="16">
                  <c:v>212.33666545770541</c:v>
                </c:pt>
                <c:pt idx="17">
                  <c:v>211.03936795193098</c:v>
                </c:pt>
                <c:pt idx="18">
                  <c:v>209.7930106650368</c:v>
                </c:pt>
                <c:pt idx="19">
                  <c:v>208.59598805019786</c:v>
                </c:pt>
                <c:pt idx="20">
                  <c:v>207.44674000361266</c:v>
                </c:pt>
                <c:pt idx="21">
                  <c:v>206.34375061128574</c:v>
                </c:pt>
                <c:pt idx="22">
                  <c:v>205.28554693025728</c:v>
                </c:pt>
                <c:pt idx="23">
                  <c:v>204.2706978033309</c:v>
                </c:pt>
                <c:pt idx="24">
                  <c:v>203.29781270637761</c:v>
                </c:pt>
                <c:pt idx="25">
                  <c:v>202.36554062731875</c:v>
                </c:pt>
                <c:pt idx="26">
                  <c:v>201.47256897591626</c:v>
                </c:pt>
                <c:pt idx="27">
                  <c:v>200.6176225235217</c:v>
                </c:pt>
                <c:pt idx="28">
                  <c:v>199.79946237195981</c:v>
                </c:pt>
                <c:pt idx="29">
                  <c:v>199.0168849507443</c:v>
                </c:pt>
                <c:pt idx="30">
                  <c:v>198.26872104184662</c:v>
                </c:pt>
                <c:pt idx="31">
                  <c:v>197.55383483125877</c:v>
                </c:pt>
                <c:pt idx="32">
                  <c:v>196.87112298661347</c:v>
                </c:pt>
                <c:pt idx="33">
                  <c:v>196.2195137601442</c:v>
                </c:pt>
                <c:pt idx="34">
                  <c:v>195.59796611628801</c:v>
                </c:pt>
                <c:pt idx="35">
                  <c:v>195.00546888325334</c:v>
                </c:pt>
                <c:pt idx="36">
                  <c:v>194.44103992789317</c:v>
                </c:pt>
                <c:pt idx="37">
                  <c:v>193.90372535324249</c:v>
                </c:pt>
                <c:pt idx="38">
                  <c:v>193.39259871809696</c:v>
                </c:pt>
                <c:pt idx="39">
                  <c:v>192.90676027802596</c:v>
                </c:pt>
                <c:pt idx="40">
                  <c:v>192.44533624723098</c:v>
                </c:pt>
                <c:pt idx="41">
                  <c:v>192.00747808067587</c:v>
                </c:pt>
                <c:pt idx="42">
                  <c:v>191.59236177593132</c:v>
                </c:pt>
                <c:pt idx="43">
                  <c:v>191.19918719419184</c:v>
                </c:pt>
                <c:pt idx="44">
                  <c:v>190.82717739993768</c:v>
                </c:pt>
                <c:pt idx="45">
                  <c:v>190.47557801872946</c:v>
                </c:pt>
                <c:pt idx="46">
                  <c:v>190.14365661263651</c:v>
                </c:pt>
                <c:pt idx="47">
                  <c:v>189.83070207281463</c:v>
                </c:pt>
                <c:pt idx="48">
                  <c:v>189.53602402876177</c:v>
                </c:pt>
                <c:pt idx="49">
                  <c:v>189.25895227379283</c:v>
                </c:pt>
                <c:pt idx="50">
                  <c:v>188.99883620628833</c:v>
                </c:pt>
                <c:pt idx="51">
                  <c:v>188.75504428628321</c:v>
                </c:pt>
                <c:pt idx="52">
                  <c:v>188.52696350697414</c:v>
                </c:pt>
                <c:pt idx="53">
                  <c:v>188.31399888073551</c:v>
                </c:pt>
                <c:pt idx="54">
                  <c:v>188.11557293924551</c:v>
                </c:pt>
                <c:pt idx="55">
                  <c:v>187.93112524733448</c:v>
                </c:pt>
                <c:pt idx="56">
                  <c:v>187.76011193017862</c:v>
                </c:pt>
                <c:pt idx="57">
                  <c:v>187.60200521347264</c:v>
                </c:pt>
                <c:pt idx="58">
                  <c:v>187.4562929762244</c:v>
                </c:pt>
                <c:pt idx="59">
                  <c:v>187.32247831582544</c:v>
                </c:pt>
                <c:pt idx="60">
                  <c:v>187.20007912505972</c:v>
                </c:pt>
                <c:pt idx="61">
                  <c:v>187.08862768072316</c:v>
                </c:pt>
                <c:pt idx="62">
                  <c:v>186.98767024353478</c:v>
                </c:pt>
                <c:pt idx="63">
                  <c:v>186.89676666902969</c:v>
                </c:pt>
                <c:pt idx="64">
                  <c:v>186.81549002913221</c:v>
                </c:pt>
                <c:pt idx="65">
                  <c:v>186.74342624411614</c:v>
                </c:pt>
                <c:pt idx="66">
                  <c:v>186.68017372466667</c:v>
                </c:pt>
                <c:pt idx="67">
                  <c:v>186.62534302376713</c:v>
                </c:pt>
                <c:pt idx="68">
                  <c:v>186.57855649814047</c:v>
                </c:pt>
                <c:pt idx="69">
                  <c:v>186.5394479789835</c:v>
                </c:pt>
                <c:pt idx="70">
                  <c:v>186.50766245173881</c:v>
                </c:pt>
                <c:pt idx="71">
                  <c:v>186.48285574465623</c:v>
                </c:pt>
                <c:pt idx="72">
                  <c:v>186.464694225903</c:v>
                </c:pt>
                <c:pt idx="73">
                  <c:v>186.45285450898766</c:v>
                </c:pt>
                <c:pt idx="74">
                  <c:v>186.4470231662699</c:v>
                </c:pt>
                <c:pt idx="75">
                  <c:v>186.44689645033441</c:v>
                </c:pt>
                <c:pt idx="76">
                  <c:v>186.45218002301303</c:v>
                </c:pt>
                <c:pt idx="77">
                  <c:v>186.4625886918455</c:v>
                </c:pt>
                <c:pt idx="78">
                  <c:v>186.47784615377475</c:v>
                </c:pt>
                <c:pt idx="79">
                  <c:v>186.49768474587816</c:v>
                </c:pt>
                <c:pt idx="80">
                  <c:v>186.52184520294216</c:v>
                </c:pt>
                <c:pt idx="81">
                  <c:v>186.55007642169238</c:v>
                </c:pt>
                <c:pt idx="82">
                  <c:v>186.58213523149669</c:v>
                </c:pt>
                <c:pt idx="83">
                  <c:v>186.61778617136406</c:v>
                </c:pt>
                <c:pt idx="84">
                  <c:v>186.65680127306626</c:v>
                </c:pt>
                <c:pt idx="85">
                  <c:v>186.69895985021486</c:v>
                </c:pt>
                <c:pt idx="86">
                  <c:v>186.74404829313002</c:v>
                </c:pt>
                <c:pt idx="87">
                  <c:v>186.79185986934266</c:v>
                </c:pt>
                <c:pt idx="88">
                  <c:v>186.84219452957532</c:v>
                </c:pt>
                <c:pt idx="89">
                  <c:v>186.89485871905185</c:v>
                </c:pt>
                <c:pt idx="90">
                  <c:v>186.94966519398957</c:v>
                </c:pt>
                <c:pt idx="91">
                  <c:v>187.00643284313227</c:v>
                </c:pt>
                <c:pt idx="92">
                  <c:v>187.06498651418579</c:v>
                </c:pt>
                <c:pt idx="93">
                  <c:v>187.12515684502173</c:v>
                </c:pt>
                <c:pt idx="94">
                  <c:v>187.18678009951898</c:v>
                </c:pt>
                <c:pt idx="95">
                  <c:v>187.24969800791581</c:v>
                </c:pt>
                <c:pt idx="96">
                  <c:v>187.31375761154897</c:v>
                </c:pt>
                <c:pt idx="97">
                  <c:v>187.37881111185985</c:v>
                </c:pt>
                <c:pt idx="98">
                  <c:v>187.44471572355073</c:v>
                </c:pt>
                <c:pt idx="99">
                  <c:v>187.51133353177738</c:v>
                </c:pt>
                <c:pt idx="100">
                  <c:v>187.57853135326764</c:v>
                </c:pt>
                <c:pt idx="101">
                  <c:v>187.64618060125849</c:v>
                </c:pt>
                <c:pt idx="102">
                  <c:v>187.71415715414699</c:v>
                </c:pt>
                <c:pt idx="103">
                  <c:v>187.78234122775339</c:v>
                </c:pt>
                <c:pt idx="104">
                  <c:v>187.85061725109779</c:v>
                </c:pt>
                <c:pt idx="105">
                  <c:v>187.91887374559374</c:v>
                </c:pt>
                <c:pt idx="106">
                  <c:v>187.98700320756581</c:v>
                </c:pt>
                <c:pt idx="107">
                  <c:v>188.05490199399964</c:v>
                </c:pt>
                <c:pt idx="108">
                  <c:v>188.12247021143631</c:v>
                </c:pt>
                <c:pt idx="109">
                  <c:v>188.18961160792497</c:v>
                </c:pt>
                <c:pt idx="110">
                  <c:v>188.25623346795007</c:v>
                </c:pt>
                <c:pt idx="111">
                  <c:v>188.32224651025149</c:v>
                </c:pt>
                <c:pt idx="112">
                  <c:v>188.38756478845895</c:v>
                </c:pt>
                <c:pt idx="113">
                  <c:v>188.45210559446335</c:v>
                </c:pt>
                <c:pt idx="114">
                  <c:v>188.51578936445023</c:v>
                </c:pt>
                <c:pt idx="115">
                  <c:v>188.57853958752256</c:v>
                </c:pt>
                <c:pt idx="116">
                  <c:v>188.64028271684217</c:v>
                </c:pt>
                <c:pt idx="117">
                  <c:v>188.70094808322065</c:v>
                </c:pt>
                <c:pt idx="118">
                  <c:v>188.76046781109306</c:v>
                </c:pt>
                <c:pt idx="119">
                  <c:v>188.81877673680901</c:v>
                </c:pt>
                <c:pt idx="120">
                  <c:v>188.87581232917793</c:v>
                </c:pt>
                <c:pt idx="121">
                  <c:v>188.93151461220683</c:v>
                </c:pt>
                <c:pt idx="122">
                  <c:v>188.98582608997052</c:v>
                </c:pt>
                <c:pt idx="123">
                  <c:v>189.03869167355623</c:v>
                </c:pt>
                <c:pt idx="124">
                  <c:v>189.09005861002564</c:v>
                </c:pt>
                <c:pt idx="125">
                  <c:v>189.13987641333924</c:v>
                </c:pt>
                <c:pt idx="126">
                  <c:v>189.18809679718964</c:v>
                </c:pt>
                <c:pt idx="127">
                  <c:v>189.23467360969124</c:v>
                </c:pt>
                <c:pt idx="128">
                  <c:v>189.27956276987584</c:v>
                </c:pt>
                <c:pt idx="129">
                  <c:v>189.32272220594464</c:v>
                </c:pt>
                <c:pt idx="130">
                  <c:v>189.36411179522878</c:v>
                </c:pt>
              </c:numCache>
            </c:numRef>
          </c:val>
        </c:ser>
        <c:ser>
          <c:idx val="4"/>
          <c:order val="3"/>
          <c:tx>
            <c:strRef>
              <c:f>mod.RK1!$Q$1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mod.RK1!$Q$2:$Q$132</c:f>
              <c:numCache>
                <c:formatCode>0.00</c:formatCode>
                <c:ptCount val="131"/>
                <c:pt idx="0">
                  <c:v>82.180003066254471</c:v>
                </c:pt>
                <c:pt idx="1">
                  <c:v>82.682984680735203</c:v>
                </c:pt>
                <c:pt idx="2">
                  <c:v>83.174364906901829</c:v>
                </c:pt>
                <c:pt idx="3">
                  <c:v>83.65449965608353</c:v>
                </c:pt>
                <c:pt idx="4">
                  <c:v>84.123734465849807</c:v>
                </c:pt>
                <c:pt idx="5">
                  <c:v>84.582404784003813</c:v>
                </c:pt>
                <c:pt idx="6">
                  <c:v>85.030836244935543</c:v>
                </c:pt>
                <c:pt idx="7">
                  <c:v>85.469344938541241</c:v>
                </c:pt>
                <c:pt idx="8">
                  <c:v>85.898237671909513</c:v>
                </c:pt>
                <c:pt idx="9">
                  <c:v>86.317812223969312</c:v>
                </c:pt>
                <c:pt idx="10">
                  <c:v>86.728357593289616</c:v>
                </c:pt>
                <c:pt idx="11">
                  <c:v>87.130154239215528</c:v>
                </c:pt>
                <c:pt idx="12">
                  <c:v>87.523474316520407</c:v>
                </c:pt>
                <c:pt idx="13">
                  <c:v>87.908581903748754</c:v>
                </c:pt>
                <c:pt idx="14">
                  <c:v>88.285733225420017</c:v>
                </c:pt>
                <c:pt idx="15">
                  <c:v>88.655176868258522</c:v>
                </c:pt>
                <c:pt idx="16">
                  <c:v>89.017153991610556</c:v>
                </c:pt>
                <c:pt idx="17">
                  <c:v>89.371898532205179</c:v>
                </c:pt>
                <c:pt idx="18">
                  <c:v>89.719637403410914</c:v>
                </c:pt>
                <c:pt idx="19">
                  <c:v>90.060590689136575</c:v>
                </c:pt>
                <c:pt idx="20">
                  <c:v>90.394971832520326</c:v>
                </c:pt>
                <c:pt idx="21">
                  <c:v>90.7229878195472</c:v>
                </c:pt>
                <c:pt idx="22">
                  <c:v>91.044839357731462</c:v>
                </c:pt>
                <c:pt idx="23">
                  <c:v>91.360721049996613</c:v>
                </c:pt>
                <c:pt idx="24">
                  <c:v>91.670821563882029</c:v>
                </c:pt>
                <c:pt idx="25">
                  <c:v>91.975323796201963</c:v>
                </c:pt>
                <c:pt idx="26">
                  <c:v>92.274405033279066</c:v>
                </c:pt>
                <c:pt idx="27">
                  <c:v>92.568237106871322</c:v>
                </c:pt>
                <c:pt idx="28">
                  <c:v>92.856986545908143</c:v>
                </c:pt>
                <c:pt idx="29">
                  <c:v>93.140814724148058</c:v>
                </c:pt>
                <c:pt idx="30">
                  <c:v>93.419878003867538</c:v>
                </c:pt>
                <c:pt idx="31">
                  <c:v>93.694327875687605</c:v>
                </c:pt>
                <c:pt idx="32">
                  <c:v>93.964311094641673</c:v>
                </c:pt>
                <c:pt idx="33">
                  <c:v>94.229969812585566</c:v>
                </c:pt>
                <c:pt idx="34">
                  <c:v>94.491441707047912</c:v>
                </c:pt>
                <c:pt idx="35">
                  <c:v>94.748860106616206</c:v>
                </c:pt>
                <c:pt idx="36">
                  <c:v>95.002354112951537</c:v>
                </c:pt>
                <c:pt idx="37">
                  <c:v>95.252048719522321</c:v>
                </c:pt>
                <c:pt idx="38">
                  <c:v>95.498064927144981</c:v>
                </c:pt>
                <c:pt idx="39">
                  <c:v>95.740519856417052</c:v>
                </c:pt>
                <c:pt idx="40">
                  <c:v>95.979526857126075</c:v>
                </c:pt>
                <c:pt idx="41">
                  <c:v>96.215195614715157</c:v>
                </c:pt>
                <c:pt idx="42">
                  <c:v>96.447632253884066</c:v>
                </c:pt>
                <c:pt idx="43">
                  <c:v>96.676939439402517</c:v>
                </c:pt>
                <c:pt idx="44">
                  <c:v>96.903216474210268</c:v>
                </c:pt>
                <c:pt idx="45">
                  <c:v>97.126559394876637</c:v>
                </c:pt>
                <c:pt idx="46">
                  <c:v>97.347061064490006</c:v>
                </c:pt>
                <c:pt idx="47">
                  <c:v>97.56481126304611</c:v>
                </c:pt>
                <c:pt idx="48">
                  <c:v>97.779896775401994</c:v>
                </c:pt>
                <c:pt idx="49">
                  <c:v>97.992401476860721</c:v>
                </c:pt>
                <c:pt idx="50">
                  <c:v>98.202406416450032</c:v>
                </c:pt>
                <c:pt idx="51">
                  <c:v>98.409989897956791</c:v>
                </c:pt>
                <c:pt idx="52">
                  <c:v>98.615227558776937</c:v>
                </c:pt>
                <c:pt idx="53">
                  <c:v>98.818192446639529</c:v>
                </c:pt>
                <c:pt idx="54">
                  <c:v>99.018955094261401</c:v>
                </c:pt>
                <c:pt idx="55">
                  <c:v>99.217583591987932</c:v>
                </c:pt>
                <c:pt idx="56">
                  <c:v>99.414143658473478</c:v>
                </c:pt>
                <c:pt idx="57">
                  <c:v>99.60869870945389</c:v>
                </c:pt>
                <c:pt idx="58">
                  <c:v>99.801309924661979</c:v>
                </c:pt>
                <c:pt idx="59">
                  <c:v>99.992036312935568</c:v>
                </c:pt>
                <c:pt idx="60">
                  <c:v>100.18093477556614</c:v>
                </c:pt>
                <c:pt idx="61">
                  <c:v>100.36806016793524</c:v>
                </c:pt>
                <c:pt idx="62">
                  <c:v>100.55346535948404</c:v>
                </c:pt>
                <c:pt idx="63">
                  <c:v>100.73720129206069</c:v>
                </c:pt>
                <c:pt idx="64">
                  <c:v>100.91931703668861</c:v>
                </c:pt>
                <c:pt idx="65">
                  <c:v>101.09985984879776</c:v>
                </c:pt>
                <c:pt idx="66">
                  <c:v>101.27887522195991</c:v>
                </c:pt>
                <c:pt idx="67">
                  <c:v>101.45640694016767</c:v>
                </c:pt>
                <c:pt idx="68">
                  <c:v>101.6324971286962</c:v>
                </c:pt>
                <c:pt idx="69">
                  <c:v>101.80718630358518</c:v>
                </c:pt>
                <c:pt idx="70">
                  <c:v>101.98051341977786</c:v>
                </c:pt>
                <c:pt idx="71">
                  <c:v>102.15251591795294</c:v>
                </c:pt>
                <c:pt idx="72">
                  <c:v>102.32322977008398</c:v>
                </c:pt>
                <c:pt idx="73">
                  <c:v>102.49268952376036</c:v>
                </c:pt>
                <c:pt idx="74">
                  <c:v>102.66092834530257</c:v>
                </c:pt>
                <c:pt idx="75">
                  <c:v>102.82797806170394</c:v>
                </c:pt>
                <c:pt idx="76">
                  <c:v>102.99386920143023</c:v>
                </c:pt>
                <c:pt idx="77">
                  <c:v>103.158631034107</c:v>
                </c:pt>
                <c:pt idx="78">
                  <c:v>103.32229160912489</c:v>
                </c:pt>
                <c:pt idx="79">
                  <c:v>103.48487779319107</c:v>
                </c:pt>
                <c:pt idx="80">
                  <c:v>103.64641530685529</c:v>
                </c:pt>
                <c:pt idx="81">
                  <c:v>103.80692876003742</c:v>
                </c:pt>
                <c:pt idx="82">
                  <c:v>103.96644168658334</c:v>
                </c:pt>
                <c:pt idx="83">
                  <c:v>104.1249765778747</c:v>
                </c:pt>
                <c:pt idx="84">
                  <c:v>104.28255491551802</c:v>
                </c:pt>
                <c:pt idx="85">
                  <c:v>104.43919720313717</c:v>
                </c:pt>
                <c:pt idx="86">
                  <c:v>104.59492299729349</c:v>
                </c:pt>
                <c:pt idx="87">
                  <c:v>104.74975093755643</c:v>
                </c:pt>
                <c:pt idx="88">
                  <c:v>104.90369877574729</c:v>
                </c:pt>
                <c:pt idx="89">
                  <c:v>105.05678340437819</c:v>
                </c:pt>
                <c:pt idx="90">
                  <c:v>105.20902088430749</c:v>
                </c:pt>
                <c:pt idx="91">
                  <c:v>105.36042647163248</c:v>
                </c:pt>
                <c:pt idx="92">
                  <c:v>105.51101464383964</c:v>
                </c:pt>
                <c:pt idx="93">
                  <c:v>105.6607991252322</c:v>
                </c:pt>
                <c:pt idx="94">
                  <c:v>105.80979291165406</c:v>
                </c:pt>
                <c:pt idx="95">
                  <c:v>105.95800829452891</c:v>
                </c:pt>
                <c:pt idx="96">
                  <c:v>106.10545688423267</c:v>
                </c:pt>
                <c:pt idx="97">
                  <c:v>106.25214963281682</c:v>
                </c:pt>
                <c:pt idx="98">
                  <c:v>106.39809685610014</c:v>
                </c:pt>
                <c:pt idx="99">
                  <c:v>106.54330825514523</c:v>
                </c:pt>
                <c:pt idx="100">
                  <c:v>106.68779293713662</c:v>
                </c:pt>
                <c:pt idx="101">
                  <c:v>106.83155943567583</c:v>
                </c:pt>
                <c:pt idx="102">
                  <c:v>106.97461573050933</c:v>
                </c:pt>
                <c:pt idx="103">
                  <c:v>107.11696926670416</c:v>
                </c:pt>
                <c:pt idx="104">
                  <c:v>107.25862697328594</c:v>
                </c:pt>
                <c:pt idx="105">
                  <c:v>107.39959528135364</c:v>
                </c:pt>
                <c:pt idx="106">
                  <c:v>107.53988014168483</c:v>
                </c:pt>
                <c:pt idx="107">
                  <c:v>107.67948704184512</c:v>
                </c:pt>
                <c:pt idx="108">
                  <c:v>107.81842102281483</c:v>
                </c:pt>
                <c:pt idx="109">
                  <c:v>107.95668669514575</c:v>
                </c:pt>
                <c:pt idx="110">
                  <c:v>108.09428825466048</c:v>
                </c:pt>
                <c:pt idx="111">
                  <c:v>108.23122949770651</c:v>
                </c:pt>
                <c:pt idx="112">
                  <c:v>108.36751383597678</c:v>
                </c:pt>
                <c:pt idx="113">
                  <c:v>108.5031443109084</c:v>
                </c:pt>
                <c:pt idx="114">
                  <c:v>108.63812360767055</c:v>
                </c:pt>
                <c:pt idx="115">
                  <c:v>108.77245406875272</c:v>
                </c:pt>
                <c:pt idx="116">
                  <c:v>108.90613770716357</c:v>
                </c:pt>
                <c:pt idx="117">
                  <c:v>109.03917621925109</c:v>
                </c:pt>
                <c:pt idx="118">
                  <c:v>109.17157099715402</c:v>
                </c:pt>
                <c:pt idx="119">
                  <c:v>109.30332314089422</c:v>
                </c:pt>
                <c:pt idx="120">
                  <c:v>109.4344334701197</c:v>
                </c:pt>
                <c:pt idx="121">
                  <c:v>109.56490253550753</c:v>
                </c:pt>
                <c:pt idx="122">
                  <c:v>109.6947306298357</c:v>
                </c:pt>
                <c:pt idx="123">
                  <c:v>109.82391779873274</c:v>
                </c:pt>
                <c:pt idx="124">
                  <c:v>109.95246385111363</c:v>
                </c:pt>
                <c:pt idx="125">
                  <c:v>110.08036836931055</c:v>
                </c:pt>
                <c:pt idx="126">
                  <c:v>110.20763071890626</c:v>
                </c:pt>
                <c:pt idx="127">
                  <c:v>110.33425005827841</c:v>
                </c:pt>
                <c:pt idx="128">
                  <c:v>110.46022534786223</c:v>
                </c:pt>
                <c:pt idx="129">
                  <c:v>110.58555535913916</c:v>
                </c:pt>
                <c:pt idx="130">
                  <c:v>110.71023868335888</c:v>
                </c:pt>
              </c:numCache>
            </c:numRef>
          </c:val>
        </c:ser>
        <c:ser>
          <c:idx val="5"/>
          <c:order val="4"/>
          <c:tx>
            <c:strRef>
              <c:f>mod.RK1!$S$1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mod.RK1!$F$2:$F$132</c:f>
              <c:numCache>
                <c:formatCode>General</c:formatCode>
                <c:ptCount val="131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</c:numCache>
            </c:numRef>
          </c:cat>
          <c:val>
            <c:numRef>
              <c:f>mod.RK1!$S$2:$S$132</c:f>
              <c:numCache>
                <c:formatCode>0.00</c:formatCode>
                <c:ptCount val="131"/>
                <c:pt idx="0">
                  <c:v>52.114148285917473</c:v>
                </c:pt>
                <c:pt idx="1">
                  <c:v>52.227582203278502</c:v>
                </c:pt>
                <c:pt idx="2">
                  <c:v>52.32957368809631</c:v>
                </c:pt>
                <c:pt idx="3">
                  <c:v>52.420650307233295</c:v>
                </c:pt>
                <c:pt idx="4">
                  <c:v>52.501320693656758</c:v>
                </c:pt>
                <c:pt idx="5">
                  <c:v>52.572075145625369</c:v>
                </c:pt>
                <c:pt idx="6">
                  <c:v>52.633386208087515</c:v>
                </c:pt>
                <c:pt idx="7">
                  <c:v>52.685709236802523</c:v>
                </c:pt>
                <c:pt idx="8">
                  <c:v>52.729482945681148</c:v>
                </c:pt>
                <c:pt idx="9">
                  <c:v>52.765129937827837</c:v>
                </c:pt>
                <c:pt idx="10">
                  <c:v>52.793057220753518</c:v>
                </c:pt>
                <c:pt idx="11">
                  <c:v>52.813656706214545</c:v>
                </c:pt>
                <c:pt idx="12">
                  <c:v>52.827305695120479</c:v>
                </c:pt>
                <c:pt idx="13">
                  <c:v>52.834367347940905</c:v>
                </c:pt>
                <c:pt idx="14">
                  <c:v>52.835191141029277</c:v>
                </c:pt>
                <c:pt idx="15">
                  <c:v>52.830113309270047</c:v>
                </c:pt>
                <c:pt idx="16">
                  <c:v>52.819457275443717</c:v>
                </c:pt>
                <c:pt idx="17">
                  <c:v>52.803534066693466</c:v>
                </c:pt>
                <c:pt idx="18">
                  <c:v>52.782642718465901</c:v>
                </c:pt>
                <c:pt idx="19">
                  <c:v>52.757070666288186</c:v>
                </c:pt>
                <c:pt idx="20">
                  <c:v>52.727094125733338</c:v>
                </c:pt>
                <c:pt idx="21">
                  <c:v>52.692978460915654</c:v>
                </c:pt>
                <c:pt idx="22">
                  <c:v>52.654978541848436</c:v>
                </c:pt>
                <c:pt idx="23">
                  <c:v>52.613339090986869</c:v>
                </c:pt>
                <c:pt idx="24">
                  <c:v>52.568295019269627</c:v>
                </c:pt>
                <c:pt idx="25">
                  <c:v>52.520071751964011</c:v>
                </c:pt>
                <c:pt idx="26">
                  <c:v>52.4688855446107</c:v>
                </c:pt>
                <c:pt idx="27">
                  <c:v>52.41494378935576</c:v>
                </c:pt>
                <c:pt idx="28">
                  <c:v>52.358445311949524</c:v>
                </c:pt>
                <c:pt idx="29">
                  <c:v>52.299580659683819</c:v>
                </c:pt>
                <c:pt idx="30">
                  <c:v>52.238532380531517</c:v>
                </c:pt>
                <c:pt idx="31">
                  <c:v>52.17547529374464</c:v>
                </c:pt>
                <c:pt idx="32">
                  <c:v>52.110576752160227</c:v>
                </c:pt>
                <c:pt idx="33">
                  <c:v>52.043996896455859</c:v>
                </c:pt>
                <c:pt idx="34">
                  <c:v>51.975888901589954</c:v>
                </c:pt>
                <c:pt idx="35">
                  <c:v>51.906399215655298</c:v>
                </c:pt>
                <c:pt idx="36">
                  <c:v>51.835667791367605</c:v>
                </c:pt>
                <c:pt idx="37">
                  <c:v>51.763828310404797</c:v>
                </c:pt>
                <c:pt idx="38">
                  <c:v>51.691008400806389</c:v>
                </c:pt>
                <c:pt idx="39">
                  <c:v>51.617329847636391</c:v>
                </c:pt>
                <c:pt idx="40">
                  <c:v>51.542908797107501</c:v>
                </c:pt>
                <c:pt idx="41">
                  <c:v>51.467855954358484</c:v>
                </c:pt>
                <c:pt idx="42">
                  <c:v>51.392276775071387</c:v>
                </c:pt>
                <c:pt idx="43">
                  <c:v>51.316271651109673</c:v>
                </c:pt>
                <c:pt idx="44">
                  <c:v>51.239936090353432</c:v>
                </c:pt>
                <c:pt idx="45">
                  <c:v>51.163360890902553</c:v>
                </c:pt>
                <c:pt idx="46">
                  <c:v>51.086632309814064</c:v>
                </c:pt>
                <c:pt idx="47">
                  <c:v>51.009832226534897</c:v>
                </c:pt>
                <c:pt idx="48">
                  <c:v>50.933038301186912</c:v>
                </c:pt>
                <c:pt idx="49">
                  <c:v>50.85632412785634</c:v>
                </c:pt>
                <c:pt idx="50">
                  <c:v>50.779759383035568</c:v>
                </c:pt>
                <c:pt idx="51">
                  <c:v>50.703409969360933</c:v>
                </c:pt>
                <c:pt idx="52">
                  <c:v>50.62733815478601</c:v>
                </c:pt>
                <c:pt idx="53">
                  <c:v>50.551602707325941</c:v>
                </c:pt>
                <c:pt idx="54">
                  <c:v>50.476259025504405</c:v>
                </c:pt>
                <c:pt idx="55">
                  <c:v>50.401359264631125</c:v>
                </c:pt>
                <c:pt idx="56">
                  <c:v>50.326952459034082</c:v>
                </c:pt>
                <c:pt idx="57">
                  <c:v>50.253084640366971</c:v>
                </c:pt>
                <c:pt idx="58">
                  <c:v>50.179798952109131</c:v>
                </c:pt>
                <c:pt idx="59">
                  <c:v>50.107135760371669</c:v>
                </c:pt>
                <c:pt idx="60">
                  <c:v>50.035132761120252</c:v>
                </c:pt>
                <c:pt idx="61">
                  <c:v>49.963825083921904</c:v>
                </c:pt>
                <c:pt idx="62">
                  <c:v>49.893245392319983</c:v>
                </c:pt>
                <c:pt idx="63">
                  <c:v>49.823423980938593</c:v>
                </c:pt>
                <c:pt idx="64">
                  <c:v>49.754388869414669</c:v>
                </c:pt>
                <c:pt idx="65">
                  <c:v>49.686165893253168</c:v>
                </c:pt>
                <c:pt idx="66">
                  <c:v>49.618778791698141</c:v>
                </c:pt>
                <c:pt idx="67">
                  <c:v>49.552249292709568</c:v>
                </c:pt>
                <c:pt idx="68">
                  <c:v>49.486597195133463</c:v>
                </c:pt>
                <c:pt idx="69">
                  <c:v>49.421840448150043</c:v>
                </c:pt>
                <c:pt idx="70">
                  <c:v>49.357995228082466</c:v>
                </c:pt>
                <c:pt idx="71">
                  <c:v>49.295076012646035</c:v>
                </c:pt>
                <c:pt idx="72">
                  <c:v>49.23309565271569</c:v>
                </c:pt>
                <c:pt idx="73">
                  <c:v>49.172065441687181</c:v>
                </c:pt>
                <c:pt idx="74">
                  <c:v>49.111995182505154</c:v>
                </c:pt>
                <c:pt idx="75">
                  <c:v>49.052893252429342</c:v>
                </c:pt>
                <c:pt idx="76">
                  <c:v>48.994766665607855</c:v>
                </c:pt>
                <c:pt idx="77">
                  <c:v>48.937621133524658</c:v>
                </c:pt>
                <c:pt idx="78">
                  <c:v>48.881461123386295</c:v>
                </c:pt>
                <c:pt idx="79">
                  <c:v>48.826289914511122</c:v>
                </c:pt>
                <c:pt idx="80">
                  <c:v>48.772109652782305</c:v>
                </c:pt>
                <c:pt idx="81">
                  <c:v>48.718921403224229</c:v>
                </c:pt>
                <c:pt idx="82">
                  <c:v>48.666725200760112</c:v>
                </c:pt>
                <c:pt idx="83">
                  <c:v>48.61552009920694</c:v>
                </c:pt>
                <c:pt idx="84">
                  <c:v>48.56530421856224</c:v>
                </c:pt>
                <c:pt idx="85">
                  <c:v>48.516074790635564</c:v>
                </c:pt>
                <c:pt idx="86">
                  <c:v>48.467828203076031</c:v>
                </c:pt>
                <c:pt idx="87">
                  <c:v>48.420560041845789</c:v>
                </c:pt>
                <c:pt idx="88">
                  <c:v>48.374265132187723</c:v>
                </c:pt>
                <c:pt idx="89">
                  <c:v>48.328937578134422</c:v>
                </c:pt>
                <c:pt idx="90">
                  <c:v>48.28457080060393</c:v>
                </c:pt>
                <c:pt idx="91">
                  <c:v>48.241157574126539</c:v>
                </c:pt>
                <c:pt idx="92">
                  <c:v>48.198690062245532</c:v>
                </c:pt>
                <c:pt idx="93">
                  <c:v>48.15715985163358</c:v>
                </c:pt>
                <c:pt idx="94">
                  <c:v>48.116557984965162</c:v>
                </c:pt>
                <c:pt idx="95">
                  <c:v>48.076874992584322</c:v>
                </c:pt>
                <c:pt idx="96">
                  <c:v>48.038100923005757</c:v>
                </c:pt>
                <c:pt idx="97">
                  <c:v>48.000225372286295</c:v>
                </c:pt>
                <c:pt idx="98">
                  <c:v>47.963237512302513</c:v>
                </c:pt>
                <c:pt idx="99">
                  <c:v>47.927126117969372</c:v>
                </c:pt>
                <c:pt idx="100">
                  <c:v>47.891879593433558</c:v>
                </c:pt>
                <c:pt idx="101">
                  <c:v>47.857485997274381</c:v>
                </c:pt>
                <c:pt idx="102">
                  <c:v>47.823933066743912</c:v>
                </c:pt>
                <c:pt idx="103">
                  <c:v>47.791208241077278</c:v>
                </c:pt>
                <c:pt idx="104">
                  <c:v>47.759298683902983</c:v>
                </c:pt>
                <c:pt idx="105">
                  <c:v>47.728191304782328</c:v>
                </c:pt>
                <c:pt idx="106">
                  <c:v>47.697872779906021</c:v>
                </c:pt>
                <c:pt idx="107">
                  <c:v>47.668329571975391</c:v>
                </c:pt>
                <c:pt idx="108">
                  <c:v>47.639547949294581</c:v>
                </c:pt>
                <c:pt idx="109">
                  <c:v>47.611514004099575</c:v>
                </c:pt>
                <c:pt idx="110">
                  <c:v>47.584213670148827</c:v>
                </c:pt>
                <c:pt idx="111">
                  <c:v>47.557632739599832</c:v>
                </c:pt>
                <c:pt idx="112">
                  <c:v>47.531756879194994</c:v>
                </c:pt>
                <c:pt idx="113">
                  <c:v>47.506571645779566</c:v>
                </c:pt>
                <c:pt idx="114">
                  <c:v>47.48206250117375</c:v>
                </c:pt>
                <c:pt idx="115">
                  <c:v>47.458214826420345</c:v>
                </c:pt>
                <c:pt idx="116">
                  <c:v>47.435013935428671</c:v>
                </c:pt>
                <c:pt idx="117">
                  <c:v>47.412445088034922</c:v>
                </c:pt>
                <c:pt idx="118">
                  <c:v>47.390493502498444</c:v>
                </c:pt>
                <c:pt idx="119">
                  <c:v>47.369144367452876</c:v>
                </c:pt>
                <c:pt idx="120">
                  <c:v>47.348382853330484</c:v>
                </c:pt>
                <c:pt idx="121">
                  <c:v>47.32819412327747</c:v>
                </c:pt>
                <c:pt idx="122">
                  <c:v>47.308563343577532</c:v>
                </c:pt>
                <c:pt idx="123">
                  <c:v>47.289475693600352</c:v>
                </c:pt>
                <c:pt idx="124">
                  <c:v>47.270916375291257</c:v>
                </c:pt>
                <c:pt idx="125">
                  <c:v>47.252870622217742</c:v>
                </c:pt>
                <c:pt idx="126">
                  <c:v>47.235323708188091</c:v>
                </c:pt>
                <c:pt idx="127">
                  <c:v>47.21826095545687</c:v>
                </c:pt>
                <c:pt idx="128">
                  <c:v>47.201667742531555</c:v>
                </c:pt>
                <c:pt idx="129">
                  <c:v>47.18552951159424</c:v>
                </c:pt>
                <c:pt idx="130">
                  <c:v>47.169831775551778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326720"/>
        <c:axId val="173328256"/>
      </c:areaChart>
      <c:catAx>
        <c:axId val="173326720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73328256"/>
        <c:crosses val="autoZero"/>
        <c:auto val="1"/>
        <c:lblAlgn val="ctr"/>
        <c:lblOffset val="100"/>
        <c:noMultiLvlLbl val="0"/>
      </c:catAx>
      <c:valAx>
        <c:axId val="173328256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332672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7.7985902093137882E-2"/>
          <c:y val="2.5777857997809028E-2"/>
          <c:w val="0.88623847647295129"/>
          <c:h val="0.82203021382078423"/>
        </c:manualLayout>
      </c:layout>
      <c:areaChart>
        <c:grouping val="percentStacked"/>
        <c:varyColors val="0"/>
        <c:ser>
          <c:idx val="1"/>
          <c:order val="0"/>
          <c:tx>
            <c:strRef>
              <c:f>mod.math.!$U$1</c:f>
              <c:strCache>
                <c:ptCount val="1"/>
                <c:pt idx="0">
                  <c:v>N(Pu239)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mod.math.!$U$2:$U$136</c:f>
              <c:numCache>
                <c:formatCode>0.00</c:formatCode>
                <c:ptCount val="135"/>
                <c:pt idx="0">
                  <c:v>3461.582080376133</c:v>
                </c:pt>
                <c:pt idx="1">
                  <c:v>3456.2578200755306</c:v>
                </c:pt>
                <c:pt idx="2">
                  <c:v>3450.8815096753633</c:v>
                </c:pt>
                <c:pt idx="3">
                  <c:v>3445.4544850796105</c:v>
                </c:pt>
                <c:pt idx="4">
                  <c:v>3439.978056832434</c:v>
                </c:pt>
                <c:pt idx="5">
                  <c:v>3434.4535105825639</c:v>
                </c:pt>
                <c:pt idx="6">
                  <c:v>3428.8821075392261</c:v>
                </c:pt>
                <c:pt idx="7">
                  <c:v>3423.2650849197771</c:v>
                </c:pt>
                <c:pt idx="8">
                  <c:v>3417.6036563891876</c:v>
                </c:pt>
                <c:pt idx="9">
                  <c:v>3411.8990124915317</c:v>
                </c:pt>
                <c:pt idx="10">
                  <c:v>3406.15232107362</c:v>
                </c:pt>
                <c:pt idx="11">
                  <c:v>3400.364727700919</c:v>
                </c:pt>
                <c:pt idx="12">
                  <c:v>3394.5373560659064</c:v>
                </c:pt>
                <c:pt idx="13">
                  <c:v>3388.6713083889854</c:v>
                </c:pt>
                <c:pt idx="14">
                  <c:v>3382.7676658121059</c:v>
                </c:pt>
                <c:pt idx="15">
                  <c:v>3376.8274887852176</c:v>
                </c:pt>
                <c:pt idx="16">
                  <c:v>3370.8518174456899</c:v>
                </c:pt>
                <c:pt idx="17">
                  <c:v>3364.84167199082</c:v>
                </c:pt>
                <c:pt idx="18">
                  <c:v>3358.7980530435625</c:v>
                </c:pt>
                <c:pt idx="19">
                  <c:v>3352.7219420115985</c:v>
                </c:pt>
                <c:pt idx="20">
                  <c:v>3346.6143014398667</c:v>
                </c:pt>
                <c:pt idx="21">
                  <c:v>3340.4760753566757</c:v>
                </c:pt>
                <c:pt idx="22">
                  <c:v>3334.3081896135132</c:v>
                </c:pt>
                <c:pt idx="23">
                  <c:v>3328.1115522186669</c:v>
                </c:pt>
                <c:pt idx="24">
                  <c:v>3321.8870536647723</c:v>
                </c:pt>
                <c:pt idx="25">
                  <c:v>3315.6355672503914</c:v>
                </c:pt>
                <c:pt idx="26">
                  <c:v>3309.3579493957373</c:v>
                </c:pt>
                <c:pt idx="27">
                  <c:v>3303.0550399526473</c:v>
                </c:pt>
                <c:pt idx="28">
                  <c:v>3296.7276625089098</c:v>
                </c:pt>
                <c:pt idx="29">
                  <c:v>3290.3766246870528</c:v>
                </c:pt>
                <c:pt idx="30">
                  <c:v>3284.0027184376786</c:v>
                </c:pt>
                <c:pt idx="31">
                  <c:v>3277.6067203274702</c:v>
                </c:pt>
                <c:pt idx="32">
                  <c:v>3271.1893918219348</c:v>
                </c:pt>
                <c:pt idx="33">
                  <c:v>3264.7514795630123</c:v>
                </c:pt>
                <c:pt idx="34">
                  <c:v>3258.2937156416119</c:v>
                </c:pt>
                <c:pt idx="35">
                  <c:v>3251.8168178651945</c:v>
                </c:pt>
                <c:pt idx="36">
                  <c:v>3245.3214900204707</c:v>
                </c:pt>
                <c:pt idx="37">
                  <c:v>3238.8084221313197</c:v>
                </c:pt>
                <c:pt idx="38">
                  <c:v>3232.2782907120045</c:v>
                </c:pt>
                <c:pt idx="39">
                  <c:v>3225.7317590157704</c:v>
                </c:pt>
                <c:pt idx="40">
                  <c:v>3219.1694772789215</c:v>
                </c:pt>
                <c:pt idx="41">
                  <c:v>3212.5920829604365</c:v>
                </c:pt>
                <c:pt idx="42">
                  <c:v>3206.0002009772334</c:v>
                </c:pt>
                <c:pt idx="43">
                  <c:v>3199.3944439351299</c:v>
                </c:pt>
                <c:pt idx="44">
                  <c:v>3192.7754123556051</c:v>
                </c:pt>
                <c:pt idx="45">
                  <c:v>3186.1436948984251</c:v>
                </c:pt>
                <c:pt idx="46">
                  <c:v>3179.4998685802066</c:v>
                </c:pt>
                <c:pt idx="47">
                  <c:v>3172.8444989890031</c:v>
                </c:pt>
                <c:pt idx="48">
                  <c:v>3166.1781404949738</c:v>
                </c:pt>
                <c:pt idx="49">
                  <c:v>3159.5013364572114</c:v>
                </c:pt>
                <c:pt idx="50">
                  <c:v>3152.8146194268033</c:v>
                </c:pt>
                <c:pt idx="51">
                  <c:v>3146.1185113461866</c:v>
                </c:pt>
                <c:pt idx="52">
                  <c:v>3139.41352374487</c:v>
                </c:pt>
                <c:pt idx="53">
                  <c:v>3132.7001579315847</c:v>
                </c:pt>
                <c:pt idx="54">
                  <c:v>3125.9789051829339</c:v>
                </c:pt>
                <c:pt idx="55">
                  <c:v>3119.2502469285987</c:v>
                </c:pt>
                <c:pt idx="56">
                  <c:v>3112.5146549331694</c:v>
                </c:pt>
                <c:pt idx="57">
                  <c:v>3105.7725914746602</c:v>
                </c:pt>
                <c:pt idx="58">
                  <c:v>3099.0245095197624</c:v>
                </c:pt>
                <c:pt idx="59">
                  <c:v>3092.2708528959088</c:v>
                </c:pt>
                <c:pt idx="60">
                  <c:v>3085.512056460193</c:v>
                </c:pt>
                <c:pt idx="61">
                  <c:v>3078.7485462652135</c:v>
                </c:pt>
                <c:pt idx="62">
                  <c:v>3071.9807397218819</c:v>
                </c:pt>
                <c:pt idx="63">
                  <c:v>3065.2090457592735</c:v>
                </c:pt>
                <c:pt idx="64">
                  <c:v>3058.43386498155</c:v>
                </c:pt>
                <c:pt idx="65">
                  <c:v>3051.6555898220263</c:v>
                </c:pt>
                <c:pt idx="66">
                  <c:v>3044.8746046944216</c:v>
                </c:pt>
                <c:pt idx="67">
                  <c:v>3038.0912861413522</c:v>
                </c:pt>
                <c:pt idx="68">
                  <c:v>3031.3060029801159</c:v>
                </c:pt>
                <c:pt idx="69">
                  <c:v>3024.5191164458083</c:v>
                </c:pt>
                <c:pt idx="70">
                  <c:v>3017.7309803318385</c:v>
                </c:pt>
                <c:pt idx="71">
                  <c:v>3010.94194112787</c:v>
                </c:pt>
                <c:pt idx="72">
                  <c:v>3004.1523381552443</c:v>
                </c:pt>
                <c:pt idx="73">
                  <c:v>2997.3625036999433</c:v>
                </c:pt>
                <c:pt idx="74">
                  <c:v>2990.572763143105</c:v>
                </c:pt>
                <c:pt idx="75">
                  <c:v>2983.7834350891767</c:v>
                </c:pt>
                <c:pt idx="76">
                  <c:v>2976.9948314917124</c:v>
                </c:pt>
                <c:pt idx="77">
                  <c:v>2970.2072577768804</c:v>
                </c:pt>
                <c:pt idx="78">
                  <c:v>2963.4210129647154</c:v>
                </c:pt>
                <c:pt idx="79">
                  <c:v>2956.6363897881547</c:v>
                </c:pt>
                <c:pt idx="80">
                  <c:v>2949.8536748098986</c:v>
                </c:pt>
                <c:pt idx="81">
                  <c:v>2943.0731485371398</c:v>
                </c:pt>
                <c:pt idx="82">
                  <c:v>2936.2950855341946</c:v>
                </c:pt>
                <c:pt idx="83">
                  <c:v>2929.5197545330789</c:v>
                </c:pt>
                <c:pt idx="84">
                  <c:v>2922.7474185420588</c:v>
                </c:pt>
                <c:pt idx="85">
                  <c:v>2915.9783349522263</c:v>
                </c:pt>
                <c:pt idx="86">
                  <c:v>2909.2127556421192</c:v>
                </c:pt>
                <c:pt idx="87">
                  <c:v>2902.4509270804333</c:v>
                </c:pt>
                <c:pt idx="88">
                  <c:v>2895.6930904268593</c:v>
                </c:pt>
                <c:pt idx="89">
                  <c:v>2888.9394816310728</c:v>
                </c:pt>
                <c:pt idx="90">
                  <c:v>2882.1903315299169</c:v>
                </c:pt>
                <c:pt idx="91">
                  <c:v>2875.4458659428092</c:v>
                </c:pt>
                <c:pt idx="92">
                  <c:v>2868.7063057654036</c:v>
                </c:pt>
                <c:pt idx="93">
                  <c:v>2861.9718670615398</c:v>
                </c:pt>
                <c:pt idx="94">
                  <c:v>2855.2427611535109</c:v>
                </c:pt>
                <c:pt idx="95">
                  <c:v>2848.5191947106841</c:v>
                </c:pt>
                <c:pt idx="96">
                  <c:v>2841.8013698364971</c:v>
                </c:pt>
                <c:pt idx="97">
                  <c:v>2835.0894841538634</c:v>
                </c:pt>
                <c:pt idx="98">
                  <c:v>2828.3837308890179</c:v>
                </c:pt>
                <c:pt idx="99">
                  <c:v>2821.6842989538295</c:v>
                </c:pt>
                <c:pt idx="100">
                  <c:v>2814.9913730266044</c:v>
                </c:pt>
                <c:pt idx="101">
                  <c:v>2808.3051336314134</c:v>
                </c:pt>
                <c:pt idx="102">
                  <c:v>2801.6257572159693</c:v>
                </c:pt>
                <c:pt idx="103">
                  <c:v>2794.9534162280765</c:v>
                </c:pt>
                <c:pt idx="104">
                  <c:v>2788.2882791906823</c:v>
                </c:pt>
                <c:pt idx="105">
                  <c:v>2781.6305107755602</c:v>
                </c:pt>
                <c:pt idx="106">
                  <c:v>2774.9802718756305</c:v>
                </c:pt>
                <c:pt idx="107">
                  <c:v>2768.337719675978</c:v>
                </c:pt>
                <c:pt idx="108">
                  <c:v>2761.7030077235499</c:v>
                </c:pt>
                <c:pt idx="109">
                  <c:v>2755.0762859955885</c:v>
                </c:pt>
                <c:pt idx="110">
                  <c:v>2748.4577009668124</c:v>
                </c:pt>
                <c:pt idx="111">
                  <c:v>2741.847395675356</c:v>
                </c:pt>
                <c:pt idx="112">
                  <c:v>2735.2455097875168</c:v>
                </c:pt>
                <c:pt idx="113">
                  <c:v>2728.6521796613065</c:v>
                </c:pt>
                <c:pt idx="114">
                  <c:v>2722.0675384088399</c:v>
                </c:pt>
                <c:pt idx="115">
                  <c:v>2715.4917159575839</c:v>
                </c:pt>
                <c:pt idx="116">
                  <c:v>2708.9248391104825</c:v>
                </c:pt>
                <c:pt idx="117">
                  <c:v>2702.3670316049788</c:v>
                </c:pt>
                <c:pt idx="118">
                  <c:v>2695.8184141709598</c:v>
                </c:pt>
                <c:pt idx="119">
                  <c:v>2689.2791045876343</c:v>
                </c:pt>
                <c:pt idx="120">
                  <c:v>2682.749217739371</c:v>
                </c:pt>
                <c:pt idx="121">
                  <c:v>2676.2288656705164</c:v>
                </c:pt>
                <c:pt idx="122">
                  <c:v>2669.7181576391977</c:v>
                </c:pt>
                <c:pt idx="123">
                  <c:v>2663.217200170152</c:v>
                </c:pt>
                <c:pt idx="124">
                  <c:v>2656.7260971065771</c:v>
                </c:pt>
                <c:pt idx="125">
                  <c:v>2650.2449496610393</c:v>
                </c:pt>
                <c:pt idx="126">
                  <c:v>2643.7738564654378</c:v>
                </c:pt>
                <c:pt idx="127">
                  <c:v>2637.3129136200623</c:v>
                </c:pt>
                <c:pt idx="128">
                  <c:v>2630.8622147417464</c:v>
                </c:pt>
                <c:pt idx="129">
                  <c:v>2624.4218510111355</c:v>
                </c:pt>
                <c:pt idx="130">
                  <c:v>2617.9919112190942</c:v>
                </c:pt>
                <c:pt idx="131">
                  <c:v>2611.5724818122521</c:v>
                </c:pt>
                <c:pt idx="132">
                  <c:v>2605.1636469377254</c:v>
                </c:pt>
                <c:pt idx="133">
                  <c:v>2598.7654884870058</c:v>
                </c:pt>
                <c:pt idx="134">
                  <c:v>2592.3780861390537</c:v>
                </c:pt>
              </c:numCache>
            </c:numRef>
          </c:val>
        </c:ser>
        <c:ser>
          <c:idx val="2"/>
          <c:order val="1"/>
          <c:tx>
            <c:strRef>
              <c:f>mod.math.!$V$1</c:f>
              <c:strCache>
                <c:ptCount val="1"/>
                <c:pt idx="0">
                  <c:v>N(Pu240)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mod.math.!$V$2:$V$136</c:f>
              <c:numCache>
                <c:formatCode>0.00</c:formatCode>
                <c:ptCount val="135"/>
                <c:pt idx="0">
                  <c:v>1154.5288235649405</c:v>
                </c:pt>
                <c:pt idx="1">
                  <c:v>1159.3325357283957</c:v>
                </c:pt>
                <c:pt idx="2">
                  <c:v>1164.0818898804214</c:v>
                </c:pt>
                <c:pt idx="3">
                  <c:v>1168.7770796442351</c:v>
                </c:pt>
                <c:pt idx="4">
                  <c:v>1173.4183022469758</c:v>
                </c:pt>
                <c:pt idx="5">
                  <c:v>1178.0057583994196</c:v>
                </c:pt>
                <c:pt idx="6">
                  <c:v>1182.5396521782793</c:v>
                </c:pt>
                <c:pt idx="7">
                  <c:v>1187.0201909110476</c:v>
                </c:pt>
                <c:pt idx="8">
                  <c:v>1191.4475850633282</c:v>
                </c:pt>
                <c:pt idx="9">
                  <c:v>1195.8220481286114</c:v>
                </c:pt>
                <c:pt idx="10">
                  <c:v>1200.1437965204427</c:v>
                </c:pt>
                <c:pt idx="11">
                  <c:v>1204.4130494669409</c:v>
                </c:pt>
                <c:pt idx="12">
                  <c:v>1208.6300289076191</c:v>
                </c:pt>
                <c:pt idx="13">
                  <c:v>1212.7949593924657</c:v>
                </c:pt>
                <c:pt idx="14">
                  <c:v>1216.9080679832359</c:v>
                </c:pt>
                <c:pt idx="15">
                  <c:v>1220.9695841569214</c:v>
                </c:pt>
                <c:pt idx="16">
                  <c:v>1224.9797397113418</c:v>
                </c:pt>
                <c:pt idx="17">
                  <c:v>1228.9387686728323</c:v>
                </c:pt>
                <c:pt idx="18">
                  <c:v>1232.8469072059718</c:v>
                </c:pt>
                <c:pt idx="19">
                  <c:v>1236.7043935253218</c:v>
                </c:pt>
                <c:pt idx="20">
                  <c:v>1240.5114678091343</c:v>
                </c:pt>
                <c:pt idx="21">
                  <c:v>1244.2683721149872</c:v>
                </c:pt>
                <c:pt idx="22">
                  <c:v>1247.9753502973149</c:v>
                </c:pt>
                <c:pt idx="23">
                  <c:v>1251.6326479267907</c:v>
                </c:pt>
                <c:pt idx="24">
                  <c:v>1255.2405122115317</c:v>
                </c:pt>
                <c:pt idx="25">
                  <c:v>1258.7991919200854</c:v>
                </c:pt>
                <c:pt idx="26">
                  <c:v>1262.3089373061619</c:v>
                </c:pt>
                <c:pt idx="27">
                  <c:v>1265.7700000350883</c:v>
                </c:pt>
                <c:pt idx="28">
                  <c:v>1269.1826331119319</c:v>
                </c:pt>
                <c:pt idx="29">
                  <c:v>1272.5470908112829</c:v>
                </c:pt>
                <c:pt idx="30">
                  <c:v>1275.8636286086419</c:v>
                </c:pt>
                <c:pt idx="31">
                  <c:v>1279.1325031133968</c:v>
                </c:pt>
                <c:pt idx="32">
                  <c:v>1282.3539720033489</c:v>
                </c:pt>
                <c:pt idx="33">
                  <c:v>1285.5282939607637</c:v>
                </c:pt>
                <c:pt idx="34">
                  <c:v>1288.6557286099055</c:v>
                </c:pt>
                <c:pt idx="35">
                  <c:v>1291.7365364560428</c:v>
                </c:pt>
                <c:pt idx="36">
                  <c:v>1294.7709788258819</c:v>
                </c:pt>
                <c:pt idx="37">
                  <c:v>1297.7593178094023</c:v>
                </c:pt>
                <c:pt idx="38">
                  <c:v>1300.7018162030765</c:v>
                </c:pt>
                <c:pt idx="39">
                  <c:v>1303.5987374544293</c:v>
                </c:pt>
                <c:pt idx="40">
                  <c:v>1306.4503456079285</c:v>
                </c:pt>
                <c:pt idx="41">
                  <c:v>1309.256905252166</c:v>
                </c:pt>
                <c:pt idx="42">
                  <c:v>1312.0186814683095</c:v>
                </c:pt>
                <c:pt idx="43">
                  <c:v>1314.7359397798043</c:v>
                </c:pt>
                <c:pt idx="44">
                  <c:v>1317.4089461032859</c:v>
                </c:pt>
                <c:pt idx="45">
                  <c:v>1320.0379667006994</c:v>
                </c:pt>
                <c:pt idx="46">
                  <c:v>1322.6232681325794</c:v>
                </c:pt>
                <c:pt idx="47">
                  <c:v>1325.1651172124873</c:v>
                </c:pt>
                <c:pt idx="48">
                  <c:v>1327.6637809625688</c:v>
                </c:pt>
                <c:pt idx="49">
                  <c:v>1330.1195265702156</c:v>
                </c:pt>
                <c:pt idx="50">
                  <c:v>1332.5326213458056</c:v>
                </c:pt>
                <c:pt idx="51">
                  <c:v>1334.9033326815043</c:v>
                </c:pt>
                <c:pt idx="52">
                  <c:v>1337.231928011103</c:v>
                </c:pt>
                <c:pt idx="53">
                  <c:v>1339.518674770871</c:v>
                </c:pt>
                <c:pt idx="54">
                  <c:v>1341.763840361408</c:v>
                </c:pt>
                <c:pt idx="55">
                  <c:v>1343.9676921104654</c:v>
                </c:pt>
                <c:pt idx="56">
                  <c:v>1346.1304972367298</c:v>
                </c:pt>
                <c:pt idx="57">
                  <c:v>1348.2525228145412</c:v>
                </c:pt>
                <c:pt idx="58">
                  <c:v>1350.3340357395261</c:v>
                </c:pt>
                <c:pt idx="59">
                  <c:v>1352.3753026951299</c:v>
                </c:pt>
                <c:pt idx="60">
                  <c:v>1354.3765901200341</c:v>
                </c:pt>
                <c:pt idx="61">
                  <c:v>1356.3381641764306</c:v>
                </c:pt>
                <c:pt idx="62">
                  <c:v>1358.2602907191408</c:v>
                </c:pt>
                <c:pt idx="63">
                  <c:v>1360.143235265567</c:v>
                </c:pt>
                <c:pt idx="64">
                  <c:v>1361.9872629664494</c:v>
                </c:pt>
                <c:pt idx="65">
                  <c:v>1363.7926385774181</c:v>
                </c:pt>
                <c:pt idx="66">
                  <c:v>1365.5596264313253</c:v>
                </c:pt>
                <c:pt idx="67">
                  <c:v>1367.2884904113339</c:v>
                </c:pt>
                <c:pt idx="68">
                  <c:v>1368.979493924757</c:v>
                </c:pt>
                <c:pt idx="69">
                  <c:v>1370.6328998776223</c:v>
                </c:pt>
                <c:pt idx="70">
                  <c:v>1372.248970649958</c:v>
                </c:pt>
                <c:pt idx="71">
                  <c:v>1373.8279680717746</c:v>
                </c:pt>
                <c:pt idx="72">
                  <c:v>1375.3701533997298</c:v>
                </c:pt>
                <c:pt idx="73">
                  <c:v>1376.8757872944745</c:v>
                </c:pt>
                <c:pt idx="74">
                  <c:v>1378.3451297986455</c:v>
                </c:pt>
                <c:pt idx="75">
                  <c:v>1379.7784403155092</c:v>
                </c:pt>
                <c:pt idx="76">
                  <c:v>1381.1759775882315</c:v>
                </c:pt>
                <c:pt idx="77">
                  <c:v>1382.5379996797683</c:v>
                </c:pt>
                <c:pt idx="78">
                  <c:v>1383.8647639533556</c:v>
                </c:pt>
                <c:pt idx="79">
                  <c:v>1385.1565270535943</c:v>
                </c:pt>
                <c:pt idx="80">
                  <c:v>1386.4135448881143</c:v>
                </c:pt>
                <c:pt idx="81">
                  <c:v>1387.636072609801</c:v>
                </c:pt>
                <c:pt idx="82">
                  <c:v>1388.8243645995824</c:v>
                </c:pt>
                <c:pt idx="83">
                  <c:v>1389.9786744497528</c:v>
                </c:pt>
                <c:pt idx="84">
                  <c:v>1391.099254947834</c:v>
                </c:pt>
                <c:pt idx="85">
                  <c:v>1392.1863580609518</c:v>
                </c:pt>
                <c:pt idx="86">
                  <c:v>1393.2402349207225</c:v>
                </c:pt>
                <c:pt idx="87">
                  <c:v>1394.2611358086394</c:v>
                </c:pt>
                <c:pt idx="88">
                  <c:v>1395.2493101419439</c:v>
                </c:pt>
                <c:pt idx="89">
                  <c:v>1396.2050064599769</c:v>
                </c:pt>
                <c:pt idx="90">
                  <c:v>1397.128472410991</c:v>
                </c:pt>
                <c:pt idx="91">
                  <c:v>1398.0199547394261</c:v>
                </c:pt>
                <c:pt idx="92">
                  <c:v>1398.8796992736266</c:v>
                </c:pt>
                <c:pt idx="93">
                  <c:v>1399.7079509139978</c:v>
                </c:pt>
                <c:pt idx="94">
                  <c:v>1400.5049536215893</c:v>
                </c:pt>
                <c:pt idx="95">
                  <c:v>1401.2709504070956</c:v>
                </c:pt>
                <c:pt idx="96">
                  <c:v>1402.0061833202678</c:v>
                </c:pt>
                <c:pt idx="97">
                  <c:v>1402.7108934397229</c:v>
                </c:pt>
                <c:pt idx="98">
                  <c:v>1403.3853208631458</c:v>
                </c:pt>
                <c:pt idx="99">
                  <c:v>1404.0297046978746</c:v>
                </c:pt>
                <c:pt idx="100">
                  <c:v>1404.6442830518567</c:v>
                </c:pt>
                <c:pt idx="101">
                  <c:v>1405.2292930249746</c:v>
                </c:pt>
                <c:pt idx="102">
                  <c:v>1405.7849707007285</c:v>
                </c:pt>
                <c:pt idx="103">
                  <c:v>1406.311551138268</c:v>
                </c:pt>
                <c:pt idx="104">
                  <c:v>1406.8092683647633</c:v>
                </c:pt>
                <c:pt idx="105">
                  <c:v>1407.2783553681197</c:v>
                </c:pt>
                <c:pt idx="106">
                  <c:v>1407.7190440900038</c:v>
                </c:pt>
                <c:pt idx="107">
                  <c:v>1408.1315654192076</c:v>
                </c:pt>
                <c:pt idx="108">
                  <c:v>1408.5161491853078</c:v>
                </c:pt>
                <c:pt idx="109">
                  <c:v>1408.8730241526414</c:v>
                </c:pt>
                <c:pt idx="110">
                  <c:v>1409.2024180145754</c:v>
                </c:pt>
                <c:pt idx="111">
                  <c:v>1409.5045573880686</c:v>
                </c:pt>
                <c:pt idx="112">
                  <c:v>1409.7796678085174</c:v>
                </c:pt>
                <c:pt idx="113">
                  <c:v>1410.0279737248825</c:v>
                </c:pt>
                <c:pt idx="114">
                  <c:v>1410.2496984950812</c:v>
                </c:pt>
                <c:pt idx="115">
                  <c:v>1410.4450643816558</c:v>
                </c:pt>
                <c:pt idx="116">
                  <c:v>1410.6142925476893</c:v>
                </c:pt>
                <c:pt idx="117">
                  <c:v>1410.7576030529842</c:v>
                </c:pt>
                <c:pt idx="118">
                  <c:v>1410.8752148504839</c:v>
                </c:pt>
                <c:pt idx="119">
                  <c:v>1410.9673457829358</c:v>
                </c:pt>
                <c:pt idx="120">
                  <c:v>1411.0342125797927</c:v>
                </c:pt>
                <c:pt idx="121">
                  <c:v>1411.0760308543427</c:v>
                </c:pt>
                <c:pt idx="122">
                  <c:v>1411.0930151010657</c:v>
                </c:pt>
                <c:pt idx="123">
                  <c:v>1411.0853786932062</c:v>
                </c:pt>
                <c:pt idx="124">
                  <c:v>1411.0533338805635</c:v>
                </c:pt>
                <c:pt idx="125">
                  <c:v>1410.9970917874944</c:v>
                </c:pt>
                <c:pt idx="126">
                  <c:v>1410.9168624111094</c:v>
                </c:pt>
                <c:pt idx="127">
                  <c:v>1410.8128546196785</c:v>
                </c:pt>
                <c:pt idx="128">
                  <c:v>1410.6852761512284</c:v>
                </c:pt>
                <c:pt idx="129">
                  <c:v>1410.5343336123265</c:v>
                </c:pt>
                <c:pt idx="130">
                  <c:v>1410.3602324770529</c:v>
                </c:pt>
                <c:pt idx="131">
                  <c:v>1410.1631770861522</c:v>
                </c:pt>
                <c:pt idx="132">
                  <c:v>1409.9433706463622</c:v>
                </c:pt>
                <c:pt idx="133">
                  <c:v>1409.7010152299099</c:v>
                </c:pt>
                <c:pt idx="134">
                  <c:v>1409.4363117741811</c:v>
                </c:pt>
              </c:numCache>
            </c:numRef>
          </c:val>
        </c:ser>
        <c:ser>
          <c:idx val="3"/>
          <c:order val="2"/>
          <c:tx>
            <c:strRef>
              <c:f>mod.math.!$W$1</c:f>
              <c:strCache>
                <c:ptCount val="1"/>
                <c:pt idx="0">
                  <c:v>N(Pu241)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mod.math.!$W$2:$W$136</c:f>
              <c:numCache>
                <c:formatCode>0.00</c:formatCode>
                <c:ptCount val="135"/>
                <c:pt idx="0">
                  <c:v>241.52903340204068</c:v>
                </c:pt>
                <c:pt idx="1">
                  <c:v>239.19737987234839</c:v>
                </c:pt>
                <c:pt idx="2">
                  <c:v>236.94721362752381</c:v>
                </c:pt>
                <c:pt idx="3">
                  <c:v>234.77610355420589</c:v>
                </c:pt>
                <c:pt idx="4">
                  <c:v>232.6816858046675</c:v>
                </c:pt>
                <c:pt idx="5">
                  <c:v>230.66166196877316</c:v>
                </c:pt>
                <c:pt idx="6">
                  <c:v>228.7137972955336</c:v>
                </c:pt>
                <c:pt idx="7">
                  <c:v>226.83591896290719</c:v>
                </c:pt>
                <c:pt idx="8">
                  <c:v>225.02591439453829</c:v>
                </c:pt>
                <c:pt idx="9">
                  <c:v>223.28172962215604</c:v>
                </c:pt>
                <c:pt idx="10">
                  <c:v>221.60136769239398</c:v>
                </c:pt>
                <c:pt idx="11">
                  <c:v>219.98288711682176</c:v>
                </c:pt>
                <c:pt idx="12">
                  <c:v>218.42440036401626</c:v>
                </c:pt>
                <c:pt idx="13">
                  <c:v>216.92407239252853</c:v>
                </c:pt>
                <c:pt idx="14">
                  <c:v>215.48011922363727</c:v>
                </c:pt>
                <c:pt idx="15">
                  <c:v>214.09080655280562</c:v>
                </c:pt>
                <c:pt idx="16">
                  <c:v>212.75444839879219</c:v>
                </c:pt>
                <c:pt idx="17">
                  <c:v>211.46940578939135</c:v>
                </c:pt>
                <c:pt idx="18">
                  <c:v>210.23408548281009</c:v>
                </c:pt>
                <c:pt idx="19">
                  <c:v>209.04693872371087</c:v>
                </c:pt>
                <c:pt idx="20">
                  <c:v>207.90646003298161</c:v>
                </c:pt>
                <c:pt idx="21">
                  <c:v>206.81118603031507</c:v>
                </c:pt>
                <c:pt idx="22">
                  <c:v>205.75969428870749</c:v>
                </c:pt>
                <c:pt idx="23">
                  <c:v>204.75060222000931</c:v>
                </c:pt>
                <c:pt idx="24">
                  <c:v>203.78256599068479</c:v>
                </c:pt>
                <c:pt idx="25">
                  <c:v>202.85427946696151</c:v>
                </c:pt>
                <c:pt idx="26">
                  <c:v>201.96447318856971</c:v>
                </c:pt>
                <c:pt idx="27">
                  <c:v>201.11191337029751</c:v>
                </c:pt>
                <c:pt idx="28">
                  <c:v>200.29540093060504</c:v>
                </c:pt>
                <c:pt idx="29">
                  <c:v>199.51377054656501</c:v>
                </c:pt>
                <c:pt idx="30">
                  <c:v>198.76588973441244</c:v>
                </c:pt>
                <c:pt idx="31">
                  <c:v>198.05065795501218</c:v>
                </c:pt>
                <c:pt idx="32">
                  <c:v>197.36700574356425</c:v>
                </c:pt>
                <c:pt idx="33">
                  <c:v>196.7138938628915</c:v>
                </c:pt>
                <c:pt idx="34">
                  <c:v>196.09031247966925</c:v>
                </c:pt>
                <c:pt idx="35">
                  <c:v>195.49528036297426</c:v>
                </c:pt>
                <c:pt idx="36">
                  <c:v>194.92784410454743</c:v>
                </c:pt>
                <c:pt idx="37">
                  <c:v>194.38707736018091</c:v>
                </c:pt>
                <c:pt idx="38">
                  <c:v>193.87208011165768</c:v>
                </c:pt>
                <c:pt idx="39">
                  <c:v>193.38197794868444</c:v>
                </c:pt>
                <c:pt idx="40">
                  <c:v>192.91592137027669</c:v>
                </c:pt>
                <c:pt idx="41">
                  <c:v>192.47308510506826</c:v>
                </c:pt>
                <c:pt idx="42">
                  <c:v>192.05266745003124</c:v>
                </c:pt>
                <c:pt idx="43">
                  <c:v>191.6538896271087</c:v>
                </c:pt>
                <c:pt idx="44">
                  <c:v>191.27599515727232</c:v>
                </c:pt>
                <c:pt idx="45">
                  <c:v>190.91824925153429</c:v>
                </c:pt>
                <c:pt idx="46">
                  <c:v>190.57993821845264</c:v>
                </c:pt>
                <c:pt idx="47">
                  <c:v>190.26036888768354</c:v>
                </c:pt>
                <c:pt idx="48">
                  <c:v>189.95886804914534</c:v>
                </c:pt>
                <c:pt idx="49">
                  <c:v>189.67478190737069</c:v>
                </c:pt>
                <c:pt idx="50">
                  <c:v>189.40747555063587</c:v>
                </c:pt>
                <c:pt idx="51">
                  <c:v>189.15633243446635</c:v>
                </c:pt>
                <c:pt idx="52">
                  <c:v>188.92075387912854</c:v>
                </c:pt>
                <c:pt idx="53">
                  <c:v>188.70015858073009</c:v>
                </c:pt>
                <c:pt idx="54">
                  <c:v>188.49398213555818</c:v>
                </c:pt>
                <c:pt idx="55">
                  <c:v>188.30167657729854</c:v>
                </c:pt>
                <c:pt idx="56">
                  <c:v>188.12270992678521</c:v>
                </c:pt>
                <c:pt idx="57">
                  <c:v>187.95656575394295</c:v>
                </c:pt>
                <c:pt idx="58">
                  <c:v>187.80274275158962</c:v>
                </c:pt>
                <c:pt idx="59">
                  <c:v>187.66075432077994</c:v>
                </c:pt>
                <c:pt idx="60">
                  <c:v>187.53012816737632</c:v>
                </c:pt>
                <c:pt idx="61">
                  <c:v>187.4104059095431</c:v>
                </c:pt>
                <c:pt idx="62">
                  <c:v>187.30114269586835</c:v>
                </c:pt>
                <c:pt idx="63">
                  <c:v>187.201906833826</c:v>
                </c:pt>
                <c:pt idx="64">
                  <c:v>187.112279428297</c:v>
                </c:pt>
                <c:pt idx="65">
                  <c:v>187.03185402987867</c:v>
                </c:pt>
                <c:pt idx="66">
                  <c:v>186.96023629271616</c:v>
                </c:pt>
                <c:pt idx="67">
                  <c:v>186.89704364159846</c:v>
                </c:pt>
                <c:pt idx="68">
                  <c:v>186.84190494806882</c:v>
                </c:pt>
                <c:pt idx="69">
                  <c:v>186.79446021530433</c:v>
                </c:pt>
                <c:pt idx="70">
                  <c:v>186.75436027152841</c:v>
                </c:pt>
                <c:pt idx="71">
                  <c:v>186.72126647172539</c:v>
                </c:pt>
                <c:pt idx="72">
                  <c:v>186.69485040743029</c:v>
                </c:pt>
                <c:pt idx="73">
                  <c:v>186.67479362437948</c:v>
                </c:pt>
                <c:pt idx="74">
                  <c:v>186.66078734780447</c:v>
                </c:pt>
                <c:pt idx="75">
                  <c:v>186.65253221516684</c:v>
                </c:pt>
                <c:pt idx="76">
                  <c:v>186.64973801612885</c:v>
                </c:pt>
                <c:pt idx="77">
                  <c:v>186.65212343956716</c:v>
                </c:pt>
                <c:pt idx="78">
                  <c:v>186.65941582743716</c:v>
                </c:pt>
                <c:pt idx="79">
                  <c:v>186.67135093530376</c:v>
                </c:pt>
                <c:pt idx="80">
                  <c:v>186.68767269935748</c:v>
                </c:pt>
                <c:pt idx="81">
                  <c:v>186.70813300974092</c:v>
                </c:pt>
                <c:pt idx="82">
                  <c:v>186.73249149001529</c:v>
                </c:pt>
                <c:pt idx="83">
                  <c:v>186.7605152826001</c:v>
                </c:pt>
                <c:pt idx="84">
                  <c:v>186.79197884002465</c:v>
                </c:pt>
                <c:pt idx="85">
                  <c:v>186.8266637218361</c:v>
                </c:pt>
                <c:pt idx="86">
                  <c:v>186.86435839700704</c:v>
                </c:pt>
                <c:pt idx="87">
                  <c:v>186.90485805169897</c:v>
                </c:pt>
                <c:pt idx="88">
                  <c:v>186.94796440223271</c:v>
                </c:pt>
                <c:pt idx="89">
                  <c:v>186.99348551312767</c:v>
                </c:pt>
                <c:pt idx="90">
                  <c:v>187.04123562007101</c:v>
                </c:pt>
                <c:pt idx="91">
                  <c:v>187.09103495768579</c:v>
                </c:pt>
                <c:pt idx="92">
                  <c:v>187.1427095919656</c:v>
                </c:pt>
                <c:pt idx="93">
                  <c:v>187.19609125725242</c:v>
                </c:pt>
                <c:pt idx="94">
                  <c:v>187.25101719763239</c:v>
                </c:pt>
                <c:pt idx="95">
                  <c:v>187.30733001263252</c:v>
                </c:pt>
                <c:pt idx="96">
                  <c:v>187.36487750709978</c:v>
                </c:pt>
                <c:pt idx="97">
                  <c:v>187.42351254515182</c:v>
                </c:pt>
                <c:pt idx="98">
                  <c:v>187.48309290808743</c:v>
                </c:pt>
                <c:pt idx="99">
                  <c:v>187.5434811561513</c:v>
                </c:pt>
                <c:pt idx="100">
                  <c:v>187.60454449404799</c:v>
                </c:pt>
                <c:pt idx="101">
                  <c:v>187.6661546401042</c:v>
                </c:pt>
                <c:pt idx="102">
                  <c:v>187.72818769898095</c:v>
                </c:pt>
                <c:pt idx="103">
                  <c:v>187.79052403783945</c:v>
                </c:pt>
                <c:pt idx="104">
                  <c:v>187.85304816586822</c:v>
                </c:pt>
                <c:pt idx="105">
                  <c:v>187.91564861707926</c:v>
                </c:pt>
                <c:pt idx="106">
                  <c:v>187.97821783628638</c:v>
                </c:pt>
                <c:pt idx="107">
                  <c:v>188.04065206817967</c:v>
                </c:pt>
                <c:pt idx="108">
                  <c:v>188.10285124941112</c:v>
                </c:pt>
                <c:pt idx="109">
                  <c:v>188.16471890361197</c:v>
                </c:pt>
                <c:pt idx="110">
                  <c:v>188.22616203926168</c:v>
                </c:pt>
                <c:pt idx="111">
                  <c:v>188.28709105033155</c:v>
                </c:pt>
                <c:pt idx="112">
                  <c:v>188.34741961962834</c:v>
                </c:pt>
                <c:pt idx="113">
                  <c:v>188.40706462476493</c:v>
                </c:pt>
                <c:pt idx="114">
                  <c:v>188.46594604668718</c:v>
                </c:pt>
                <c:pt idx="115">
                  <c:v>188.52398688068806</c:v>
                </c:pt>
                <c:pt idx="116">
                  <c:v>188.58111304984163</c:v>
                </c:pt>
                <c:pt idx="117">
                  <c:v>188.63725332079238</c:v>
                </c:pt>
                <c:pt idx="118">
                  <c:v>188.69233922183517</c:v>
                </c:pt>
                <c:pt idx="119">
                  <c:v>188.74630496322501</c:v>
                </c:pt>
                <c:pt idx="120">
                  <c:v>188.79908735965637</c:v>
                </c:pt>
                <c:pt idx="121">
                  <c:v>188.85062575485253</c:v>
                </c:pt>
                <c:pt idx="122">
                  <c:v>188.90086194820981</c:v>
                </c:pt>
                <c:pt idx="123">
                  <c:v>188.94974012343962</c:v>
                </c:pt>
                <c:pt idx="124">
                  <c:v>188.99720677915519</c:v>
                </c:pt>
                <c:pt idx="125">
                  <c:v>189.04321066135068</c:v>
                </c:pt>
                <c:pt idx="126">
                  <c:v>189.08770269772111</c:v>
                </c:pt>
                <c:pt idx="127">
                  <c:v>189.13063593377396</c:v>
                </c:pt>
                <c:pt idx="128">
                  <c:v>189.17196547068403</c:v>
                </c:pt>
                <c:pt idx="129">
                  <c:v>189.21164840484386</c:v>
                </c:pt>
                <c:pt idx="130">
                  <c:v>189.24964376906567</c:v>
                </c:pt>
                <c:pt idx="131">
                  <c:v>189.28591247538782</c:v>
                </c:pt>
                <c:pt idx="132">
                  <c:v>189.32041725944555</c:v>
                </c:pt>
                <c:pt idx="133">
                  <c:v>189.35312262636052</c:v>
                </c:pt>
                <c:pt idx="134">
                  <c:v>189.38399479811096</c:v>
                </c:pt>
              </c:numCache>
            </c:numRef>
          </c:val>
        </c:ser>
        <c:ser>
          <c:idx val="4"/>
          <c:order val="3"/>
          <c:tx>
            <c:strRef>
              <c:f>mod.math.!$X$1</c:f>
              <c:strCache>
                <c:ptCount val="1"/>
                <c:pt idx="0">
                  <c:v>N(Pu242)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mod.math.!$X$2:$X$136</c:f>
              <c:numCache>
                <c:formatCode>0.00</c:formatCode>
                <c:ptCount val="135"/>
                <c:pt idx="0">
                  <c:v>82.180003066254699</c:v>
                </c:pt>
                <c:pt idx="1">
                  <c:v>82.677242875249476</c:v>
                </c:pt>
                <c:pt idx="2">
                  <c:v>83.163231226244704</c:v>
                </c:pt>
                <c:pt idx="3">
                  <c:v>83.638308819265603</c:v>
                </c:pt>
                <c:pt idx="4">
                  <c:v>84.102806532346904</c:v>
                </c:pt>
                <c:pt idx="5">
                  <c:v>84.557045687099958</c:v>
                </c:pt>
                <c:pt idx="6">
                  <c:v>85.001338307226831</c:v>
                </c:pt>
                <c:pt idx="7">
                  <c:v>85.435987370175326</c:v>
                </c:pt>
                <c:pt idx="8">
                  <c:v>85.861287052120247</c:v>
                </c:pt>
                <c:pt idx="9">
                  <c:v>86.277522966441438</c:v>
                </c:pt>
                <c:pt idx="10">
                  <c:v>86.684972395875889</c:v>
                </c:pt>
                <c:pt idx="11">
                  <c:v>87.08390451851335</c:v>
                </c:pt>
                <c:pt idx="12">
                  <c:v>87.474580627792136</c:v>
                </c:pt>
                <c:pt idx="13">
                  <c:v>87.857254346665115</c:v>
                </c:pt>
                <c:pt idx="14">
                  <c:v>88.232171836080454</c:v>
                </c:pt>
                <c:pt idx="15">
                  <c:v>88.599571997936039</c:v>
                </c:pt>
                <c:pt idx="16">
                  <c:v>88.959686672647877</c:v>
                </c:pt>
                <c:pt idx="17">
                  <c:v>89.312740831482188</c:v>
                </c:pt>
                <c:pt idx="18">
                  <c:v>89.65895276378302</c:v>
                </c:pt>
                <c:pt idx="19">
                  <c:v>89.998534259236862</c:v>
                </c:pt>
                <c:pt idx="20">
                  <c:v>90.331690785303579</c:v>
                </c:pt>
                <c:pt idx="21">
                  <c:v>90.658621659939797</c:v>
                </c:pt>
                <c:pt idx="22">
                  <c:v>90.979520219742881</c:v>
                </c:pt>
                <c:pt idx="23">
                  <c:v>91.294573983638543</c:v>
                </c:pt>
                <c:pt idx="24">
                  <c:v>91.60396481222017</c:v>
                </c:pt>
                <c:pt idx="25">
                  <c:v>91.907869062870304</c:v>
                </c:pt>
                <c:pt idx="26">
                  <c:v>92.206457740763199</c:v>
                </c:pt>
                <c:pt idx="27">
                  <c:v>92.499896645862918</c:v>
                </c:pt>
                <c:pt idx="28">
                  <c:v>92.788346516025058</c:v>
                </c:pt>
                <c:pt idx="29">
                  <c:v>93.071963166299781</c:v>
                </c:pt>
                <c:pt idx="30">
                  <c:v>93.350897624541687</c:v>
                </c:pt>
                <c:pt idx="31">
                  <c:v>93.625296263420353</c:v>
                </c:pt>
                <c:pt idx="32">
                  <c:v>93.895300928932272</c:v>
                </c:pt>
                <c:pt idx="33">
                  <c:v>94.161049065498673</c:v>
                </c:pt>
                <c:pt idx="34">
                  <c:v>94.422673837746856</c:v>
                </c:pt>
                <c:pt idx="35">
                  <c:v>94.68030424905993</c:v>
                </c:pt>
                <c:pt idx="36">
                  <c:v>94.934065256980091</c:v>
                </c:pt>
                <c:pt idx="37">
                  <c:v>95.184077885548106</c:v>
                </c:pt>
                <c:pt idx="38">
                  <c:v>95.43045933466118</c:v>
                </c:pt>
                <c:pt idx="39">
                  <c:v>95.673323086528967</c:v>
                </c:pt>
                <c:pt idx="40">
                  <c:v>95.912779009301289</c:v>
                </c:pt>
                <c:pt idx="41">
                  <c:v>96.148933457944111</c:v>
                </c:pt>
                <c:pt idx="42">
                  <c:v>96.381889372440071</c:v>
                </c:pt>
                <c:pt idx="43">
                  <c:v>96.611746373372455</c:v>
                </c:pt>
                <c:pt idx="44">
                  <c:v>96.83860085497713</c:v>
                </c:pt>
                <c:pt idx="45">
                  <c:v>97.062546075721002</c:v>
                </c:pt>
                <c:pt idx="46">
                  <c:v>97.283672246468825</c:v>
                </c:pt>
                <c:pt idx="47">
                  <c:v>97.502066616307673</c:v>
                </c:pt>
                <c:pt idx="48">
                  <c:v>97.717813556093915</c:v>
                </c:pt>
                <c:pt idx="49">
                  <c:v>97.930994639771598</c:v>
                </c:pt>
                <c:pt idx="50">
                  <c:v>98.141688723532184</c:v>
                </c:pt>
                <c:pt idx="51">
                  <c:v>98.349972022866496</c:v>
                </c:pt>
                <c:pt idx="52">
                  <c:v>98.55591818756443</c:v>
                </c:pt>
                <c:pt idx="53">
                  <c:v>98.759598374720895</c:v>
                </c:pt>
                <c:pt idx="54">
                  <c:v>98.961081319794857</c:v>
                </c:pt>
                <c:pt idx="55">
                  <c:v>99.16043340577761</c:v>
                </c:pt>
                <c:pt idx="56">
                  <c:v>99.357718730516751</c:v>
                </c:pt>
                <c:pt idx="57">
                  <c:v>99.552999172242949</c:v>
                </c:pt>
                <c:pt idx="58">
                  <c:v>99.746334453356383</c:v>
                </c:pt>
                <c:pt idx="59">
                  <c:v>99.937782202504138</c:v>
                </c:pt>
                <c:pt idx="60">
                  <c:v>100.12739801500641</c:v>
                </c:pt>
                <c:pt idx="61">
                  <c:v>100.31523551166583</c:v>
                </c:pt>
                <c:pt idx="62">
                  <c:v>100.50134639600856</c:v>
                </c:pt>
                <c:pt idx="63">
                  <c:v>100.68578050999588</c:v>
                </c:pt>
                <c:pt idx="64">
                  <c:v>100.8685858882447</c:v>
                </c:pt>
                <c:pt idx="65">
                  <c:v>101.04980881080172</c:v>
                </c:pt>
                <c:pt idx="66">
                  <c:v>101.22949385450153</c:v>
                </c:pt>
                <c:pt idx="67">
                  <c:v>101.40768394295355</c:v>
                </c:pt>
                <c:pt idx="68">
                  <c:v>101.58442039518764</c:v>
                </c:pt>
                <c:pt idx="69">
                  <c:v>101.75974297299797</c:v>
                </c:pt>
                <c:pt idx="70">
                  <c:v>101.93368992701659</c:v>
                </c:pt>
                <c:pt idx="71">
                  <c:v>102.10629804155292</c:v>
                </c:pt>
                <c:pt idx="72">
                  <c:v>102.27760267822595</c:v>
                </c:pt>
                <c:pt idx="73">
                  <c:v>102.44763781842954</c:v>
                </c:pt>
                <c:pt idx="74">
                  <c:v>102.61643610465325</c:v>
                </c:pt>
                <c:pt idx="75">
                  <c:v>102.78402888069274</c:v>
                </c:pt>
                <c:pt idx="76">
                  <c:v>102.95044623077854</c:v>
                </c:pt>
                <c:pt idx="77">
                  <c:v>103.11571701765115</c:v>
                </c:pt>
                <c:pt idx="78">
                  <c:v>103.27986891961132</c:v>
                </c:pt>
                <c:pt idx="79">
                  <c:v>103.44292846656668</c:v>
                </c:pt>
                <c:pt idx="80">
                  <c:v>103.60492107511391</c:v>
                </c:pt>
                <c:pt idx="81">
                  <c:v>103.76587108266421</c:v>
                </c:pt>
                <c:pt idx="82">
                  <c:v>103.92580178065498</c:v>
                </c:pt>
                <c:pt idx="83">
                  <c:v>104.08473544685404</c:v>
                </c:pt>
                <c:pt idx="84">
                  <c:v>104.2426933768005</c:v>
                </c:pt>
                <c:pt idx="85">
                  <c:v>104.39969591438069</c:v>
                </c:pt>
                <c:pt idx="86">
                  <c:v>104.55576248158695</c:v>
                </c:pt>
                <c:pt idx="87">
                  <c:v>104.7109116074605</c:v>
                </c:pt>
                <c:pt idx="88">
                  <c:v>104.8651609562512</c:v>
                </c:pt>
                <c:pt idx="89">
                  <c:v>105.01852735481049</c:v>
                </c:pt>
                <c:pt idx="90">
                  <c:v>105.1710268192391</c:v>
                </c:pt>
                <c:pt idx="91">
                  <c:v>105.32267458080753</c:v>
                </c:pt>
                <c:pt idx="92">
                  <c:v>105.47348511117048</c:v>
                </c:pt>
                <c:pt idx="93">
                  <c:v>105.62347214689191</c:v>
                </c:pt>
                <c:pt idx="94">
                  <c:v>105.77264871329777</c:v>
                </c:pt>
                <c:pt idx="95">
                  <c:v>105.92102714768004</c:v>
                </c:pt>
                <c:pt idx="96">
                  <c:v>106.06861912185968</c:v>
                </c:pt>
                <c:pt idx="97">
                  <c:v>106.21543566413374</c:v>
                </c:pt>
                <c:pt idx="98">
                  <c:v>106.36148718061838</c:v>
                </c:pt>
                <c:pt idx="99">
                  <c:v>106.50678347600405</c:v>
                </c:pt>
                <c:pt idx="100">
                  <c:v>106.65133377373883</c:v>
                </c:pt>
                <c:pt idx="101">
                  <c:v>106.79514673565637</c:v>
                </c:pt>
                <c:pt idx="102">
                  <c:v>106.93823048105924</c:v>
                </c:pt>
                <c:pt idx="103">
                  <c:v>107.08059260527682</c:v>
                </c:pt>
                <c:pt idx="104">
                  <c:v>107.22224019770579</c:v>
                </c:pt>
                <c:pt idx="105">
                  <c:v>107.3631798593529</c:v>
                </c:pt>
                <c:pt idx="106">
                  <c:v>107.50341771988764</c:v>
                </c:pt>
                <c:pt idx="107">
                  <c:v>107.64295945422276</c:v>
                </c:pt>
                <c:pt idx="108">
                  <c:v>107.78181029862878</c:v>
                </c:pt>
                <c:pt idx="109">
                  <c:v>107.91997506640155</c:v>
                </c:pt>
                <c:pt idx="110">
                  <c:v>108.05745816309047</c:v>
                </c:pt>
                <c:pt idx="111">
                  <c:v>108.19426360129722</c:v>
                </c:pt>
                <c:pt idx="112">
                  <c:v>108.33039501506295</c:v>
                </c:pt>
                <c:pt idx="113">
                  <c:v>108.4658556738479</c:v>
                </c:pt>
                <c:pt idx="114">
                  <c:v>108.60064849611638</c:v>
                </c:pt>
                <c:pt idx="115">
                  <c:v>108.73477606253999</c:v>
                </c:pt>
                <c:pt idx="116">
                  <c:v>108.86824062882545</c:v>
                </c:pt>
                <c:pt idx="117">
                  <c:v>109.00104413817837</c:v>
                </c:pt>
                <c:pt idx="118">
                  <c:v>109.13318823341382</c:v>
                </c:pt>
                <c:pt idx="119">
                  <c:v>109.26467426872136</c:v>
                </c:pt>
                <c:pt idx="120">
                  <c:v>109.39550332109184</c:v>
                </c:pt>
                <c:pt idx="121">
                  <c:v>109.52567620142122</c:v>
                </c:pt>
                <c:pt idx="122">
                  <c:v>109.65519346529146</c:v>
                </c:pt>
                <c:pt idx="123">
                  <c:v>109.78405542344444</c:v>
                </c:pt>
                <c:pt idx="124">
                  <c:v>109.91226215195155</c:v>
                </c:pt>
                <c:pt idx="125">
                  <c:v>110.03981350209062</c:v>
                </c:pt>
                <c:pt idx="126">
                  <c:v>110.16670910993554</c:v>
                </c:pt>
                <c:pt idx="127">
                  <c:v>110.29294840566729</c:v>
                </c:pt>
                <c:pt idx="128">
                  <c:v>110.41853062261413</c:v>
                </c:pt>
                <c:pt idx="129">
                  <c:v>110.54345480602655</c:v>
                </c:pt>
                <c:pt idx="130">
                  <c:v>110.66771982159491</c:v>
                </c:pt>
                <c:pt idx="131">
                  <c:v>110.79132436371765</c:v>
                </c:pt>
                <c:pt idx="132">
                  <c:v>110.91426696352306</c:v>
                </c:pt>
                <c:pt idx="133">
                  <c:v>111.03654599665668</c:v>
                </c:pt>
                <c:pt idx="134">
                  <c:v>111.15815969083536</c:v>
                </c:pt>
              </c:numCache>
            </c:numRef>
          </c:val>
        </c:ser>
        <c:ser>
          <c:idx val="5"/>
          <c:order val="4"/>
          <c:tx>
            <c:strRef>
              <c:f>mod.math.!$Y$1</c:f>
              <c:strCache>
                <c:ptCount val="1"/>
                <c:pt idx="0">
                  <c:v>N(Am241)</c:v>
                </c:pt>
              </c:strCache>
            </c:strRef>
          </c:tx>
          <c:cat>
            <c:numRef>
              <c:f>mod.math.!$R$2:$R$136</c:f>
              <c:numCache>
                <c:formatCode>General</c:formatCode>
                <c:ptCount val="135"/>
                <c:pt idx="0">
                  <c:v>0</c:v>
                </c:pt>
                <c:pt idx="1">
                  <c:v>8.3333333333333329E-2</c:v>
                </c:pt>
                <c:pt idx="2">
                  <c:v>0.16666666666666666</c:v>
                </c:pt>
                <c:pt idx="3">
                  <c:v>0.25</c:v>
                </c:pt>
                <c:pt idx="4">
                  <c:v>0.33333333333333331</c:v>
                </c:pt>
                <c:pt idx="5">
                  <c:v>0.41666666666666669</c:v>
                </c:pt>
                <c:pt idx="6">
                  <c:v>0.5</c:v>
                </c:pt>
                <c:pt idx="7">
                  <c:v>0.58333333333333337</c:v>
                </c:pt>
                <c:pt idx="8">
                  <c:v>0.66666666666666663</c:v>
                </c:pt>
                <c:pt idx="9">
                  <c:v>0.75</c:v>
                </c:pt>
                <c:pt idx="10">
                  <c:v>0.83333333333333337</c:v>
                </c:pt>
                <c:pt idx="11">
                  <c:v>0.91666666666666663</c:v>
                </c:pt>
                <c:pt idx="12">
                  <c:v>1</c:v>
                </c:pt>
                <c:pt idx="13">
                  <c:v>1.0833333333333333</c:v>
                </c:pt>
                <c:pt idx="14">
                  <c:v>1.1666666666666667</c:v>
                </c:pt>
                <c:pt idx="15">
                  <c:v>1.25</c:v>
                </c:pt>
                <c:pt idx="16">
                  <c:v>1.3333333333333333</c:v>
                </c:pt>
                <c:pt idx="17">
                  <c:v>1.4166666666666667</c:v>
                </c:pt>
                <c:pt idx="18">
                  <c:v>1.5</c:v>
                </c:pt>
                <c:pt idx="19">
                  <c:v>1.5833333333333333</c:v>
                </c:pt>
                <c:pt idx="20">
                  <c:v>1.6666666666666667</c:v>
                </c:pt>
                <c:pt idx="21">
                  <c:v>1.75</c:v>
                </c:pt>
                <c:pt idx="22">
                  <c:v>1.8333333333333333</c:v>
                </c:pt>
                <c:pt idx="23">
                  <c:v>1.9166666666666667</c:v>
                </c:pt>
                <c:pt idx="24">
                  <c:v>2</c:v>
                </c:pt>
                <c:pt idx="25">
                  <c:v>2.0833333333333335</c:v>
                </c:pt>
                <c:pt idx="26">
                  <c:v>2.1666666666666665</c:v>
                </c:pt>
                <c:pt idx="27">
                  <c:v>2.25</c:v>
                </c:pt>
                <c:pt idx="28">
                  <c:v>2.3333333333333335</c:v>
                </c:pt>
                <c:pt idx="29">
                  <c:v>2.4166666666666665</c:v>
                </c:pt>
                <c:pt idx="30">
                  <c:v>2.5</c:v>
                </c:pt>
                <c:pt idx="31">
                  <c:v>2.5833333333333335</c:v>
                </c:pt>
                <c:pt idx="32">
                  <c:v>2.6666666666666665</c:v>
                </c:pt>
                <c:pt idx="33">
                  <c:v>2.75</c:v>
                </c:pt>
                <c:pt idx="34">
                  <c:v>2.8333333333333335</c:v>
                </c:pt>
                <c:pt idx="35">
                  <c:v>2.9166666666666665</c:v>
                </c:pt>
                <c:pt idx="36">
                  <c:v>3</c:v>
                </c:pt>
                <c:pt idx="37">
                  <c:v>3.0833333333333335</c:v>
                </c:pt>
                <c:pt idx="38">
                  <c:v>3.1666666666666665</c:v>
                </c:pt>
                <c:pt idx="39">
                  <c:v>3.25</c:v>
                </c:pt>
                <c:pt idx="40">
                  <c:v>3.3333333333333335</c:v>
                </c:pt>
                <c:pt idx="41">
                  <c:v>3.4166666666666665</c:v>
                </c:pt>
                <c:pt idx="42">
                  <c:v>3.5</c:v>
                </c:pt>
                <c:pt idx="43">
                  <c:v>3.5833333333333335</c:v>
                </c:pt>
                <c:pt idx="44">
                  <c:v>3.6666666666666665</c:v>
                </c:pt>
                <c:pt idx="45">
                  <c:v>3.75</c:v>
                </c:pt>
                <c:pt idx="46">
                  <c:v>3.8333333333333335</c:v>
                </c:pt>
                <c:pt idx="47">
                  <c:v>3.9166666666666665</c:v>
                </c:pt>
                <c:pt idx="48">
                  <c:v>4</c:v>
                </c:pt>
                <c:pt idx="49">
                  <c:v>4.083333333333333</c:v>
                </c:pt>
                <c:pt idx="50">
                  <c:v>4.166666666666667</c:v>
                </c:pt>
                <c:pt idx="51">
                  <c:v>4.25</c:v>
                </c:pt>
                <c:pt idx="52">
                  <c:v>4.333333333333333</c:v>
                </c:pt>
                <c:pt idx="53">
                  <c:v>4.416666666666667</c:v>
                </c:pt>
                <c:pt idx="54">
                  <c:v>4.5</c:v>
                </c:pt>
                <c:pt idx="55">
                  <c:v>4.583333333333333</c:v>
                </c:pt>
                <c:pt idx="56">
                  <c:v>4.666666666666667</c:v>
                </c:pt>
                <c:pt idx="57">
                  <c:v>4.75</c:v>
                </c:pt>
                <c:pt idx="58">
                  <c:v>4.833333333333333</c:v>
                </c:pt>
                <c:pt idx="59">
                  <c:v>4.916666666666667</c:v>
                </c:pt>
                <c:pt idx="60">
                  <c:v>5</c:v>
                </c:pt>
                <c:pt idx="61">
                  <c:v>5.083333333333333</c:v>
                </c:pt>
                <c:pt idx="62">
                  <c:v>5.166666666666667</c:v>
                </c:pt>
                <c:pt idx="63">
                  <c:v>5.25</c:v>
                </c:pt>
                <c:pt idx="64">
                  <c:v>5.333333333333333</c:v>
                </c:pt>
                <c:pt idx="65">
                  <c:v>5.416666666666667</c:v>
                </c:pt>
                <c:pt idx="66">
                  <c:v>5.5</c:v>
                </c:pt>
                <c:pt idx="67">
                  <c:v>5.583333333333333</c:v>
                </c:pt>
                <c:pt idx="68">
                  <c:v>5.666666666666667</c:v>
                </c:pt>
                <c:pt idx="69">
                  <c:v>5.75</c:v>
                </c:pt>
                <c:pt idx="70">
                  <c:v>5.833333333333333</c:v>
                </c:pt>
                <c:pt idx="71">
                  <c:v>5.916666666666667</c:v>
                </c:pt>
                <c:pt idx="72">
                  <c:v>6</c:v>
                </c:pt>
                <c:pt idx="73">
                  <c:v>6.083333333333333</c:v>
                </c:pt>
                <c:pt idx="74">
                  <c:v>6.166666666666667</c:v>
                </c:pt>
                <c:pt idx="75">
                  <c:v>6.25</c:v>
                </c:pt>
                <c:pt idx="76">
                  <c:v>6.333333333333333</c:v>
                </c:pt>
                <c:pt idx="77">
                  <c:v>6.416666666666667</c:v>
                </c:pt>
                <c:pt idx="78">
                  <c:v>6.5</c:v>
                </c:pt>
                <c:pt idx="79">
                  <c:v>6.583333333333333</c:v>
                </c:pt>
                <c:pt idx="80">
                  <c:v>6.666666666666667</c:v>
                </c:pt>
                <c:pt idx="81">
                  <c:v>6.75</c:v>
                </c:pt>
                <c:pt idx="82">
                  <c:v>6.833333333333333</c:v>
                </c:pt>
                <c:pt idx="83">
                  <c:v>6.916666666666667</c:v>
                </c:pt>
                <c:pt idx="84">
                  <c:v>7</c:v>
                </c:pt>
                <c:pt idx="85">
                  <c:v>7.083333333333333</c:v>
                </c:pt>
                <c:pt idx="86">
                  <c:v>7.166666666666667</c:v>
                </c:pt>
                <c:pt idx="87">
                  <c:v>7.25</c:v>
                </c:pt>
                <c:pt idx="88">
                  <c:v>7.333333333333333</c:v>
                </c:pt>
                <c:pt idx="89">
                  <c:v>7.416666666666667</c:v>
                </c:pt>
                <c:pt idx="90">
                  <c:v>7.5</c:v>
                </c:pt>
                <c:pt idx="91">
                  <c:v>7.583333333333333</c:v>
                </c:pt>
                <c:pt idx="92">
                  <c:v>7.666666666666667</c:v>
                </c:pt>
                <c:pt idx="93">
                  <c:v>7.75</c:v>
                </c:pt>
                <c:pt idx="94">
                  <c:v>7.833333333333333</c:v>
                </c:pt>
                <c:pt idx="95">
                  <c:v>7.916666666666667</c:v>
                </c:pt>
                <c:pt idx="96">
                  <c:v>8</c:v>
                </c:pt>
                <c:pt idx="97">
                  <c:v>8.0833333333333339</c:v>
                </c:pt>
                <c:pt idx="98">
                  <c:v>8.1666666666666661</c:v>
                </c:pt>
                <c:pt idx="99">
                  <c:v>8.25</c:v>
                </c:pt>
                <c:pt idx="100">
                  <c:v>8.3333333333333339</c:v>
                </c:pt>
                <c:pt idx="101">
                  <c:v>8.4166666666666661</c:v>
                </c:pt>
                <c:pt idx="102">
                  <c:v>8.5</c:v>
                </c:pt>
                <c:pt idx="103">
                  <c:v>8.5833333333333339</c:v>
                </c:pt>
                <c:pt idx="104">
                  <c:v>8.6666666666666661</c:v>
                </c:pt>
                <c:pt idx="105">
                  <c:v>8.75</c:v>
                </c:pt>
                <c:pt idx="106">
                  <c:v>8.8333333333333339</c:v>
                </c:pt>
                <c:pt idx="107">
                  <c:v>8.9166666666666661</c:v>
                </c:pt>
                <c:pt idx="108">
                  <c:v>9</c:v>
                </c:pt>
                <c:pt idx="109">
                  <c:v>9.0833333333333339</c:v>
                </c:pt>
                <c:pt idx="110">
                  <c:v>9.1666666666666661</c:v>
                </c:pt>
                <c:pt idx="111">
                  <c:v>9.25</c:v>
                </c:pt>
                <c:pt idx="112">
                  <c:v>9.3333333333333339</c:v>
                </c:pt>
                <c:pt idx="113">
                  <c:v>9.4166666666666661</c:v>
                </c:pt>
                <c:pt idx="114">
                  <c:v>9.5</c:v>
                </c:pt>
                <c:pt idx="115">
                  <c:v>9.5833333333333339</c:v>
                </c:pt>
                <c:pt idx="116">
                  <c:v>9.6666666666666661</c:v>
                </c:pt>
                <c:pt idx="117">
                  <c:v>9.75</c:v>
                </c:pt>
                <c:pt idx="118">
                  <c:v>9.8333333333333339</c:v>
                </c:pt>
                <c:pt idx="119">
                  <c:v>9.9166666666666661</c:v>
                </c:pt>
                <c:pt idx="120">
                  <c:v>10</c:v>
                </c:pt>
                <c:pt idx="121">
                  <c:v>10.083333333333334</c:v>
                </c:pt>
                <c:pt idx="122">
                  <c:v>10.166666666666666</c:v>
                </c:pt>
                <c:pt idx="123">
                  <c:v>10.25</c:v>
                </c:pt>
                <c:pt idx="124">
                  <c:v>10.333333333333334</c:v>
                </c:pt>
                <c:pt idx="125">
                  <c:v>10.416666666666666</c:v>
                </c:pt>
                <c:pt idx="126">
                  <c:v>10.5</c:v>
                </c:pt>
                <c:pt idx="127">
                  <c:v>10.583333333333334</c:v>
                </c:pt>
                <c:pt idx="128">
                  <c:v>10.666666666666666</c:v>
                </c:pt>
                <c:pt idx="129">
                  <c:v>10.75</c:v>
                </c:pt>
                <c:pt idx="130">
                  <c:v>10.833333333333334</c:v>
                </c:pt>
                <c:pt idx="131">
                  <c:v>10.916666666666666</c:v>
                </c:pt>
                <c:pt idx="132">
                  <c:v>11</c:v>
                </c:pt>
                <c:pt idx="133">
                  <c:v>11.083333333333334</c:v>
                </c:pt>
                <c:pt idx="134">
                  <c:v>11.166666666666666</c:v>
                </c:pt>
              </c:numCache>
            </c:numRef>
          </c:cat>
          <c:val>
            <c:numRef>
              <c:f>mod.math.!$Y$2:$Y$136</c:f>
              <c:numCache>
                <c:formatCode>0.00</c:formatCode>
                <c:ptCount val="135"/>
                <c:pt idx="0">
                  <c:v>52.114148285917622</c:v>
                </c:pt>
                <c:pt idx="1">
                  <c:v>52.221948130873727</c:v>
                </c:pt>
                <c:pt idx="2">
                  <c:v>52.318822213654499</c:v>
                </c:pt>
                <c:pt idx="3">
                  <c:v>52.405270436102484</c:v>
                </c:pt>
                <c:pt idx="4">
                  <c:v>52.481774926834817</c:v>
                </c:pt>
                <c:pt idx="5">
                  <c:v>52.548800597617372</c:v>
                </c:pt>
                <c:pt idx="6">
                  <c:v>52.606795683418596</c:v>
                </c:pt>
                <c:pt idx="7">
                  <c:v>52.656192266603625</c:v>
                </c:pt>
                <c:pt idx="8">
                  <c:v>52.697406785720034</c:v>
                </c:pt>
                <c:pt idx="9">
                  <c:v>52.730840529311166</c:v>
                </c:pt>
                <c:pt idx="10">
                  <c:v>52.756880115184657</c:v>
                </c:pt>
                <c:pt idx="11">
                  <c:v>52.775897955547094</c:v>
                </c:pt>
                <c:pt idx="12">
                  <c:v>52.78825270840845</c:v>
                </c:pt>
                <c:pt idx="13">
                  <c:v>52.794289715645945</c:v>
                </c:pt>
                <c:pt idx="14">
                  <c:v>52.7943414281077</c:v>
                </c:pt>
                <c:pt idx="15">
                  <c:v>52.788727818125182</c:v>
                </c:pt>
                <c:pt idx="16">
                  <c:v>52.777756779793066</c:v>
                </c:pt>
                <c:pt idx="17">
                  <c:v>52.761724517365778</c:v>
                </c:pt>
                <c:pt idx="18">
                  <c:v>52.740915922109252</c:v>
                </c:pt>
                <c:pt idx="19">
                  <c:v>52.715604937938252</c:v>
                </c:pt>
                <c:pt idx="20">
                  <c:v>52.686054916158938</c:v>
                </c:pt>
                <c:pt idx="21">
                  <c:v>52.65251895962831</c:v>
                </c:pt>
                <c:pt idx="22">
                  <c:v>52.615240256633967</c:v>
                </c:pt>
                <c:pt idx="23">
                  <c:v>52.57445240478684</c:v>
                </c:pt>
                <c:pt idx="24">
                  <c:v>52.530379725214928</c:v>
                </c:pt>
                <c:pt idx="25">
                  <c:v>52.483237567334257</c:v>
                </c:pt>
                <c:pt idx="26">
                  <c:v>52.433232604468301</c:v>
                </c:pt>
                <c:pt idx="27">
                  <c:v>52.3805631205786</c:v>
                </c:pt>
                <c:pt idx="28">
                  <c:v>52.325419288360365</c:v>
                </c:pt>
                <c:pt idx="29">
                  <c:v>52.267983438954104</c:v>
                </c:pt>
                <c:pt idx="30">
                  <c:v>52.208430323510768</c:v>
                </c:pt>
                <c:pt idx="31">
                  <c:v>52.146927366848175</c:v>
                </c:pt>
                <c:pt idx="32">
                  <c:v>52.083634913424078</c:v>
                </c:pt>
                <c:pt idx="33">
                  <c:v>52.01870646584895</c:v>
                </c:pt>
                <c:pt idx="34">
                  <c:v>51.952288916152384</c:v>
                </c:pt>
                <c:pt idx="35">
                  <c:v>51.884522770013547</c:v>
                </c:pt>
                <c:pt idx="36">
                  <c:v>51.81554236415775</c:v>
                </c:pt>
                <c:pt idx="37">
                  <c:v>51.745476077117416</c:v>
                </c:pt>
                <c:pt idx="38">
                  <c:v>51.674446533549172</c:v>
                </c:pt>
                <c:pt idx="39">
                  <c:v>51.602570802294125</c:v>
                </c:pt>
                <c:pt idx="40">
                  <c:v>51.52996058836149</c:v>
                </c:pt>
                <c:pt idx="41">
                  <c:v>51.456722419013389</c:v>
                </c:pt>
                <c:pt idx="42">
                  <c:v>51.382957824120609</c:v>
                </c:pt>
                <c:pt idx="43">
                  <c:v>51.308763510956894</c:v>
                </c:pt>
                <c:pt idx="44">
                  <c:v>51.234231533592663</c:v>
                </c:pt>
                <c:pt idx="45">
                  <c:v>51.159449457045767</c:v>
                </c:pt>
                <c:pt idx="46">
                  <c:v>51.084500516342018</c:v>
                </c:pt>
                <c:pt idx="47">
                  <c:v>51.009463770633687</c:v>
                </c:pt>
                <c:pt idx="48">
                  <c:v>50.934414252520526</c:v>
                </c:pt>
                <c:pt idx="49">
                  <c:v>50.859423112712946</c:v>
                </c:pt>
                <c:pt idx="50">
                  <c:v>50.784557760173968</c:v>
                </c:pt>
                <c:pt idx="51">
                  <c:v>50.709881997872486</c:v>
                </c:pt>
                <c:pt idx="52">
                  <c:v>50.635456154275545</c:v>
                </c:pt>
                <c:pt idx="53">
                  <c:v>50.561337210705403</c:v>
                </c:pt>
                <c:pt idx="54">
                  <c:v>50.487578924682651</c:v>
                </c:pt>
                <c:pt idx="55">
                  <c:v>50.414231949372649</c:v>
                </c:pt>
                <c:pt idx="56">
                  <c:v>50.341343949251225</c:v>
                </c:pt>
                <c:pt idx="57">
                  <c:v>50.268959712099544</c:v>
                </c:pt>
                <c:pt idx="58">
                  <c:v>50.197121257437175</c:v>
                </c:pt>
                <c:pt idx="59">
                  <c:v>50.125867941498115</c:v>
                </c:pt>
                <c:pt idx="60">
                  <c:v>50.05523655885294</c:v>
                </c:pt>
                <c:pt idx="61">
                  <c:v>49.985261440774053</c:v>
                </c:pt>
                <c:pt idx="62">
                  <c:v>49.915974550442954</c:v>
                </c:pt>
                <c:pt idx="63">
                  <c:v>49.847405575091685</c:v>
                </c:pt>
                <c:pt idx="64">
                  <c:v>49.779582015169481</c:v>
                </c:pt>
                <c:pt idx="65">
                  <c:v>49.712529270623975</c:v>
                </c:pt>
                <c:pt idx="66">
                  <c:v>49.646270724381722</c:v>
                </c:pt>
                <c:pt idx="67">
                  <c:v>49.580827823111903</c:v>
                </c:pt>
                <c:pt idx="68">
                  <c:v>49.516220155354802</c:v>
                </c:pt>
                <c:pt idx="69">
                  <c:v>49.452465527092485</c:v>
                </c:pt>
                <c:pt idx="70">
                  <c:v>49.389580034839639</c:v>
                </c:pt>
                <c:pt idx="71">
                  <c:v>49.327578136327745</c:v>
                </c:pt>
                <c:pt idx="72">
                  <c:v>49.266472718854935</c:v>
                </c:pt>
                <c:pt idx="73">
                  <c:v>49.206275165372269</c:v>
                </c:pt>
                <c:pt idx="74">
                  <c:v>49.14699541837367</c:v>
                </c:pt>
                <c:pt idx="75">
                  <c:v>49.088642041656215</c:v>
                </c:pt>
                <c:pt idx="76">
                  <c:v>49.031222280014632</c:v>
                </c:pt>
                <c:pt idx="77">
                  <c:v>48.974742116932624</c:v>
                </c:pt>
                <c:pt idx="78">
                  <c:v>48.919206330331434</c:v>
                </c:pt>
                <c:pt idx="79">
                  <c:v>48.864618546434727</c:v>
                </c:pt>
                <c:pt idx="80">
                  <c:v>48.810981291806605</c:v>
                </c:pt>
                <c:pt idx="81">
                  <c:v>48.758296043618657</c:v>
                </c:pt>
                <c:pt idx="82">
                  <c:v>48.70656327819934</c:v>
                </c:pt>
                <c:pt idx="83">
                  <c:v>48.655782517918709</c:v>
                </c:pt>
                <c:pt idx="84">
                  <c:v>48.605952376458994</c:v>
                </c:pt>
                <c:pt idx="85">
                  <c:v>48.557070602520398</c:v>
                </c:pt>
                <c:pt idx="86">
                  <c:v>48.509134122009705</c:v>
                </c:pt>
                <c:pt idx="87">
                  <c:v>48.462139078759279</c:v>
                </c:pt>
                <c:pt idx="88">
                  <c:v>48.416080873820313</c:v>
                </c:pt>
                <c:pt idx="89">
                  <c:v>48.37095420337527</c:v>
                </c:pt>
                <c:pt idx="90">
                  <c:v>48.326753095311481</c:v>
                </c:pt>
                <c:pt idx="91">
                  <c:v>48.283470944497751</c:v>
                </c:pt>
                <c:pt idx="92">
                  <c:v>48.241100546803551</c:v>
                </c:pt>
                <c:pt idx="93">
                  <c:v>48.19963413190051</c:v>
                </c:pt>
                <c:pt idx="94">
                  <c:v>48.159063394883539</c:v>
                </c:pt>
                <c:pt idx="95">
                  <c:v>48.119379526748432</c:v>
                </c:pt>
                <c:pt idx="96">
                  <c:v>48.080573243761918</c:v>
                </c:pt>
                <c:pt idx="97">
                  <c:v>48.042634815758376</c:v>
                </c:pt>
                <c:pt idx="98">
                  <c:v>48.005554093397173</c:v>
                </c:pt>
                <c:pt idx="99">
                  <c:v>47.969320534413214</c:v>
                </c:pt>
                <c:pt idx="100">
                  <c:v>47.933923228892382</c:v>
                </c:pt>
                <c:pt idx="101">
                  <c:v>47.899350923602192</c:v>
                </c:pt>
                <c:pt idx="102">
                  <c:v>47.865592045408647</c:v>
                </c:pt>
                <c:pt idx="103">
                  <c:v>47.832634723806812</c:v>
                </c:pt>
                <c:pt idx="104">
                  <c:v>47.800466812594308</c:v>
                </c:pt>
                <c:pt idx="105">
                  <c:v>47.769075910714847</c:v>
                </c:pt>
                <c:pt idx="106">
                  <c:v>47.738449382297652</c:v>
                </c:pt>
                <c:pt idx="107">
                  <c:v>47.708574375919483</c:v>
                </c:pt>
                <c:pt idx="108">
                  <c:v>47.679437843113305</c:v>
                </c:pt>
                <c:pt idx="109">
                  <c:v>47.651026556148217</c:v>
                </c:pt>
                <c:pt idx="110">
                  <c:v>47.62332712510463</c:v>
                </c:pt>
                <c:pt idx="111">
                  <c:v>47.596326014266147</c:v>
                </c:pt>
                <c:pt idx="112">
                  <c:v>47.570009557851805</c:v>
                </c:pt>
                <c:pt idx="113">
                  <c:v>47.54436397510915</c:v>
                </c:pt>
                <c:pt idx="114">
                  <c:v>47.519375384789114</c:v>
                </c:pt>
                <c:pt idx="115">
                  <c:v>47.495029819023529</c:v>
                </c:pt>
                <c:pt idx="116">
                  <c:v>47.471313236623772</c:v>
                </c:pt>
                <c:pt idx="117">
                  <c:v>47.448211535820668</c:v>
                </c:pt>
                <c:pt idx="118">
                  <c:v>47.425710566463465</c:v>
                </c:pt>
                <c:pt idx="119">
                  <c:v>47.403796141695722</c:v>
                </c:pt>
                <c:pt idx="120">
                  <c:v>47.382454049126068</c:v>
                </c:pt>
                <c:pt idx="121">
                  <c:v>47.361670061509813</c:v>
                </c:pt>
                <c:pt idx="122">
                  <c:v>47.341429946958627</c:v>
                </c:pt>
                <c:pt idx="123">
                  <c:v>47.321719478693289</c:v>
                </c:pt>
                <c:pt idx="124">
                  <c:v>47.302524444355655</c:v>
                </c:pt>
                <c:pt idx="125">
                  <c:v>47.283830654894061</c:v>
                </c:pt>
                <c:pt idx="126">
                  <c:v>47.265623953036929</c:v>
                </c:pt>
                <c:pt idx="127">
                  <c:v>47.24789022136882</c:v>
                </c:pt>
                <c:pt idx="128">
                  <c:v>47.230615390021903</c:v>
                </c:pt>
                <c:pt idx="129">
                  <c:v>47.213785443996613</c:v>
                </c:pt>
                <c:pt idx="130">
                  <c:v>47.197386430123757</c:v>
                </c:pt>
                <c:pt idx="131">
                  <c:v>47.181404463681019</c:v>
                </c:pt>
                <c:pt idx="132">
                  <c:v>47.165825734675238</c:v>
                </c:pt>
                <c:pt idx="133">
                  <c:v>47.150636513802638</c:v>
                </c:pt>
                <c:pt idx="134">
                  <c:v>47.135823158097722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508096"/>
        <c:axId val="173509632"/>
      </c:areaChart>
      <c:catAx>
        <c:axId val="173508096"/>
        <c:scaling>
          <c:orientation val="minMax"/>
        </c:scaling>
        <c:delete val="0"/>
        <c:axPos val="b"/>
        <c:numFmt formatCode="#,##0.00" sourceLinked="0"/>
        <c:majorTickMark val="out"/>
        <c:minorTickMark val="none"/>
        <c:tickLblPos val="nextTo"/>
        <c:crossAx val="173509632"/>
        <c:crosses val="autoZero"/>
        <c:auto val="1"/>
        <c:lblAlgn val="ctr"/>
        <c:lblOffset val="100"/>
        <c:noMultiLvlLbl val="0"/>
      </c:catAx>
      <c:valAx>
        <c:axId val="173509632"/>
        <c:scaling>
          <c:orientation val="minMax"/>
        </c:scaling>
        <c:delete val="0"/>
        <c:axPos val="l"/>
        <c:majorGridlines/>
        <c:numFmt formatCode="0%" sourceLinked="1"/>
        <c:majorTickMark val="out"/>
        <c:minorTickMark val="none"/>
        <c:tickLblPos val="nextTo"/>
        <c:crossAx val="17350809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61132875503327699"/>
          <c:y val="0.58259213976905855"/>
          <c:w val="0.31493013411462928"/>
          <c:h val="0.11716863838866649"/>
        </c:manualLayout>
      </c:layout>
      <c:overlay val="0"/>
      <c:spPr>
        <a:solidFill>
          <a:schemeClr val="bg1">
            <a:lumMod val="95000"/>
            <a:alpha val="65000"/>
          </a:schemeClr>
        </a:solidFill>
      </c:spPr>
    </c:legend>
    <c:plotVisOnly val="1"/>
    <c:dispBlanksAs val="gap"/>
    <c:showDLblsOverMax val="0"/>
  </c:chart>
  <c:txPr>
    <a:bodyPr/>
    <a:lstStyle/>
    <a:p>
      <a:pPr>
        <a:defRPr sz="1400"/>
      </a:pPr>
      <a:endParaRPr lang="fr-FR"/>
    </a:p>
  </c:txPr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sheet1.xml><?xml version="1.0" encoding="utf-8"?>
<chartsheet xmlns="http://schemas.openxmlformats.org/spreadsheetml/2006/main" xmlns:r="http://schemas.openxmlformats.org/officeDocument/2006/relationships">
  <sheetPr codeName="Graph1"/>
  <sheetViews>
    <sheetView zoomScale="70" workbookViewId="0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>
  <sheetPr codeName="Graph2"/>
  <sheetViews>
    <sheetView zoomScale="70" workbookViewId="0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>
  <sheetPr codeName="Graph4"/>
  <sheetViews>
    <sheetView zoomScale="70" workbookViewId="0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8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9.xml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0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1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2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530677</xdr:colOff>
      <xdr:row>21</xdr:row>
      <xdr:rowOff>29688</xdr:rowOff>
    </xdr:from>
    <xdr:to>
      <xdr:col>20</xdr:col>
      <xdr:colOff>956211</xdr:colOff>
      <xdr:row>40</xdr:row>
      <xdr:rowOff>109226</xdr:rowOff>
    </xdr:to>
    <xdr:graphicFrame macro="">
      <xdr:nvGraphicFramePr>
        <xdr:cNvPr id="8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5</xdr:col>
      <xdr:colOff>415636</xdr:colOff>
      <xdr:row>84</xdr:row>
      <xdr:rowOff>5194</xdr:rowOff>
    </xdr:from>
    <xdr:to>
      <xdr:col>9</xdr:col>
      <xdr:colOff>848591</xdr:colOff>
      <xdr:row>95</xdr:row>
      <xdr:rowOff>173181</xdr:rowOff>
    </xdr:to>
    <xdr:graphicFrame macro="">
      <xdr:nvGraphicFramePr>
        <xdr:cNvPr id="9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800099</xdr:colOff>
      <xdr:row>1</xdr:row>
      <xdr:rowOff>20409</xdr:rowOff>
    </xdr:from>
    <xdr:to>
      <xdr:col>11</xdr:col>
      <xdr:colOff>666750</xdr:colOff>
      <xdr:row>27</xdr:row>
      <xdr:rowOff>133350</xdr:rowOff>
    </xdr:to>
    <xdr:graphicFrame macro="">
      <xdr:nvGraphicFramePr>
        <xdr:cNvPr id="3" name="Graphique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2721</xdr:colOff>
      <xdr:row>1</xdr:row>
      <xdr:rowOff>20409</xdr:rowOff>
    </xdr:from>
    <xdr:to>
      <xdr:col>11</xdr:col>
      <xdr:colOff>828675</xdr:colOff>
      <xdr:row>28</xdr:row>
      <xdr:rowOff>9525</xdr:rowOff>
    </xdr:to>
    <xdr:graphicFrame macro="">
      <xdr:nvGraphicFramePr>
        <xdr:cNvPr id="3" name="Graphique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812346</xdr:colOff>
      <xdr:row>1</xdr:row>
      <xdr:rowOff>20410</xdr:rowOff>
    </xdr:from>
    <xdr:to>
      <xdr:col>12</xdr:col>
      <xdr:colOff>19050</xdr:colOff>
      <xdr:row>28</xdr:row>
      <xdr:rowOff>9525</xdr:rowOff>
    </xdr:to>
    <xdr:graphicFrame macro="">
      <xdr:nvGraphicFramePr>
        <xdr:cNvPr id="3" name="Graphique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12245</xdr:colOff>
      <xdr:row>0</xdr:row>
      <xdr:rowOff>172809</xdr:rowOff>
    </xdr:from>
    <xdr:to>
      <xdr:col>12</xdr:col>
      <xdr:colOff>28575</xdr:colOff>
      <xdr:row>27</xdr:row>
      <xdr:rowOff>114300</xdr:rowOff>
    </xdr:to>
    <xdr:graphicFrame macro="">
      <xdr:nvGraphicFramePr>
        <xdr:cNvPr id="3" name="Graphique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821871</xdr:colOff>
      <xdr:row>0</xdr:row>
      <xdr:rowOff>163284</xdr:rowOff>
    </xdr:from>
    <xdr:to>
      <xdr:col>11</xdr:col>
      <xdr:colOff>828675</xdr:colOff>
      <xdr:row>28</xdr:row>
      <xdr:rowOff>38099</xdr:rowOff>
    </xdr:to>
    <xdr:graphicFrame macro="">
      <xdr:nvGraphicFramePr>
        <xdr:cNvPr id="3" name="Graphique 7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12246</xdr:colOff>
      <xdr:row>1</xdr:row>
      <xdr:rowOff>29935</xdr:rowOff>
    </xdr:from>
    <xdr:to>
      <xdr:col>11</xdr:col>
      <xdr:colOff>800100</xdr:colOff>
      <xdr:row>28</xdr:row>
      <xdr:rowOff>0</xdr:rowOff>
    </xdr:to>
    <xdr:graphicFrame macro="">
      <xdr:nvGraphicFramePr>
        <xdr:cNvPr id="3" name="Graphique 8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39460</xdr:colOff>
      <xdr:row>1</xdr:row>
      <xdr:rowOff>20409</xdr:rowOff>
    </xdr:from>
    <xdr:to>
      <xdr:col>11</xdr:col>
      <xdr:colOff>819149</xdr:colOff>
      <xdr:row>28</xdr:row>
      <xdr:rowOff>19049</xdr:rowOff>
    </xdr:to>
    <xdr:graphicFrame macro="">
      <xdr:nvGraphicFramePr>
        <xdr:cNvPr id="3" name="Graphique 9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820511</xdr:colOff>
      <xdr:row>1</xdr:row>
      <xdr:rowOff>20409</xdr:rowOff>
    </xdr:from>
    <xdr:to>
      <xdr:col>12</xdr:col>
      <xdr:colOff>9525</xdr:colOff>
      <xdr:row>27</xdr:row>
      <xdr:rowOff>180974</xdr:rowOff>
    </xdr:to>
    <xdr:graphicFrame macro="">
      <xdr:nvGraphicFramePr>
        <xdr:cNvPr id="3" name="Graphique 10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293679" cy="6068786"/>
    <xdr:graphicFrame macro="">
      <xdr:nvGraphicFramePr>
        <xdr:cNvPr id="2" name="Graphique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Eq%20de%20bateman%20avec%20flux-annexe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jdd"/>
      <sheetName val="micro"/>
      <sheetName val="dens"/>
      <sheetName val="V.Pu_dragon"/>
      <sheetName val="all"/>
      <sheetName val="Dragon_vs_RK1"/>
      <sheetName val="explication des écarts"/>
    </sheetNames>
    <sheetDataSet>
      <sheetData sheetId="0"/>
      <sheetData sheetId="1"/>
      <sheetData sheetId="2"/>
      <sheetData sheetId="5">
        <row r="43">
          <cell r="AJ43">
            <v>2.1652186908494884E-2</v>
          </cell>
        </row>
      </sheetData>
      <sheetData sheetId="6"/>
    </sheetDataSet>
  </externalBook>
</externalLink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P103"/>
  <sheetViews>
    <sheetView topLeftCell="A7" zoomScale="70" zoomScaleNormal="70" workbookViewId="0">
      <selection activeCell="H12" sqref="H12"/>
    </sheetView>
  </sheetViews>
  <sheetFormatPr baseColWidth="10" defaultColWidth="16.25" defaultRowHeight="14.25"/>
  <cols>
    <col min="1" max="1" width="16.25" style="6"/>
    <col min="2" max="2" width="39.5" style="6" customWidth="1"/>
    <col min="3" max="6" width="17.125" style="6" customWidth="1"/>
    <col min="7" max="7" width="23.5" style="6" customWidth="1"/>
    <col min="8" max="8" width="24.375" style="6" bestFit="1" customWidth="1"/>
    <col min="9" max="10" width="19.125" style="6" customWidth="1"/>
    <col min="11" max="13" width="17.625" style="6" customWidth="1"/>
    <col min="14" max="14" width="3" style="6" bestFit="1" customWidth="1"/>
    <col min="15" max="15" width="2.625" style="6" bestFit="1" customWidth="1"/>
    <col min="16" max="16" width="3" style="6" bestFit="1" customWidth="1"/>
    <col min="17" max="16384" width="16.25" style="6"/>
  </cols>
  <sheetData>
    <row r="1" spans="1:16" ht="15">
      <c r="A1" s="49" t="s">
        <v>66</v>
      </c>
      <c r="B1" s="45" t="s">
        <v>21</v>
      </c>
      <c r="C1" s="76">
        <v>36000</v>
      </c>
    </row>
    <row r="2" spans="1:16" ht="15">
      <c r="A2" s="49"/>
      <c r="B2" s="45" t="s">
        <v>20</v>
      </c>
      <c r="C2" s="77">
        <v>15.78</v>
      </c>
      <c r="H2" s="33"/>
    </row>
    <row r="3" spans="1:16" ht="15">
      <c r="A3" s="49"/>
      <c r="B3" s="45" t="s">
        <v>74</v>
      </c>
      <c r="C3" s="46">
        <f>(100-C2)*C1/100</f>
        <v>30319.200000000001</v>
      </c>
    </row>
    <row r="4" spans="1:16" ht="15">
      <c r="A4" s="49"/>
      <c r="B4" s="45" t="s">
        <v>73</v>
      </c>
      <c r="C4" s="46">
        <f>C2*C1/100</f>
        <v>5680.8</v>
      </c>
    </row>
    <row r="5" spans="1:16" ht="15">
      <c r="A5" s="49"/>
      <c r="B5" s="45" t="s">
        <v>76</v>
      </c>
      <c r="C5" s="48">
        <f>C3*SUMPRODUCT(C16:C17,E16:E17)/100/(SUMPRODUCT(C16:C17,{235;238})/100+32)</f>
        <v>26725.60570344064</v>
      </c>
    </row>
    <row r="6" spans="1:16" ht="15">
      <c r="A6" s="49"/>
      <c r="B6" s="45" t="s">
        <v>77</v>
      </c>
      <c r="C6" s="48">
        <f>C4*SUMPRODUCT(C10:C15,E10:E15)/100/(SUMPRODUCT(C10:C15,E10:E15)/100+32)</f>
        <v>5010.9757967228343</v>
      </c>
      <c r="E6" s="10"/>
    </row>
    <row r="7" spans="1:16" ht="15">
      <c r="A7" s="49"/>
      <c r="B7" s="45" t="s">
        <v>75</v>
      </c>
      <c r="C7" s="48">
        <f>C5+C6</f>
        <v>31736.581500163476</v>
      </c>
    </row>
    <row r="8" spans="1:16" ht="15.75" thickBot="1">
      <c r="A8" s="49"/>
      <c r="B8" s="45" t="s">
        <v>67</v>
      </c>
      <c r="C8" s="47">
        <f>C1/(E38*1000)*1000000</f>
        <v>4004330.5448852847</v>
      </c>
    </row>
    <row r="9" spans="1:16" ht="30.75" thickBot="1">
      <c r="A9" s="49"/>
      <c r="B9" s="45"/>
      <c r="C9" s="50" t="s">
        <v>0</v>
      </c>
      <c r="D9" s="5" t="s">
        <v>1</v>
      </c>
      <c r="E9" s="5" t="s">
        <v>2</v>
      </c>
      <c r="F9" s="5" t="s">
        <v>43</v>
      </c>
      <c r="H9" s="78" t="s">
        <v>126</v>
      </c>
      <c r="I9" s="78" t="s">
        <v>135</v>
      </c>
      <c r="J9" s="78" t="s">
        <v>119</v>
      </c>
      <c r="K9" s="45" t="s">
        <v>82</v>
      </c>
      <c r="P9" s="33">
        <v>14</v>
      </c>
    </row>
    <row r="10" spans="1:16" ht="15">
      <c r="A10" s="122" t="s">
        <v>72</v>
      </c>
      <c r="B10" s="45" t="s">
        <v>7</v>
      </c>
      <c r="C10" s="76">
        <v>0.38</v>
      </c>
      <c r="D10" s="51">
        <f t="shared" ref="D10:D15" si="0">(C10/100)*C$6</f>
        <v>19.041708027546772</v>
      </c>
      <c r="E10" s="52">
        <v>238</v>
      </c>
      <c r="F10" s="79">
        <f>(D10/E10)*6.02214129E+23/C$8*1000</f>
        <v>1.2032336397210882E+19</v>
      </c>
      <c r="H10" s="80" t="e">
        <f t="shared" ref="H10:H17" ca="1" si="1">INDIRECT("Eq_de_Bateman_avec_RK1!"&amp;O10&amp;P10)</f>
        <v>#REF!</v>
      </c>
      <c r="I10" s="89" t="e">
        <f ca="1">H10*1000/E10/C$8*6.02214129E+23</f>
        <v>#REF!</v>
      </c>
      <c r="J10" s="80" t="e">
        <f t="shared" ref="J10:J15" ca="1" si="2">H10/(SUM(H$10:H$15))*100</f>
        <v>#REF!</v>
      </c>
      <c r="K10" s="95" t="e">
        <f ca="1">SUM(D10:D15)-SUM(H10:H15)</f>
        <v>#REF!</v>
      </c>
      <c r="O10" s="6" t="s">
        <v>120</v>
      </c>
      <c r="P10" s="6">
        <f>P$9</f>
        <v>14</v>
      </c>
    </row>
    <row r="11" spans="1:16" ht="15">
      <c r="A11" s="123"/>
      <c r="B11" s="45" t="s">
        <v>9</v>
      </c>
      <c r="C11" s="76">
        <v>69.08</v>
      </c>
      <c r="D11" s="53">
        <f t="shared" si="0"/>
        <v>3461.5820803761339</v>
      </c>
      <c r="E11" s="54">
        <v>239</v>
      </c>
      <c r="F11" s="79">
        <f t="shared" ref="F11:F17" si="3">(D11/E11)*6.02214129E+23/C$8*1000</f>
        <v>2.1782E+21</v>
      </c>
      <c r="G11" s="99"/>
      <c r="H11" s="80" t="e">
        <f t="shared" ca="1" si="1"/>
        <v>#REF!</v>
      </c>
      <c r="I11" s="89" t="e">
        <f t="shared" ref="I11:I17" ca="1" si="4">H11*1000/E11/C$8*6.02214129E+23</f>
        <v>#REF!</v>
      </c>
      <c r="J11" s="80" t="e">
        <f t="shared" ca="1" si="2"/>
        <v>#REF!</v>
      </c>
      <c r="O11" s="6" t="s">
        <v>121</v>
      </c>
      <c r="P11" s="6">
        <f t="shared" ref="P11:P17" si="5">P$9</f>
        <v>14</v>
      </c>
    </row>
    <row r="12" spans="1:16" ht="15">
      <c r="A12" s="123"/>
      <c r="B12" s="45" t="s">
        <v>10</v>
      </c>
      <c r="C12" s="76">
        <v>23.04</v>
      </c>
      <c r="D12" s="53">
        <f t="shared" si="0"/>
        <v>1154.5288235649409</v>
      </c>
      <c r="E12" s="54">
        <v>240</v>
      </c>
      <c r="F12" s="79">
        <f t="shared" si="3"/>
        <v>7.2346005790387942E+20</v>
      </c>
      <c r="G12" s="100"/>
      <c r="H12" s="80" t="e">
        <f t="shared" ca="1" si="1"/>
        <v>#REF!</v>
      </c>
      <c r="I12" s="89" t="e">
        <f t="shared" ca="1" si="4"/>
        <v>#REF!</v>
      </c>
      <c r="J12" s="80" t="e">
        <f t="shared" ca="1" si="2"/>
        <v>#REF!</v>
      </c>
      <c r="O12" s="6" t="s">
        <v>122</v>
      </c>
      <c r="P12" s="6">
        <f t="shared" si="5"/>
        <v>14</v>
      </c>
    </row>
    <row r="13" spans="1:16" ht="15">
      <c r="A13" s="123"/>
      <c r="B13" s="45" t="s">
        <v>11</v>
      </c>
      <c r="C13" s="76">
        <v>4.82</v>
      </c>
      <c r="D13" s="53">
        <f t="shared" si="0"/>
        <v>241.52903340204062</v>
      </c>
      <c r="E13" s="54">
        <v>241</v>
      </c>
      <c r="F13" s="79">
        <f t="shared" si="3"/>
        <v>1.5072084539664158E+20</v>
      </c>
      <c r="G13" s="10"/>
      <c r="H13" s="80" t="e">
        <f t="shared" ca="1" si="1"/>
        <v>#REF!</v>
      </c>
      <c r="I13" s="89" t="e">
        <f t="shared" ca="1" si="4"/>
        <v>#REF!</v>
      </c>
      <c r="J13" s="80" t="e">
        <f t="shared" ca="1" si="2"/>
        <v>#REF!</v>
      </c>
      <c r="O13" s="6" t="s">
        <v>123</v>
      </c>
      <c r="P13" s="6">
        <f t="shared" si="5"/>
        <v>14</v>
      </c>
    </row>
    <row r="14" spans="1:16" ht="15">
      <c r="A14" s="123"/>
      <c r="B14" s="45" t="s">
        <v>13</v>
      </c>
      <c r="C14" s="76">
        <v>1.64</v>
      </c>
      <c r="D14" s="55">
        <f t="shared" si="0"/>
        <v>82.180003066254471</v>
      </c>
      <c r="E14" s="56">
        <v>242</v>
      </c>
      <c r="F14" s="79">
        <f t="shared" si="3"/>
        <v>5.1070699679853748E+19</v>
      </c>
      <c r="G14" s="44"/>
      <c r="H14" s="80" t="e">
        <f t="shared" ca="1" si="1"/>
        <v>#REF!</v>
      </c>
      <c r="I14" s="89" t="e">
        <f t="shared" ca="1" si="4"/>
        <v>#REF!</v>
      </c>
      <c r="J14" s="80" t="e">
        <f t="shared" ca="1" si="2"/>
        <v>#REF!</v>
      </c>
      <c r="O14" s="6" t="s">
        <v>124</v>
      </c>
      <c r="P14" s="6">
        <f t="shared" si="5"/>
        <v>14</v>
      </c>
    </row>
    <row r="15" spans="1:16" ht="15">
      <c r="A15" s="123"/>
      <c r="B15" s="45" t="s">
        <v>14</v>
      </c>
      <c r="C15" s="76">
        <v>1.04</v>
      </c>
      <c r="D15" s="53">
        <f t="shared" si="0"/>
        <v>52.114148285917473</v>
      </c>
      <c r="E15" s="54">
        <v>241</v>
      </c>
      <c r="F15" s="79">
        <f t="shared" si="3"/>
        <v>3.2520680334545068E+19</v>
      </c>
      <c r="H15" s="80" t="e">
        <f t="shared" ca="1" si="1"/>
        <v>#REF!</v>
      </c>
      <c r="I15" s="89" t="e">
        <f t="shared" ca="1" si="4"/>
        <v>#REF!</v>
      </c>
      <c r="J15" s="80" t="e">
        <f t="shared" ca="1" si="2"/>
        <v>#REF!</v>
      </c>
      <c r="O15" s="6" t="s">
        <v>125</v>
      </c>
      <c r="P15" s="6">
        <f t="shared" si="5"/>
        <v>14</v>
      </c>
    </row>
    <row r="16" spans="1:16" ht="15">
      <c r="A16" s="123"/>
      <c r="B16" s="45" t="s">
        <v>15</v>
      </c>
      <c r="C16" s="76">
        <v>0.52</v>
      </c>
      <c r="D16" s="53">
        <f>C16/100*C$5</f>
        <v>138.97314965789133</v>
      </c>
      <c r="E16" s="54">
        <v>235</v>
      </c>
      <c r="F16" s="79">
        <f t="shared" si="3"/>
        <v>8.8937324162937733E+19</v>
      </c>
      <c r="H16" s="80" t="e">
        <f t="shared" ca="1" si="1"/>
        <v>#REF!</v>
      </c>
      <c r="I16" s="89" t="e">
        <f t="shared" ca="1" si="4"/>
        <v>#REF!</v>
      </c>
      <c r="O16" s="6" t="s">
        <v>128</v>
      </c>
      <c r="P16" s="6">
        <f t="shared" si="5"/>
        <v>14</v>
      </c>
    </row>
    <row r="17" spans="1:16" ht="15">
      <c r="A17" s="123"/>
      <c r="B17" s="45" t="s">
        <v>16</v>
      </c>
      <c r="C17" s="76">
        <v>99.48</v>
      </c>
      <c r="D17" s="53">
        <f>C17/100*C$5</f>
        <v>26586.632553782751</v>
      </c>
      <c r="E17" s="54">
        <v>238</v>
      </c>
      <c r="F17" s="79">
        <f t="shared" si="3"/>
        <v>1.6799927091276064E+22</v>
      </c>
      <c r="H17" s="80" t="e">
        <f t="shared" ca="1" si="1"/>
        <v>#REF!</v>
      </c>
      <c r="I17" s="89" t="e">
        <f t="shared" ca="1" si="4"/>
        <v>#REF!</v>
      </c>
      <c r="O17" s="6" t="s">
        <v>129</v>
      </c>
      <c r="P17" s="6">
        <f t="shared" si="5"/>
        <v>14</v>
      </c>
    </row>
    <row r="18" spans="1:16" ht="15">
      <c r="A18" s="123"/>
      <c r="B18" s="45" t="s">
        <v>53</v>
      </c>
      <c r="C18" s="91">
        <f>SUM(K44:K51)</f>
        <v>5.5321754341282909E-3</v>
      </c>
      <c r="D18" s="11"/>
      <c r="E18" s="11"/>
      <c r="F18" s="11"/>
      <c r="G18" s="11" t="e">
        <f ca="1">H18/C18</f>
        <v>#REF!</v>
      </c>
      <c r="H18" s="92" t="e">
        <f ca="1">SUMPRODUCT(I10:I17,G44:G51)*1E-24</f>
        <v>#REF!</v>
      </c>
    </row>
    <row r="19" spans="1:16" ht="15">
      <c r="A19" s="123"/>
      <c r="B19" s="45" t="s">
        <v>130</v>
      </c>
      <c r="C19" s="91">
        <f>SUM(L44:L51)</f>
        <v>1.1501445805447414E-2</v>
      </c>
      <c r="D19" s="11"/>
      <c r="E19" s="11"/>
      <c r="F19" s="11"/>
      <c r="G19" s="11" t="e">
        <f t="shared" ref="G19:G21" ca="1" si="6">H19/C19</f>
        <v>#REF!</v>
      </c>
      <c r="H19" s="92" t="e">
        <f ca="1">SUMPRODUCT(I10:I17,I44:I51)*1E-24</f>
        <v>#REF!</v>
      </c>
    </row>
    <row r="20" spans="1:16" ht="15">
      <c r="A20" s="123"/>
      <c r="B20" s="98" t="s">
        <v>142</v>
      </c>
      <c r="C20" s="91">
        <f>C19-C18</f>
        <v>5.9692703713191235E-3</v>
      </c>
      <c r="D20" s="11"/>
      <c r="E20" s="11"/>
      <c r="F20" s="11"/>
      <c r="G20" s="11" t="e">
        <f t="shared" ca="1" si="6"/>
        <v>#REF!</v>
      </c>
      <c r="H20" s="92" t="e">
        <f ca="1">H19-H18</f>
        <v>#REF!</v>
      </c>
    </row>
    <row r="21" spans="1:16" ht="15">
      <c r="A21" s="123"/>
      <c r="B21" s="45" t="s">
        <v>131</v>
      </c>
      <c r="C21" s="91">
        <f>SUM(M44:M51)</f>
        <v>1.6162653839845637E-2</v>
      </c>
      <c r="D21" s="11"/>
      <c r="E21" s="11"/>
      <c r="F21" s="11"/>
      <c r="G21" s="11" t="e">
        <f t="shared" ca="1" si="6"/>
        <v>#REF!</v>
      </c>
      <c r="H21" s="92" t="e">
        <f ca="1">SUMPRODUCT(I10:I17,J44:J51)*1E-24</f>
        <v>#REF!</v>
      </c>
      <c r="J21" s="7"/>
    </row>
    <row r="22" spans="1:16" ht="15">
      <c r="A22" s="124"/>
      <c r="B22" s="45" t="s">
        <v>134</v>
      </c>
      <c r="C22" s="91">
        <f>C21/C19</f>
        <v>1.4052714861457278</v>
      </c>
      <c r="D22" s="11"/>
      <c r="E22" s="11"/>
      <c r="F22" s="11"/>
      <c r="G22" s="11"/>
      <c r="H22" s="93" t="e">
        <f ca="1">H21/H19</f>
        <v>#REF!</v>
      </c>
      <c r="I22" s="90" t="e">
        <f ca="1">(H22-C22)/(C22*H22)</f>
        <v>#REF!</v>
      </c>
      <c r="J22" s="7"/>
    </row>
    <row r="23" spans="1:16" ht="15" customHeight="1">
      <c r="A23" s="121" t="s">
        <v>65</v>
      </c>
      <c r="B23" s="45" t="s">
        <v>70</v>
      </c>
      <c r="C23" s="76">
        <v>3000</v>
      </c>
      <c r="I23" s="7"/>
      <c r="J23" s="7"/>
    </row>
    <row r="24" spans="1:16" ht="15.75" thickBot="1">
      <c r="A24" s="121"/>
      <c r="B24" s="45" t="s">
        <v>58</v>
      </c>
      <c r="C24" s="76">
        <v>75</v>
      </c>
      <c r="I24" s="7"/>
    </row>
    <row r="25" spans="1:16" ht="15.75" customHeight="1" thickBot="1">
      <c r="A25" s="121"/>
      <c r="B25" s="45" t="s">
        <v>71</v>
      </c>
      <c r="C25" s="46">
        <f>C24/100*C23</f>
        <v>2250</v>
      </c>
      <c r="E25" s="9" t="s">
        <v>57</v>
      </c>
      <c r="G25" s="118" t="s">
        <v>141</v>
      </c>
      <c r="H25" s="119"/>
      <c r="I25" s="119"/>
      <c r="J25" s="120" t="s">
        <v>144</v>
      </c>
      <c r="K25" s="120"/>
    </row>
    <row r="26" spans="1:16" ht="15.75" thickBot="1">
      <c r="A26" s="121"/>
      <c r="B26" s="45" t="s">
        <v>46</v>
      </c>
      <c r="C26" s="76">
        <f>365*20</f>
        <v>7300</v>
      </c>
      <c r="E26" s="9" t="s">
        <v>49</v>
      </c>
      <c r="H26" s="104" t="s">
        <v>145</v>
      </c>
      <c r="I26" s="104" t="s">
        <v>146</v>
      </c>
      <c r="L26" s="96"/>
    </row>
    <row r="27" spans="1:16" ht="15.75" thickBot="1">
      <c r="A27" s="121"/>
      <c r="B27" s="45" t="s">
        <v>47</v>
      </c>
      <c r="C27" s="46">
        <f>(C25*C26)/(C7/1000)</f>
        <v>517541.56319310551</v>
      </c>
      <c r="E27" s="9" t="s">
        <v>50</v>
      </c>
      <c r="G27" s="45" t="s">
        <v>7</v>
      </c>
      <c r="H27" s="94">
        <v>0</v>
      </c>
      <c r="I27" s="94">
        <v>0</v>
      </c>
      <c r="J27" s="97">
        <v>7.1771044355892211E-6</v>
      </c>
      <c r="K27" s="97">
        <v>8.1878948066105295E-15</v>
      </c>
    </row>
    <row r="28" spans="1:16" ht="15">
      <c r="A28" s="121"/>
      <c r="B28" s="45" t="s">
        <v>56</v>
      </c>
      <c r="C28" s="47">
        <f>C25*1000000/B41</f>
        <v>6.9247514903034528E+19</v>
      </c>
      <c r="G28" s="45" t="s">
        <v>9</v>
      </c>
      <c r="H28" s="94">
        <v>0</v>
      </c>
      <c r="I28" s="94">
        <v>0</v>
      </c>
      <c r="J28" s="97">
        <v>1.8155401136570395E-3</v>
      </c>
      <c r="K28" s="97">
        <v>2.184547681638449E-11</v>
      </c>
    </row>
    <row r="29" spans="1:16" ht="15">
      <c r="A29" s="121"/>
      <c r="B29" s="45" t="s">
        <v>54</v>
      </c>
      <c r="C29" s="47">
        <f>C28/C8</f>
        <v>17293156528120.312</v>
      </c>
      <c r="G29" s="45" t="s">
        <v>10</v>
      </c>
      <c r="H29" s="94">
        <v>0</v>
      </c>
      <c r="I29" s="94">
        <v>0</v>
      </c>
      <c r="J29" s="97">
        <v>1.4150651647143464E-4</v>
      </c>
      <c r="K29" s="97">
        <v>8.6921442266074678E-11</v>
      </c>
    </row>
    <row r="30" spans="1:16" ht="15">
      <c r="A30" s="121"/>
      <c r="B30" s="45" t="s">
        <v>59</v>
      </c>
      <c r="C30" s="47">
        <f>C29/C18</f>
        <v>3125923379334265</v>
      </c>
      <c r="G30" s="45" t="s">
        <v>11</v>
      </c>
      <c r="H30" s="94">
        <v>0</v>
      </c>
      <c r="I30" s="94">
        <v>0</v>
      </c>
      <c r="J30" s="97">
        <v>1.7429731674126897E-4</v>
      </c>
      <c r="K30" s="97">
        <v>1.9440782317303729E-10</v>
      </c>
      <c r="O30" s="12"/>
      <c r="P30" s="11"/>
    </row>
    <row r="31" spans="1:16" ht="15">
      <c r="A31" s="121"/>
      <c r="B31" s="45" t="s">
        <v>51</v>
      </c>
      <c r="C31" s="46">
        <f>C25*1000000/C8</f>
        <v>561.89167571940732</v>
      </c>
      <c r="G31" s="45" t="s">
        <v>13</v>
      </c>
      <c r="H31" s="94">
        <v>0</v>
      </c>
      <c r="I31" s="94">
        <v>0</v>
      </c>
      <c r="J31" s="97">
        <v>7.2495921405943409E-6</v>
      </c>
      <c r="K31" s="97">
        <v>-9.2952243124777567E-11</v>
      </c>
      <c r="O31" s="12"/>
      <c r="P31" s="11"/>
    </row>
    <row r="32" spans="1:16" ht="15" customHeight="1">
      <c r="A32" s="121" t="s">
        <v>69</v>
      </c>
      <c r="B32" s="45" t="s">
        <v>17</v>
      </c>
      <c r="C32" s="76">
        <v>30</v>
      </c>
      <c r="G32" s="45" t="s">
        <v>14</v>
      </c>
      <c r="H32" s="94">
        <v>0</v>
      </c>
      <c r="I32" s="94">
        <v>0</v>
      </c>
      <c r="J32" s="97">
        <v>4.6745820803106852E-6</v>
      </c>
      <c r="K32" s="97">
        <v>0</v>
      </c>
      <c r="O32" s="12"/>
      <c r="P32" s="11"/>
    </row>
    <row r="33" spans="1:16" ht="15">
      <c r="A33" s="121"/>
      <c r="B33" s="45" t="s">
        <v>18</v>
      </c>
      <c r="C33" s="46">
        <f>C32*365*24*3600</f>
        <v>946080000</v>
      </c>
      <c r="G33" s="45" t="s">
        <v>15</v>
      </c>
      <c r="H33" s="94">
        <v>0</v>
      </c>
      <c r="I33" s="94">
        <v>0</v>
      </c>
      <c r="J33" s="97">
        <v>7.7513940822150629E-5</v>
      </c>
      <c r="K33" s="97">
        <v>0</v>
      </c>
      <c r="O33" s="12"/>
      <c r="P33" s="11"/>
    </row>
    <row r="34" spans="1:16" ht="15">
      <c r="A34" s="121"/>
      <c r="B34" s="45" t="s">
        <v>19</v>
      </c>
      <c r="C34" s="46">
        <f>C33/200</f>
        <v>4730400</v>
      </c>
      <c r="G34" s="45" t="s">
        <v>16</v>
      </c>
      <c r="H34" s="94">
        <v>0</v>
      </c>
      <c r="I34" s="94">
        <v>0</v>
      </c>
      <c r="J34" s="97">
        <v>-1.9484219875957887E-5</v>
      </c>
      <c r="K34" s="97">
        <v>-2.2093516320942364E-3</v>
      </c>
      <c r="O34" s="12"/>
      <c r="P34" s="11"/>
    </row>
    <row r="35" spans="1:16" ht="15.75" thickBot="1">
      <c r="P35" s="12"/>
    </row>
    <row r="36" spans="1:16" ht="15.75" thickBot="1">
      <c r="G36" s="102" t="s">
        <v>143</v>
      </c>
      <c r="H36" s="103">
        <f>[1]Dragon_vs_RK1!$AJ$43</f>
        <v>2.1652186908494884E-2</v>
      </c>
      <c r="P36" s="13"/>
    </row>
    <row r="37" spans="1:16" ht="45.75" thickBot="1">
      <c r="A37" s="5" t="s">
        <v>44</v>
      </c>
      <c r="B37" s="8" t="s">
        <v>45</v>
      </c>
      <c r="C37" s="5" t="s">
        <v>87</v>
      </c>
      <c r="D37" s="8" t="s">
        <v>86</v>
      </c>
      <c r="E37" s="5" t="s">
        <v>68</v>
      </c>
      <c r="P37" s="12"/>
    </row>
    <row r="38" spans="1:16" ht="15">
      <c r="A38" s="57">
        <v>10.97</v>
      </c>
      <c r="B38" s="57">
        <v>11.5</v>
      </c>
      <c r="C38" s="74">
        <f>A38*(1-C2/100)+B38*(C2/100)</f>
        <v>11.053634000000001</v>
      </c>
      <c r="D38" s="74">
        <v>0.81333132719162915</v>
      </c>
      <c r="E38" s="74">
        <f>D38*C38</f>
        <v>8.9902668115105175</v>
      </c>
      <c r="P38" s="12"/>
    </row>
    <row r="39" spans="1:16" ht="14.25" customHeight="1" thickBot="1"/>
    <row r="40" spans="1:16" ht="14.25" customHeight="1" thickBot="1">
      <c r="A40" s="5" t="s">
        <v>48</v>
      </c>
      <c r="B40" s="8" t="s">
        <v>52</v>
      </c>
    </row>
    <row r="41" spans="1:16">
      <c r="A41" s="57">
        <v>202.8</v>
      </c>
      <c r="B41" s="58">
        <f>A41*1000000*1.602176565E-19</f>
        <v>3.2492140738200003E-11</v>
      </c>
    </row>
    <row r="42" spans="1:16" ht="15" thickBot="1"/>
    <row r="43" spans="1:16" ht="60.75" thickBot="1">
      <c r="B43" s="5" t="s">
        <v>3</v>
      </c>
      <c r="C43" s="5" t="s">
        <v>4</v>
      </c>
      <c r="D43" s="5" t="s">
        <v>5</v>
      </c>
      <c r="E43" s="5" t="s">
        <v>64</v>
      </c>
      <c r="F43" s="5" t="s">
        <v>6</v>
      </c>
      <c r="G43" s="5" t="s">
        <v>83</v>
      </c>
      <c r="H43" s="5" t="s">
        <v>84</v>
      </c>
      <c r="I43" s="5" t="s">
        <v>85</v>
      </c>
      <c r="J43" s="5" t="s">
        <v>127</v>
      </c>
      <c r="K43" s="5" t="s">
        <v>55</v>
      </c>
      <c r="L43" s="5" t="s">
        <v>132</v>
      </c>
      <c r="M43" s="5" t="s">
        <v>133</v>
      </c>
    </row>
    <row r="44" spans="1:16" ht="15">
      <c r="A44" s="45" t="s">
        <v>7</v>
      </c>
      <c r="B44" s="59">
        <v>87.7</v>
      </c>
      <c r="C44" s="59">
        <f t="shared" ref="C44:C51" si="7">B44*365*24*3600</f>
        <v>2765707200</v>
      </c>
      <c r="D44" s="59" t="s">
        <v>8</v>
      </c>
      <c r="E44" s="60" t="s">
        <v>62</v>
      </c>
      <c r="F44" s="61">
        <f t="shared" ref="F44:F51" si="8">LN(2)/C44</f>
        <v>2.506220400192563E-10</v>
      </c>
      <c r="G44" s="81">
        <f t="shared" ref="G44:H51" si="9">C86*(1+H27)</f>
        <v>1.2575000000000001</v>
      </c>
      <c r="H44" s="81">
        <f t="shared" si="9"/>
        <v>0.49969000000000002</v>
      </c>
      <c r="I44" s="82">
        <f>H44+G44</f>
        <v>1.75719</v>
      </c>
      <c r="J44" s="81">
        <v>3.7700999999999998</v>
      </c>
      <c r="K44" s="72">
        <f t="shared" ref="K44:K51" si="10">G44*1E-24*F10</f>
        <v>1.5130663019492684E-5</v>
      </c>
      <c r="L44" s="72">
        <f t="shared" ref="L44:L51" si="11">I44*1E-24*F10</f>
        <v>2.1143101193814989E-5</v>
      </c>
      <c r="M44" s="72">
        <f t="shared" ref="M44:M51" si="12">J44*1E-24*F10</f>
        <v>4.5363111451124743E-5</v>
      </c>
    </row>
    <row r="45" spans="1:16" ht="15">
      <c r="A45" s="45" t="s">
        <v>9</v>
      </c>
      <c r="B45" s="62">
        <v>24110</v>
      </c>
      <c r="C45" s="62">
        <f t="shared" si="7"/>
        <v>760332960000</v>
      </c>
      <c r="D45" s="62" t="s">
        <v>8</v>
      </c>
      <c r="E45" s="63" t="s">
        <v>63</v>
      </c>
      <c r="F45" s="64">
        <f t="shared" si="8"/>
        <v>9.1163637120235491E-13</v>
      </c>
      <c r="G45" s="81">
        <f t="shared" si="9"/>
        <v>1.7582</v>
      </c>
      <c r="H45" s="81">
        <f t="shared" si="9"/>
        <v>0.46005000000000001</v>
      </c>
      <c r="I45" s="84">
        <f t="shared" ref="I45:I51" si="13">H45+G45</f>
        <v>2.2182499999999998</v>
      </c>
      <c r="J45" s="83">
        <v>5.1894</v>
      </c>
      <c r="K45" s="72">
        <f t="shared" si="10"/>
        <v>3.8297112399999999E-3</v>
      </c>
      <c r="L45" s="72">
        <f t="shared" si="11"/>
        <v>4.8317921499999991E-3</v>
      </c>
      <c r="M45" s="72">
        <f t="shared" si="12"/>
        <v>1.130355108E-2</v>
      </c>
    </row>
    <row r="46" spans="1:16" ht="15">
      <c r="A46" s="45" t="s">
        <v>10</v>
      </c>
      <c r="B46" s="62">
        <v>6561</v>
      </c>
      <c r="C46" s="62">
        <f t="shared" si="7"/>
        <v>206907696000</v>
      </c>
      <c r="D46" s="62" t="s">
        <v>8</v>
      </c>
      <c r="E46" s="62" t="s">
        <v>62</v>
      </c>
      <c r="F46" s="64">
        <f t="shared" si="8"/>
        <v>3.3500309266405695E-12</v>
      </c>
      <c r="G46" s="81">
        <f t="shared" si="9"/>
        <v>0.41238999999999998</v>
      </c>
      <c r="H46" s="81">
        <f t="shared" si="9"/>
        <v>0.45652999999999999</v>
      </c>
      <c r="I46" s="84">
        <f t="shared" si="13"/>
        <v>0.86891999999999991</v>
      </c>
      <c r="J46" s="83">
        <v>1.2642</v>
      </c>
      <c r="K46" s="72">
        <f t="shared" si="10"/>
        <v>2.9834769327898079E-4</v>
      </c>
      <c r="L46" s="72">
        <f t="shared" si="11"/>
        <v>6.2862891351383879E-4</v>
      </c>
      <c r="M46" s="72">
        <f t="shared" si="12"/>
        <v>9.1459820520208425E-4</v>
      </c>
    </row>
    <row r="47" spans="1:16" ht="15">
      <c r="A47" s="45" t="s">
        <v>11</v>
      </c>
      <c r="B47" s="65">
        <v>14.324999999999999</v>
      </c>
      <c r="C47" s="62">
        <f t="shared" si="7"/>
        <v>451753200</v>
      </c>
      <c r="D47" s="62" t="s">
        <v>12</v>
      </c>
      <c r="E47" s="63" t="s">
        <v>63</v>
      </c>
      <c r="F47" s="64">
        <f t="shared" si="8"/>
        <v>1.5343492432592516E-9</v>
      </c>
      <c r="G47" s="81">
        <f t="shared" si="9"/>
        <v>2.4380000000000002</v>
      </c>
      <c r="H47" s="81">
        <f t="shared" si="9"/>
        <v>0.44950000000000001</v>
      </c>
      <c r="I47" s="84">
        <f t="shared" si="13"/>
        <v>2.8875000000000002</v>
      </c>
      <c r="J47" s="83">
        <v>7.2667000000000002</v>
      </c>
      <c r="K47" s="72">
        <f t="shared" si="10"/>
        <v>3.674574210770122E-4</v>
      </c>
      <c r="L47" s="72">
        <f t="shared" si="11"/>
        <v>4.3520644108280255E-4</v>
      </c>
      <c r="M47" s="72">
        <f t="shared" si="12"/>
        <v>1.0952431672437753E-3</v>
      </c>
    </row>
    <row r="48" spans="1:16" ht="15">
      <c r="A48" s="45" t="s">
        <v>13</v>
      </c>
      <c r="B48" s="66">
        <v>375000</v>
      </c>
      <c r="C48" s="67">
        <f t="shared" si="7"/>
        <v>11826000000000</v>
      </c>
      <c r="D48" s="67" t="s">
        <v>8</v>
      </c>
      <c r="E48" s="67" t="s">
        <v>62</v>
      </c>
      <c r="F48" s="68">
        <f t="shared" si="8"/>
        <v>5.8612141092503409E-14</v>
      </c>
      <c r="G48" s="81">
        <f t="shared" si="9"/>
        <v>0.29929</v>
      </c>
      <c r="H48" s="81">
        <f t="shared" si="9"/>
        <v>0.44868000000000002</v>
      </c>
      <c r="I48" s="84">
        <f t="shared" si="13"/>
        <v>0.74797000000000002</v>
      </c>
      <c r="J48" s="83">
        <v>0.93701999999999996</v>
      </c>
      <c r="K48" s="72">
        <f t="shared" si="10"/>
        <v>1.5284949707183427E-5</v>
      </c>
      <c r="L48" s="72">
        <f t="shared" si="11"/>
        <v>3.8199351239540211E-5</v>
      </c>
      <c r="M48" s="72">
        <f t="shared" si="12"/>
        <v>4.7854267014016555E-5</v>
      </c>
    </row>
    <row r="49" spans="1:13" ht="15">
      <c r="A49" s="45" t="s">
        <v>14</v>
      </c>
      <c r="B49" s="65">
        <v>432.6</v>
      </c>
      <c r="C49" s="62">
        <f t="shared" si="7"/>
        <v>13642473600</v>
      </c>
      <c r="D49" s="62" t="s">
        <v>8</v>
      </c>
      <c r="E49" s="63" t="s">
        <v>63</v>
      </c>
      <c r="F49" s="64">
        <f t="shared" si="8"/>
        <v>5.0808027992808087E-11</v>
      </c>
      <c r="G49" s="81">
        <f t="shared" si="9"/>
        <v>0.30307000000000001</v>
      </c>
      <c r="H49" s="81">
        <f t="shared" si="9"/>
        <v>1.6906000000000001</v>
      </c>
      <c r="I49" s="84">
        <f t="shared" si="13"/>
        <v>1.9936700000000001</v>
      </c>
      <c r="J49" s="83">
        <v>1.0602</v>
      </c>
      <c r="K49" s="72">
        <f t="shared" si="10"/>
        <v>9.8560425889905738E-6</v>
      </c>
      <c r="L49" s="72">
        <f t="shared" si="11"/>
        <v>6.4835504762572463E-5</v>
      </c>
      <c r="M49" s="72">
        <f t="shared" si="12"/>
        <v>3.4478425290684679E-5</v>
      </c>
    </row>
    <row r="50" spans="1:13" ht="15">
      <c r="A50" s="45" t="s">
        <v>15</v>
      </c>
      <c r="B50" s="69">
        <v>704000000</v>
      </c>
      <c r="C50" s="67">
        <f t="shared" si="7"/>
        <v>2.2201344E+16</v>
      </c>
      <c r="D50" s="62" t="s">
        <v>8</v>
      </c>
      <c r="E50" s="63" t="s">
        <v>63</v>
      </c>
      <c r="F50" s="68">
        <f t="shared" si="8"/>
        <v>3.1220955837626104E-17</v>
      </c>
      <c r="G50" s="81">
        <f t="shared" si="9"/>
        <v>1.8373999999999999</v>
      </c>
      <c r="H50" s="81">
        <f t="shared" si="9"/>
        <v>0.51766999999999996</v>
      </c>
      <c r="I50" s="84">
        <f t="shared" si="13"/>
        <v>2.35507</v>
      </c>
      <c r="J50" s="83">
        <v>4.5256999999999996</v>
      </c>
      <c r="K50" s="72">
        <f t="shared" si="10"/>
        <v>1.6341343941698178E-4</v>
      </c>
      <c r="L50" s="72">
        <f t="shared" si="11"/>
        <v>2.0945362401640977E-4</v>
      </c>
      <c r="M50" s="72">
        <f t="shared" si="12"/>
        <v>4.0250364796420727E-4</v>
      </c>
    </row>
    <row r="51" spans="1:13" ht="15">
      <c r="A51" s="45" t="s">
        <v>16</v>
      </c>
      <c r="B51" s="70">
        <v>4468000000</v>
      </c>
      <c r="C51" s="71">
        <f t="shared" si="7"/>
        <v>1.40902848E+17</v>
      </c>
      <c r="D51" s="62" t="s">
        <v>8</v>
      </c>
      <c r="E51" s="62" t="s">
        <v>62</v>
      </c>
      <c r="F51" s="64">
        <f t="shared" si="8"/>
        <v>4.9193269717298071E-18</v>
      </c>
      <c r="G51" s="81">
        <f t="shared" si="9"/>
        <v>4.9582000000000001E-2</v>
      </c>
      <c r="H51" s="81">
        <f t="shared" si="9"/>
        <v>0.26423999999999997</v>
      </c>
      <c r="I51" s="84">
        <f t="shared" si="13"/>
        <v>0.31382199999999999</v>
      </c>
      <c r="J51" s="83">
        <v>0.13804</v>
      </c>
      <c r="K51" s="72">
        <f t="shared" si="10"/>
        <v>8.3297398503964976E-4</v>
      </c>
      <c r="L51" s="72">
        <f t="shared" si="11"/>
        <v>5.2721867196384364E-3</v>
      </c>
      <c r="M51" s="72">
        <f t="shared" si="12"/>
        <v>2.319061935679748E-3</v>
      </c>
    </row>
    <row r="53" spans="1:13">
      <c r="F53" s="10"/>
      <c r="G53" s="10"/>
    </row>
    <row r="54" spans="1:13">
      <c r="F54" s="10"/>
      <c r="G54" s="10"/>
    </row>
    <row r="55" spans="1:13">
      <c r="F55" s="10"/>
      <c r="G55" s="10"/>
    </row>
    <row r="56" spans="1:13">
      <c r="F56" s="10"/>
      <c r="G56" s="10"/>
    </row>
    <row r="57" spans="1:13">
      <c r="F57" s="10"/>
      <c r="G57" s="10"/>
      <c r="H57" s="10"/>
    </row>
    <row r="58" spans="1:13" ht="15">
      <c r="A58" s="87" t="s">
        <v>88</v>
      </c>
      <c r="B58" s="87" t="s">
        <v>89</v>
      </c>
      <c r="C58" s="87" t="s">
        <v>90</v>
      </c>
      <c r="D58" s="87" t="s">
        <v>91</v>
      </c>
      <c r="E58" s="87" t="s">
        <v>92</v>
      </c>
      <c r="F58" s="88" t="s">
        <v>93</v>
      </c>
      <c r="G58" s="88" t="s">
        <v>14</v>
      </c>
      <c r="H58" s="88" t="s">
        <v>94</v>
      </c>
    </row>
    <row r="59" spans="1:13" ht="15">
      <c r="A59" s="87" t="s">
        <v>107</v>
      </c>
      <c r="B59" s="85">
        <v>1.3</v>
      </c>
      <c r="C59" s="85">
        <v>56.6</v>
      </c>
      <c r="D59" s="85">
        <v>23.2</v>
      </c>
      <c r="E59" s="85">
        <v>13.9</v>
      </c>
      <c r="F59" s="86">
        <v>4.7</v>
      </c>
      <c r="G59" s="86">
        <v>0.3</v>
      </c>
      <c r="H59" s="86" t="s">
        <v>95</v>
      </c>
    </row>
    <row r="60" spans="1:13" ht="15">
      <c r="A60" s="87" t="s">
        <v>108</v>
      </c>
      <c r="B60" s="85">
        <v>2</v>
      </c>
      <c r="C60" s="85">
        <v>52.5</v>
      </c>
      <c r="D60" s="85">
        <v>24.1</v>
      </c>
      <c r="E60" s="85">
        <v>14.7</v>
      </c>
      <c r="F60" s="86">
        <v>6.2</v>
      </c>
      <c r="G60" s="86">
        <v>0.5</v>
      </c>
      <c r="H60" s="86" t="s">
        <v>96</v>
      </c>
    </row>
    <row r="61" spans="1:13" ht="15">
      <c r="A61" s="87" t="s">
        <v>109</v>
      </c>
      <c r="B61" s="85">
        <v>2.7</v>
      </c>
      <c r="C61" s="85">
        <v>50.4</v>
      </c>
      <c r="D61" s="85">
        <v>24.1</v>
      </c>
      <c r="E61" s="85">
        <v>15.2</v>
      </c>
      <c r="F61" s="85">
        <v>7.1</v>
      </c>
      <c r="G61" s="86">
        <v>0.5</v>
      </c>
      <c r="H61" s="86" t="s">
        <v>97</v>
      </c>
    </row>
    <row r="62" spans="1:13" ht="15">
      <c r="A62" s="87" t="s">
        <v>110</v>
      </c>
      <c r="B62" s="85">
        <v>2.6</v>
      </c>
      <c r="C62" s="85">
        <v>59.8</v>
      </c>
      <c r="D62" s="85">
        <v>23.7</v>
      </c>
      <c r="E62" s="85">
        <v>10.6</v>
      </c>
      <c r="F62" s="85">
        <v>3.3</v>
      </c>
      <c r="G62" s="86">
        <v>0</v>
      </c>
      <c r="H62" s="86" t="s">
        <v>98</v>
      </c>
    </row>
    <row r="63" spans="1:13" ht="15">
      <c r="A63" s="87" t="s">
        <v>111</v>
      </c>
      <c r="B63" s="85">
        <v>0</v>
      </c>
      <c r="C63" s="85">
        <v>56.8</v>
      </c>
      <c r="D63" s="85">
        <v>23.8</v>
      </c>
      <c r="E63" s="85">
        <v>14.3</v>
      </c>
      <c r="F63" s="85">
        <v>5.0999999999999996</v>
      </c>
      <c r="G63" s="86">
        <v>0</v>
      </c>
      <c r="H63" s="86" t="s">
        <v>99</v>
      </c>
    </row>
    <row r="64" spans="1:13" ht="15">
      <c r="A64" s="87" t="s">
        <v>112</v>
      </c>
      <c r="B64" s="85">
        <v>0</v>
      </c>
      <c r="C64" s="85">
        <v>66.599999999999994</v>
      </c>
      <c r="D64" s="85">
        <v>26.6</v>
      </c>
      <c r="E64" s="85">
        <v>5.3</v>
      </c>
      <c r="F64" s="85">
        <v>1.5</v>
      </c>
      <c r="G64" s="86">
        <v>0</v>
      </c>
      <c r="H64" s="86" t="s">
        <v>100</v>
      </c>
    </row>
    <row r="65" spans="1:9" ht="15">
      <c r="A65" s="87" t="s">
        <v>113</v>
      </c>
      <c r="B65" s="85">
        <v>0.6</v>
      </c>
      <c r="C65" s="85">
        <v>53.7</v>
      </c>
      <c r="D65" s="85">
        <v>30.8</v>
      </c>
      <c r="E65" s="85">
        <v>9.9</v>
      </c>
      <c r="F65" s="85">
        <v>5</v>
      </c>
      <c r="G65" s="85">
        <v>0</v>
      </c>
      <c r="H65" s="85" t="s">
        <v>101</v>
      </c>
    </row>
    <row r="66" spans="1:9" ht="15">
      <c r="A66" s="87" t="s">
        <v>114</v>
      </c>
      <c r="B66" s="85">
        <v>0.1</v>
      </c>
      <c r="C66" s="85">
        <v>80</v>
      </c>
      <c r="D66" s="85">
        <v>16.899999999999999</v>
      </c>
      <c r="E66" s="85">
        <v>2.7</v>
      </c>
      <c r="F66" s="85">
        <v>0.3</v>
      </c>
      <c r="G66" s="85">
        <v>0</v>
      </c>
      <c r="H66" s="85" t="s">
        <v>102</v>
      </c>
    </row>
    <row r="67" spans="1:9" ht="15">
      <c r="A67" s="87" t="s">
        <v>115</v>
      </c>
      <c r="B67" s="85">
        <v>0</v>
      </c>
      <c r="C67" s="85">
        <v>68.5</v>
      </c>
      <c r="D67" s="85">
        <v>25</v>
      </c>
      <c r="E67" s="85">
        <v>5.3</v>
      </c>
      <c r="F67" s="85">
        <v>1.2</v>
      </c>
      <c r="G67" s="85">
        <v>0</v>
      </c>
      <c r="H67" s="85" t="s">
        <v>103</v>
      </c>
    </row>
    <row r="68" spans="1:9" ht="15">
      <c r="A68" s="87" t="s">
        <v>116</v>
      </c>
      <c r="B68" s="85">
        <v>2.7</v>
      </c>
      <c r="C68" s="85">
        <v>56</v>
      </c>
      <c r="D68" s="85">
        <v>25.9</v>
      </c>
      <c r="E68" s="85">
        <v>7.4</v>
      </c>
      <c r="F68" s="85">
        <v>7.3</v>
      </c>
      <c r="G68" s="85">
        <v>0.7</v>
      </c>
      <c r="H68" s="85" t="s">
        <v>104</v>
      </c>
    </row>
    <row r="69" spans="1:9" ht="15">
      <c r="A69" s="87" t="s">
        <v>117</v>
      </c>
      <c r="B69" s="85">
        <v>3.6</v>
      </c>
      <c r="C69" s="85">
        <v>47.4</v>
      </c>
      <c r="D69" s="85">
        <v>29.6</v>
      </c>
      <c r="E69" s="85">
        <v>8.1999999999999993</v>
      </c>
      <c r="F69" s="85">
        <v>10.4</v>
      </c>
      <c r="G69" s="85">
        <v>0.8</v>
      </c>
      <c r="H69" s="85" t="s">
        <v>105</v>
      </c>
    </row>
    <row r="70" spans="1:9" ht="15">
      <c r="A70" s="87" t="s">
        <v>118</v>
      </c>
      <c r="B70" s="85">
        <v>0</v>
      </c>
      <c r="C70" s="85">
        <v>66</v>
      </c>
      <c r="D70" s="85">
        <v>27</v>
      </c>
      <c r="E70" s="85">
        <v>2</v>
      </c>
      <c r="F70" s="85">
        <v>5</v>
      </c>
      <c r="G70" s="85">
        <v>0</v>
      </c>
      <c r="H70" s="85" t="s">
        <v>106</v>
      </c>
    </row>
    <row r="74" spans="1:9">
      <c r="A74" s="6" t="s">
        <v>138</v>
      </c>
    </row>
    <row r="75" spans="1:9">
      <c r="G75" s="6" t="s">
        <v>139</v>
      </c>
      <c r="H75" s="6" t="s">
        <v>140</v>
      </c>
    </row>
    <row r="76" spans="1:9">
      <c r="A76" s="6" t="s">
        <v>136</v>
      </c>
      <c r="B76" s="6" t="s">
        <v>7</v>
      </c>
      <c r="C76" s="10">
        <v>1.2561</v>
      </c>
      <c r="D76" s="10">
        <v>0.49730000000000002</v>
      </c>
      <c r="E76" s="10">
        <v>3.7664</v>
      </c>
      <c r="G76" s="94">
        <f>C76/C86-1</f>
        <v>-1.113320079522917E-3</v>
      </c>
      <c r="H76" s="94">
        <f>D76/D86-1</f>
        <v>-4.7829654385719289E-3</v>
      </c>
      <c r="I76" s="94">
        <f>E76/E86-1</f>
        <v>-1.0608953957139677E-3</v>
      </c>
    </row>
    <row r="77" spans="1:9">
      <c r="B77" s="10" t="s">
        <v>9</v>
      </c>
      <c r="C77" s="10">
        <v>1.7562</v>
      </c>
      <c r="D77" s="10">
        <v>0.45823000000000003</v>
      </c>
      <c r="E77" s="10">
        <v>5.1840000000000002</v>
      </c>
      <c r="G77" s="94">
        <f t="shared" ref="G77:I83" si="14">C77/C87-1</f>
        <v>-1.1375270162666817E-3</v>
      </c>
      <c r="H77" s="94">
        <f t="shared" si="14"/>
        <v>-3.956091729159894E-3</v>
      </c>
      <c r="I77" s="94">
        <f t="shared" si="14"/>
        <v>-1.0790812394019245E-3</v>
      </c>
    </row>
    <row r="78" spans="1:9">
      <c r="B78" s="10" t="s">
        <v>10</v>
      </c>
      <c r="C78" s="10">
        <v>0.41256999999999999</v>
      </c>
      <c r="D78" s="10">
        <v>0.45532</v>
      </c>
      <c r="E78" s="10">
        <v>1.2649999999999999</v>
      </c>
      <c r="G78" s="94">
        <f t="shared" si="14"/>
        <v>4.3648003103857747E-4</v>
      </c>
      <c r="H78" s="94">
        <f t="shared" si="14"/>
        <v>-2.6504282303463356E-3</v>
      </c>
      <c r="I78" s="94">
        <f t="shared" si="14"/>
        <v>4.7453337551406349E-4</v>
      </c>
    </row>
    <row r="79" spans="1:9">
      <c r="B79" s="10" t="s">
        <v>11</v>
      </c>
      <c r="C79" s="10">
        <v>2.4331</v>
      </c>
      <c r="D79" s="10">
        <v>0.44797999999999999</v>
      </c>
      <c r="E79" s="10">
        <v>7.2527999999999997</v>
      </c>
      <c r="G79" s="94">
        <f t="shared" si="14"/>
        <v>-2.0098441345365314E-3</v>
      </c>
      <c r="H79" s="94">
        <f t="shared" si="14"/>
        <v>-3.3815350389322374E-3</v>
      </c>
      <c r="I79" s="94">
        <f t="shared" si="14"/>
        <v>-1.9540388055594438E-3</v>
      </c>
    </row>
    <row r="80" spans="1:9">
      <c r="B80" s="10" t="s">
        <v>13</v>
      </c>
      <c r="C80" s="10">
        <v>0.29943999999999998</v>
      </c>
      <c r="D80" s="10">
        <v>0.44711000000000001</v>
      </c>
      <c r="E80" s="10">
        <v>0.93764999999999998</v>
      </c>
      <c r="G80" s="94">
        <f t="shared" si="14"/>
        <v>5.0118614053262789E-4</v>
      </c>
      <c r="H80" s="94">
        <f t="shared" si="14"/>
        <v>-3.4991530712311647E-3</v>
      </c>
      <c r="I80" s="94">
        <f t="shared" si="14"/>
        <v>5.015045135405849E-4</v>
      </c>
    </row>
    <row r="81" spans="1:9">
      <c r="B81" s="10" t="s">
        <v>14</v>
      </c>
      <c r="C81" s="10">
        <v>0.30318000000000001</v>
      </c>
      <c r="D81" s="10">
        <v>1.6854</v>
      </c>
      <c r="E81" s="10">
        <v>1.0609</v>
      </c>
      <c r="G81" s="94">
        <f t="shared" si="14"/>
        <v>3.6295245322870429E-4</v>
      </c>
      <c r="H81" s="94">
        <f t="shared" si="14"/>
        <v>-3.0758310658938193E-3</v>
      </c>
      <c r="I81" s="94">
        <f t="shared" si="14"/>
        <v>4.7152018106366711E-4</v>
      </c>
    </row>
    <row r="82" spans="1:9">
      <c r="B82" s="10" t="s">
        <v>15</v>
      </c>
      <c r="C82" s="10">
        <v>1.8334999999999999</v>
      </c>
      <c r="D82" s="10">
        <v>0.51568999999999998</v>
      </c>
      <c r="E82" s="10">
        <v>4.5164999999999997</v>
      </c>
      <c r="G82" s="94">
        <f t="shared" si="14"/>
        <v>-2.1225644933057231E-3</v>
      </c>
      <c r="H82" s="94">
        <f t="shared" si="14"/>
        <v>-3.8248304904668906E-3</v>
      </c>
      <c r="I82" s="94">
        <f t="shared" si="14"/>
        <v>-2.0769349742593146E-3</v>
      </c>
    </row>
    <row r="83" spans="1:9">
      <c r="B83" s="10" t="s">
        <v>16</v>
      </c>
      <c r="C83" s="10">
        <v>4.9605999999999997E-2</v>
      </c>
      <c r="D83" s="10">
        <v>0.26545999999999997</v>
      </c>
      <c r="E83" s="10">
        <v>0.13814000000000001</v>
      </c>
      <c r="G83" s="94">
        <f t="shared" si="14"/>
        <v>4.8404662982526325E-4</v>
      </c>
      <c r="H83" s="94">
        <f t="shared" si="14"/>
        <v>4.6170148349984341E-3</v>
      </c>
      <c r="I83" s="94">
        <f t="shared" si="14"/>
        <v>5.069892083726657E-4</v>
      </c>
    </row>
    <row r="84" spans="1:9">
      <c r="B84" s="10"/>
      <c r="C84" s="10"/>
      <c r="D84" s="10"/>
    </row>
    <row r="86" spans="1:9">
      <c r="A86" s="6" t="s">
        <v>137</v>
      </c>
      <c r="B86" s="6" t="s">
        <v>7</v>
      </c>
      <c r="C86" s="10">
        <v>1.2575000000000001</v>
      </c>
      <c r="D86" s="10">
        <v>0.49969000000000002</v>
      </c>
      <c r="E86" s="10">
        <v>3.7704</v>
      </c>
    </row>
    <row r="87" spans="1:9">
      <c r="B87" s="6" t="s">
        <v>9</v>
      </c>
      <c r="C87" s="10">
        <v>1.7582</v>
      </c>
      <c r="D87" s="10">
        <v>0.46005000000000001</v>
      </c>
      <c r="E87" s="10">
        <v>5.1896000000000004</v>
      </c>
    </row>
    <row r="88" spans="1:9">
      <c r="B88" s="6" t="s">
        <v>10</v>
      </c>
      <c r="C88" s="10">
        <v>0.41238999999999998</v>
      </c>
      <c r="D88" s="10">
        <v>0.45652999999999999</v>
      </c>
      <c r="E88" s="10">
        <v>1.2644</v>
      </c>
    </row>
    <row r="89" spans="1:9">
      <c r="B89" s="6" t="s">
        <v>11</v>
      </c>
      <c r="C89" s="10">
        <v>2.4380000000000002</v>
      </c>
      <c r="D89" s="10">
        <v>0.44950000000000001</v>
      </c>
      <c r="E89" s="10">
        <v>7.2670000000000003</v>
      </c>
    </row>
    <row r="90" spans="1:9">
      <c r="B90" s="6" t="s">
        <v>13</v>
      </c>
      <c r="C90" s="10">
        <v>0.29929</v>
      </c>
      <c r="D90" s="10">
        <v>0.44868000000000002</v>
      </c>
      <c r="E90" s="10">
        <v>0.93718000000000001</v>
      </c>
    </row>
    <row r="91" spans="1:9">
      <c r="B91" s="6" t="s">
        <v>14</v>
      </c>
      <c r="C91" s="10">
        <v>0.30307000000000001</v>
      </c>
      <c r="D91" s="10">
        <v>1.6906000000000001</v>
      </c>
      <c r="E91" s="10">
        <v>1.0604</v>
      </c>
    </row>
    <row r="92" spans="1:9">
      <c r="B92" s="6" t="s">
        <v>15</v>
      </c>
      <c r="C92" s="10">
        <v>1.8373999999999999</v>
      </c>
      <c r="D92" s="10">
        <v>0.51766999999999996</v>
      </c>
      <c r="E92" s="10">
        <v>4.5259</v>
      </c>
    </row>
    <row r="93" spans="1:9">
      <c r="B93" s="6" t="s">
        <v>16</v>
      </c>
      <c r="C93" s="10">
        <v>4.9582000000000001E-2</v>
      </c>
      <c r="D93" s="10">
        <v>0.26423999999999997</v>
      </c>
      <c r="E93" s="10">
        <v>0.13807</v>
      </c>
    </row>
    <row r="96" spans="1:9">
      <c r="C96" s="10"/>
      <c r="D96" s="10"/>
      <c r="E96" s="10"/>
    </row>
    <row r="97" spans="3:5">
      <c r="C97" s="10"/>
      <c r="D97" s="10"/>
      <c r="E97" s="10"/>
    </row>
    <row r="98" spans="3:5">
      <c r="C98" s="10"/>
      <c r="D98" s="10"/>
      <c r="E98" s="10"/>
    </row>
    <row r="99" spans="3:5">
      <c r="C99" s="10"/>
      <c r="D99" s="10"/>
      <c r="E99" s="10"/>
    </row>
    <row r="100" spans="3:5">
      <c r="C100" s="10"/>
      <c r="D100" s="10"/>
      <c r="E100" s="10"/>
    </row>
    <row r="101" spans="3:5">
      <c r="C101" s="10"/>
      <c r="D101" s="10"/>
      <c r="E101" s="10"/>
    </row>
    <row r="102" spans="3:5">
      <c r="C102" s="10"/>
      <c r="D102" s="10"/>
      <c r="E102" s="10"/>
    </row>
    <row r="103" spans="3:5">
      <c r="C103" s="10"/>
      <c r="D103" s="10"/>
      <c r="E103" s="10"/>
    </row>
  </sheetData>
  <mergeCells count="5">
    <mergeCell ref="G25:I25"/>
    <mergeCell ref="J25:K25"/>
    <mergeCell ref="A23:A31"/>
    <mergeCell ref="A32:A34"/>
    <mergeCell ref="A10:A22"/>
  </mergeCells>
  <conditionalFormatting sqref="J27:K34">
    <cfRule type="colorScale" priority="1">
      <colorScale>
        <cfvo type="min"/>
        <cfvo type="percentile" val="50"/>
        <cfvo type="max"/>
        <color rgb="FF5A8AC6"/>
        <color rgb="FFFCFCFF"/>
        <color rgb="FFF8696B"/>
      </colorScale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AC136"/>
  <sheetViews>
    <sheetView tabSelected="1" zoomScale="70" zoomScaleNormal="70" workbookViewId="0">
      <selection activeCell="H28" sqref="H28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2.25" style="2" customWidth="1"/>
    <col min="4" max="4" width="18" style="2" bestFit="1" customWidth="1"/>
    <col min="5" max="5" width="4.375" style="2" bestFit="1" customWidth="1"/>
    <col min="6" max="6" width="5.25" style="2" customWidth="1"/>
    <col min="7" max="7" width="11.375" style="2" bestFit="1" customWidth="1"/>
    <col min="8" max="8" width="11.375" style="2" customWidth="1"/>
    <col min="9" max="9" width="10.875" style="1" bestFit="1" customWidth="1"/>
    <col min="10" max="10" width="14.75" style="2" bestFit="1" customWidth="1"/>
    <col min="11" max="11" width="10.875" style="1" bestFit="1" customWidth="1"/>
    <col min="12" max="12" width="14.75" style="2" bestFit="1" customWidth="1"/>
    <col min="13" max="13" width="10.875" style="1" bestFit="1" customWidth="1"/>
    <col min="14" max="14" width="14.75" style="2" bestFit="1" customWidth="1"/>
    <col min="15" max="15" width="10.5" style="1" bestFit="1" customWidth="1"/>
    <col min="16" max="16" width="14.375" style="2" bestFit="1" customWidth="1"/>
    <col min="17" max="17" width="10.875" style="1" bestFit="1" customWidth="1"/>
    <col min="18" max="18" width="14.75" style="2" bestFit="1" customWidth="1"/>
    <col min="19" max="19" width="10.875" style="1" bestFit="1" customWidth="1"/>
    <col min="20" max="20" width="14.75" style="2" bestFit="1" customWidth="1"/>
    <col min="21" max="21" width="12.625" style="2" customWidth="1"/>
    <col min="22" max="22" width="3.375" style="2" customWidth="1"/>
    <col min="23" max="23" width="9.625" style="2" bestFit="1" customWidth="1"/>
    <col min="24" max="24" width="13.5" style="2" bestFit="1" customWidth="1"/>
    <col min="25" max="25" width="9.625" style="2" bestFit="1" customWidth="1"/>
    <col min="26" max="26" width="13.5" style="2" bestFit="1" customWidth="1"/>
    <col min="27" max="27" width="20.25" style="2" bestFit="1" customWidth="1"/>
    <col min="28" max="16384" width="15.5" style="2"/>
  </cols>
  <sheetData>
    <row r="1" spans="1:29" s="31" customFormat="1" ht="30.75" thickBot="1">
      <c r="B1" s="5" t="s">
        <v>81</v>
      </c>
      <c r="C1" s="2"/>
      <c r="D1" s="29" t="s">
        <v>22</v>
      </c>
      <c r="E1" s="30" t="s">
        <v>23</v>
      </c>
      <c r="F1" s="30" t="s">
        <v>24</v>
      </c>
      <c r="G1" s="34" t="s">
        <v>25</v>
      </c>
      <c r="H1" s="45" t="s">
        <v>59</v>
      </c>
      <c r="I1" s="32" t="s">
        <v>26</v>
      </c>
      <c r="J1" s="35" t="s">
        <v>27</v>
      </c>
      <c r="K1" s="32" t="s">
        <v>28</v>
      </c>
      <c r="L1" s="30" t="s">
        <v>42</v>
      </c>
      <c r="M1" s="36" t="s">
        <v>29</v>
      </c>
      <c r="N1" s="30" t="s">
        <v>30</v>
      </c>
      <c r="O1" s="32" t="s">
        <v>31</v>
      </c>
      <c r="P1" s="30" t="s">
        <v>32</v>
      </c>
      <c r="Q1" s="32" t="s">
        <v>33</v>
      </c>
      <c r="R1" s="30" t="s">
        <v>34</v>
      </c>
      <c r="S1" s="32" t="s">
        <v>78</v>
      </c>
      <c r="T1" s="30" t="s">
        <v>35</v>
      </c>
      <c r="U1" s="30" t="s">
        <v>61</v>
      </c>
      <c r="W1" s="32" t="s">
        <v>79</v>
      </c>
      <c r="X1" s="30" t="s">
        <v>36</v>
      </c>
      <c r="Y1" s="32" t="s">
        <v>80</v>
      </c>
      <c r="Z1" s="30" t="s">
        <v>37</v>
      </c>
      <c r="AA1" s="30" t="s">
        <v>60</v>
      </c>
    </row>
    <row r="2" spans="1:29" ht="15.75" thickBot="1">
      <c r="A2" s="45" t="s">
        <v>7</v>
      </c>
      <c r="B2" s="73">
        <f>Données!D10</f>
        <v>19.041708027546772</v>
      </c>
      <c r="D2" s="16" t="s">
        <v>38</v>
      </c>
      <c r="E2" s="37">
        <v>0</v>
      </c>
      <c r="F2" s="26">
        <f t="shared" ref="F2:F18" si="0">G2/(3600*365*24)</f>
        <v>0</v>
      </c>
      <c r="G2" s="17">
        <f t="shared" ref="G2:G18" si="1">E2*D$5</f>
        <v>0</v>
      </c>
      <c r="H2" s="75">
        <f>IF(F2&lt;Données!C$26/365,Données!C$30,0)</f>
        <v>3125923379334265</v>
      </c>
      <c r="I2" s="39">
        <f>B2</f>
        <v>19.041708027546772</v>
      </c>
      <c r="J2" s="21">
        <f>-(Données!I$44*1E-24*H2+Données!F$44)*I2</f>
        <v>-1.0936535204340274E-7</v>
      </c>
      <c r="K2" s="41">
        <f>B3</f>
        <v>3461.5820803761339</v>
      </c>
      <c r="L2" s="23">
        <f>-(Données!I$45*1E-24*H2+Données!F$45)*K2+(I2*Données!H$44*1E-24*H2)+(Données!H$51*1E-24*H2)*Y2</f>
        <v>-2.015899358916743E-6</v>
      </c>
      <c r="M2" s="39">
        <f>B4</f>
        <v>1154.5288235649409</v>
      </c>
      <c r="N2" s="21">
        <f>-(Données!I$46*1E-24*H2+Données!F$46)*M2+Données!H$45*1E-24*H2*K2</f>
        <v>1.8382628556946444E-6</v>
      </c>
      <c r="O2" s="41">
        <f>B5</f>
        <v>241.52903340204062</v>
      </c>
      <c r="P2" s="23">
        <f>-(Données!I$47*1E-24*H2+Données!F$47)*O2+(Données!H$46*1E-24*H2)*M2</f>
        <v>-9.0305355164630673E-7</v>
      </c>
      <c r="Q2" s="39">
        <f>B6</f>
        <v>82.180003066254471</v>
      </c>
      <c r="R2" s="43">
        <f>-(Données!I$48*1E-24*H2+Données!F$48)*Q2+Données!H$47*1E-24*H2*O2+(Données!I$49*1E-24*H2*S2)*0.85*0.16</f>
        <v>1.9139330840210632E-7</v>
      </c>
      <c r="S2" s="41">
        <f>B7</f>
        <v>52.114148285917473</v>
      </c>
      <c r="T2" s="22">
        <f>-(Données!I$49*1E-24*H2+Données!F$49)*S2+Données!F$47*O2</f>
        <v>4.3163591081061186E-8</v>
      </c>
      <c r="U2" s="38">
        <f t="shared" ref="U2:U18" si="2">I2+K2+M2+O2+Q2+S2</f>
        <v>5010.9757967228352</v>
      </c>
      <c r="V2" s="19"/>
      <c r="W2" s="39">
        <f>B8</f>
        <v>138.97314965789133</v>
      </c>
      <c r="X2" s="21">
        <f>-(Données!I$50*1E-24*H2+Données!F$50)*W2+Données!F$45*K2</f>
        <v>-1.0199324380558183E-6</v>
      </c>
      <c r="Y2" s="41">
        <f>B9</f>
        <v>26586.632553782751</v>
      </c>
      <c r="Z2" s="23">
        <f>-(Données!I$51*1E-24*H2+Données!F$51)*Y2+Données!F$48*Q2</f>
        <v>-2.6081043881043615E-5</v>
      </c>
      <c r="AA2" s="14">
        <f>W2+Y2</f>
        <v>26725.60570344064</v>
      </c>
    </row>
    <row r="3" spans="1:29" ht="15.75" thickBot="1">
      <c r="A3" s="45" t="s">
        <v>9</v>
      </c>
      <c r="B3" s="73">
        <f>Données!D11</f>
        <v>3461.5820803761339</v>
      </c>
      <c r="E3" s="20">
        <v>1</v>
      </c>
      <c r="F3" s="27">
        <f t="shared" si="0"/>
        <v>8.3333333333333329E-2</v>
      </c>
      <c r="G3" s="18">
        <f t="shared" si="1"/>
        <v>2628000</v>
      </c>
      <c r="H3" s="75">
        <f>IF(F3&lt;Données!C$26/365,Données!C$30,0)</f>
        <v>3125923379334265</v>
      </c>
      <c r="I3" s="40">
        <f>I2+J2*D$5</f>
        <v>18.754295882376709</v>
      </c>
      <c r="J3" s="21">
        <f>-(Données!I$44*1E-24*H3+Données!F$44)*I3</f>
        <v>-1.0771461092329939E-7</v>
      </c>
      <c r="K3" s="42">
        <f>K2+L2*D$5</f>
        <v>3456.2842968609007</v>
      </c>
      <c r="L3" s="23">
        <f>-(Données!I$45*1E-24*H3+Données!F$45)*K3+(I3*Données!H$44*1E-24*H3)+(Données!H$51*1E-24*H3)*Y3</f>
        <v>-2.03622265321151E-6</v>
      </c>
      <c r="M3" s="40">
        <f>M2+N2*D$5</f>
        <v>1159.3597783497064</v>
      </c>
      <c r="N3" s="21">
        <f>-(Données!I$46*1E-24*H3+Données!F$46)*M3+Données!H$45*1E-24*H3*K3</f>
        <v>1.8175062998326076E-6</v>
      </c>
      <c r="O3" s="42">
        <f>O2+P2*D$5</f>
        <v>239.15580866831414</v>
      </c>
      <c r="P3" s="23">
        <f>-(Données!I$47*1E-24*H3+Données!F$47)*O3+(Données!H$46*1E-24*H3)*M3</f>
        <v>-8.7109707505685337E-7</v>
      </c>
      <c r="Q3" s="40">
        <f>Q2+R2*D$5</f>
        <v>82.682984680735203</v>
      </c>
      <c r="R3" s="43">
        <f>-(Données!I$48*1E-24*H3+Données!F$48)*Q3+Données!H$47*1E-24*H3*O3+(Données!I$49*1E-24*H3*S3)*0.85*0.16</f>
        <v>1.8697877708014505E-7</v>
      </c>
      <c r="S3" s="42">
        <f>S2+T2*D$5</f>
        <v>52.227582203278502</v>
      </c>
      <c r="T3" s="22">
        <f>-(Données!I$49*1E-24*H3+Données!F$49)*S3+Données!F$47*O3</f>
        <v>3.8809545212256615E-8</v>
      </c>
      <c r="U3" s="28">
        <f t="shared" si="2"/>
        <v>5008.4647466453116</v>
      </c>
      <c r="V3" s="19"/>
      <c r="W3" s="40">
        <f t="shared" ref="W3:W18" si="3">W2+X2*D$5</f>
        <v>136.29276721068064</v>
      </c>
      <c r="X3" s="21">
        <f>-(Données!I$50*1E-24*H3+Données!F$50)*W3+Données!F$45*K3</f>
        <v>-1.0002049128969372E-6</v>
      </c>
      <c r="Y3" s="42">
        <f t="shared" ref="Y3:Y18" si="4">Y2+Z2*D$5</f>
        <v>26518.091570463366</v>
      </c>
      <c r="Z3" s="23">
        <f>-(Données!I$51*1E-24*H3+Données!F$51)*Y3+Données!F$48*Q3</f>
        <v>-2.6013806275682087E-5</v>
      </c>
      <c r="AA3" s="15">
        <f t="shared" ref="AA3:AA18" si="5">W3+Y3</f>
        <v>26654.384337674048</v>
      </c>
    </row>
    <row r="4" spans="1:29" ht="15.75" thickBot="1">
      <c r="A4" s="45" t="s">
        <v>10</v>
      </c>
      <c r="B4" s="73">
        <f>Données!D12</f>
        <v>1154.5288235649409</v>
      </c>
      <c r="D4" s="3" t="s">
        <v>39</v>
      </c>
      <c r="E4" s="20">
        <v>2</v>
      </c>
      <c r="F4" s="27">
        <f t="shared" si="0"/>
        <v>0.16666666666666666</v>
      </c>
      <c r="G4" s="18">
        <f t="shared" si="1"/>
        <v>5256000</v>
      </c>
      <c r="H4" s="75">
        <f>IF(F4&lt;Données!C$26/365,Données!C$30,0)</f>
        <v>3125923379334265</v>
      </c>
      <c r="I4" s="40">
        <f t="shared" ref="I4:I18" si="6">I3+J3*D$5</f>
        <v>18.471221884870278</v>
      </c>
      <c r="J4" s="21">
        <f>-(Données!I$44*1E-24*H4+Données!F$44)*I4</f>
        <v>-1.0608878579527843E-7</v>
      </c>
      <c r="K4" s="42">
        <f t="shared" ref="K4:K18" si="7">K3+L3*D$5</f>
        <v>3450.9331037282609</v>
      </c>
      <c r="L4" s="23">
        <f>-(Données!I$45*1E-24*H4+Données!F$45)*K4+(I4*Données!H$44*1E-24*H4)+(Données!H$51*1E-24*H4)*Y4</f>
        <v>-2.0560228226349548E-6</v>
      </c>
      <c r="M4" s="40">
        <f t="shared" ref="M4:M18" si="8">M3+N3*D$5</f>
        <v>1164.1361849056666</v>
      </c>
      <c r="N4" s="21">
        <f>-(Données!I$46*1E-24*H4+Données!F$46)*M4+Données!H$45*1E-24*H4*K4</f>
        <v>1.7968212820132787E-6</v>
      </c>
      <c r="O4" s="42">
        <f t="shared" ref="O4:O18" si="9">O3+P3*D$5</f>
        <v>236.86656555506474</v>
      </c>
      <c r="P4" s="23">
        <f>-(Données!I$47*1E-24*H4+Données!F$47)*O4+(Données!H$46*1E-24*H4)*M4</f>
        <v>-8.4010532698978051E-7</v>
      </c>
      <c r="Q4" s="40">
        <f t="shared" ref="Q4:Q18" si="10">Q3+R3*D$5</f>
        <v>83.174364906901829</v>
      </c>
      <c r="R4" s="43">
        <f>-(Données!I$48*1E-24*H4+Données!F$48)*Q4+Données!H$47*1E-24*H4*O4+(Données!I$49*1E-24*H4*S4)*0.85*0.16</f>
        <v>1.8269967624874393E-7</v>
      </c>
      <c r="S4" s="42">
        <f t="shared" ref="S4:S18" si="11">S3+T3*D$5</f>
        <v>52.32957368809631</v>
      </c>
      <c r="T4" s="22">
        <f>-(Données!I$49*1E-24*H4+Données!F$49)*S4+Données!F$47*O4</f>
        <v>3.4656247769018684E-8</v>
      </c>
      <c r="U4" s="28">
        <f t="shared" si="2"/>
        <v>5005.9110146688618</v>
      </c>
      <c r="V4" s="19"/>
      <c r="W4" s="40">
        <f t="shared" si="3"/>
        <v>133.66422869958748</v>
      </c>
      <c r="X4" s="21">
        <f>-(Données!I$50*1E-24*H4+Données!F$50)*W4+Données!F$45*K4</f>
        <v>-9.8085909947906486E-7</v>
      </c>
      <c r="Y4" s="42">
        <f t="shared" si="4"/>
        <v>26449.727287570873</v>
      </c>
      <c r="Z4" s="23">
        <f>-(Données!I$51*1E-24*H4+Données!F$51)*Y4+Données!F$48*Q4</f>
        <v>-2.5946742011209358E-5</v>
      </c>
      <c r="AA4" s="15">
        <f t="shared" si="5"/>
        <v>26583.391516270462</v>
      </c>
    </row>
    <row r="5" spans="1:29" ht="15.75" thickBot="1">
      <c r="A5" s="45" t="s">
        <v>11</v>
      </c>
      <c r="B5" s="73">
        <f>Données!D13</f>
        <v>241.52903340204062</v>
      </c>
      <c r="D5" s="16">
        <f>3600*365*24/12</f>
        <v>2628000</v>
      </c>
      <c r="E5" s="20">
        <v>3</v>
      </c>
      <c r="F5" s="27">
        <f t="shared" si="0"/>
        <v>0.25</v>
      </c>
      <c r="G5" s="18">
        <f t="shared" si="1"/>
        <v>7884000</v>
      </c>
      <c r="H5" s="75">
        <f>IF(F5&lt;Données!C$26/365,Données!C$30,0)</f>
        <v>3125923379334265</v>
      </c>
      <c r="I5" s="40">
        <f t="shared" si="6"/>
        <v>18.192420555800286</v>
      </c>
      <c r="J5" s="21">
        <f>-(Données!I$44*1E-24*H5+Données!F$44)*I5</f>
        <v>-1.0448750058179873E-7</v>
      </c>
      <c r="K5" s="42">
        <f t="shared" si="7"/>
        <v>3445.529875750376</v>
      </c>
      <c r="L5" s="23">
        <f>-(Données!I$45*1E-24*H5+Données!F$45)*K5+(I5*Données!H$44*1E-24*H5)+(Données!H$51*1E-24*H5)*Y5</f>
        <v>-2.0753098797711212E-6</v>
      </c>
      <c r="M5" s="40">
        <f t="shared" si="8"/>
        <v>1168.8582312347976</v>
      </c>
      <c r="N5" s="21">
        <f>-(Données!I$46*1E-24*H5+Données!F$46)*M5+Données!H$45*1E-24*H5*K5</f>
        <v>1.7762092679939308E-6</v>
      </c>
      <c r="O5" s="42">
        <f t="shared" si="9"/>
        <v>234.65876875573559</v>
      </c>
      <c r="P5" s="23">
        <f>-(Données!I$47*1E-24*H5+Données!F$47)*O5+(Données!H$46*1E-24*H5)*M5</f>
        <v>-8.1005126516590539E-7</v>
      </c>
      <c r="Q5" s="40">
        <f t="shared" si="10"/>
        <v>83.65449965608353</v>
      </c>
      <c r="R5" s="43">
        <f>-(Données!I$48*1E-24*H5+Données!F$48)*Q5+Données!H$47*1E-24*H5*O5+(Données!I$49*1E-24*H5*S5)*0.85*0.16</f>
        <v>1.7855205851076242E-7</v>
      </c>
      <c r="S5" s="42">
        <f t="shared" si="11"/>
        <v>52.420650307233295</v>
      </c>
      <c r="T5" s="22">
        <f>-(Données!I$49*1E-24*H5+Données!F$49)*S5+Données!F$47*O5</f>
        <v>3.0696494072855545E-8</v>
      </c>
      <c r="U5" s="28">
        <f t="shared" si="2"/>
        <v>5003.3144462600267</v>
      </c>
      <c r="V5" s="19"/>
      <c r="W5" s="40">
        <f t="shared" si="3"/>
        <v>131.0865309861565</v>
      </c>
      <c r="X5" s="21">
        <f>-(Données!I$50*1E-24*H5+Données!F$50)*W5+Données!F$45*K5</f>
        <v>-9.6188761167592309E-7</v>
      </c>
      <c r="Y5" s="42">
        <f t="shared" si="4"/>
        <v>26381.539249565416</v>
      </c>
      <c r="Z5" s="23">
        <f>-(Données!I$51*1E-24*H5+Données!F$51)*Y5+Données!F$48*Q5</f>
        <v>-2.5879850640727471E-5</v>
      </c>
      <c r="AA5" s="15">
        <f t="shared" si="5"/>
        <v>26512.625780551571</v>
      </c>
    </row>
    <row r="6" spans="1:29" ht="15.75" thickBot="1">
      <c r="A6" s="45" t="s">
        <v>13</v>
      </c>
      <c r="B6" s="73">
        <f>Données!D14</f>
        <v>82.180003066254471</v>
      </c>
      <c r="E6" s="20">
        <v>4</v>
      </c>
      <c r="F6" s="27">
        <f t="shared" si="0"/>
        <v>0.33333333333333331</v>
      </c>
      <c r="G6" s="18">
        <f t="shared" si="1"/>
        <v>10512000</v>
      </c>
      <c r="H6" s="75">
        <f>IF(F6&lt;Données!C$26/365,Données!C$30,0)</f>
        <v>3125923379334265</v>
      </c>
      <c r="I6" s="40">
        <f t="shared" si="6"/>
        <v>17.917827404271318</v>
      </c>
      <c r="J6" s="21">
        <f>-(Données!I$44*1E-24*H6+Données!F$44)*I6</f>
        <v>-1.0291038488176654E-7</v>
      </c>
      <c r="K6" s="42">
        <f t="shared" si="7"/>
        <v>3440.0759613863374</v>
      </c>
      <c r="L6" s="23">
        <f>-(Données!I$45*1E-24*H6+Données!F$45)*K6+(I6*Données!H$44*1E-24*H6)+(Données!H$51*1E-24*H6)*Y6</f>
        <v>-2.0940936522093199E-6</v>
      </c>
      <c r="M6" s="40">
        <f t="shared" si="8"/>
        <v>1173.5261091910857</v>
      </c>
      <c r="N6" s="21">
        <f>-(Données!I$46*1E-24*H6+Données!F$46)*M6+Données!H$45*1E-24*H6*K6</f>
        <v>1.7556716752158636E-6</v>
      </c>
      <c r="O6" s="42">
        <f t="shared" si="9"/>
        <v>232.52995403087959</v>
      </c>
      <c r="P6" s="23">
        <f>-(Données!I$47*1E-24*H6+Données!F$47)*O6+(Données!H$46*1E-24*H6)*M6</f>
        <v>-7.8090859230979875E-7</v>
      </c>
      <c r="Q6" s="40">
        <f t="shared" si="10"/>
        <v>84.123734465849807</v>
      </c>
      <c r="R6" s="43">
        <f>-(Données!I$48*1E-24*H6+Données!F$48)*Q6+Données!H$47*1E-24*H6*O6+(Données!I$49*1E-24*H6*S6)*0.85*0.16</f>
        <v>1.7453208453348706E-7</v>
      </c>
      <c r="S6" s="42">
        <f t="shared" si="11"/>
        <v>52.501320693656758</v>
      </c>
      <c r="T6" s="22">
        <f>-(Données!I$49*1E-24*H6+Données!F$49)*S6+Données!F$47*O6</f>
        <v>2.6923307446199021E-8</v>
      </c>
      <c r="U6" s="28">
        <f t="shared" si="2"/>
        <v>5000.6749071720806</v>
      </c>
      <c r="V6" s="19"/>
      <c r="W6" s="40">
        <f t="shared" si="3"/>
        <v>128.55869034267218</v>
      </c>
      <c r="X6" s="21">
        <f>-(Données!I$50*1E-24*H6+Données!F$50)*W6+Données!F$45*K6</f>
        <v>-9.4328320628259338E-7</v>
      </c>
      <c r="Y6" s="42">
        <f t="shared" si="4"/>
        <v>26313.527002081584</v>
      </c>
      <c r="Z6" s="23">
        <f>-(Données!I$51*1E-24*H6+Données!F$51)*Y6+Données!F$48*Q6</f>
        <v>-2.5813131718491198E-5</v>
      </c>
      <c r="AA6" s="15">
        <f t="shared" si="5"/>
        <v>26442.085692424258</v>
      </c>
    </row>
    <row r="7" spans="1:29" ht="15.75" thickBot="1">
      <c r="A7" s="45" t="s">
        <v>14</v>
      </c>
      <c r="B7" s="73">
        <f>Données!D15</f>
        <v>52.114148285917473</v>
      </c>
      <c r="D7" s="3" t="s">
        <v>40</v>
      </c>
      <c r="E7" s="20">
        <v>5</v>
      </c>
      <c r="F7" s="27">
        <f t="shared" si="0"/>
        <v>0.41666666666666669</v>
      </c>
      <c r="G7" s="18">
        <f t="shared" si="1"/>
        <v>13140000</v>
      </c>
      <c r="H7" s="75">
        <f>IF(F7&lt;Données!C$26/365,Données!C$30,0)</f>
        <v>3125923379334265</v>
      </c>
      <c r="I7" s="40">
        <f t="shared" si="6"/>
        <v>17.647378912802036</v>
      </c>
      <c r="J7" s="21">
        <f>-(Données!I$44*1E-24*H7+Données!F$44)*I7</f>
        <v>-1.0135707388485616E-7</v>
      </c>
      <c r="K7" s="42">
        <f t="shared" si="7"/>
        <v>3434.5726832683313</v>
      </c>
      <c r="L7" s="23">
        <f>-(Données!I$45*1E-24*H7+Données!F$45)*K7+(I7*Données!H$44*1E-24*H7)+(Données!H$51*1E-24*H7)*Y7</f>
        <v>-2.1123837859414384E-6</v>
      </c>
      <c r="M7" s="40">
        <f t="shared" si="8"/>
        <v>1178.1400143535529</v>
      </c>
      <c r="N7" s="21">
        <f>-(Données!I$46*1E-24*H7+Données!F$46)*M7+Données!H$45*1E-24*H7*K7</f>
        <v>1.7352098738488571E-6</v>
      </c>
      <c r="O7" s="42">
        <f t="shared" si="9"/>
        <v>230.47772625028944</v>
      </c>
      <c r="P7" s="23">
        <f>-(Données!I$47*1E-24*H7+Données!F$47)*O7+(Données!H$46*1E-24*H7)*M7</f>
        <v>-7.5265173565499337E-7</v>
      </c>
      <c r="Q7" s="40">
        <f t="shared" si="10"/>
        <v>84.582404784003813</v>
      </c>
      <c r="R7" s="43">
        <f>-(Données!I$48*1E-24*H7+Données!F$48)*Q7+Données!H$47*1E-24*H7*O7+(Données!I$49*1E-24*H7*S7)*0.85*0.16</f>
        <v>1.7063602014144912E-7</v>
      </c>
      <c r="S7" s="42">
        <f t="shared" si="11"/>
        <v>52.572075145625369</v>
      </c>
      <c r="T7" s="22">
        <f>-(Données!I$49*1E-24*H7+Données!F$49)*S7+Données!F$47*O7</f>
        <v>2.3329932443739494E-8</v>
      </c>
      <c r="U7" s="28">
        <f t="shared" si="2"/>
        <v>4997.9922827146056</v>
      </c>
      <c r="V7" s="19"/>
      <c r="W7" s="40">
        <f t="shared" si="3"/>
        <v>126.07974207656153</v>
      </c>
      <c r="X7" s="21">
        <f>-(Données!I$50*1E-24*H7+Données!F$50)*W7+Données!F$45*K7</f>
        <v>-9.2503878025001225E-7</v>
      </c>
      <c r="Y7" s="42">
        <f t="shared" si="4"/>
        <v>26245.690091925389</v>
      </c>
      <c r="Z7" s="23">
        <f>-(Données!I$51*1E-24*H7+Données!F$51)*Y7+Données!F$48*Q7</f>
        <v>-2.5746584799905028E-5</v>
      </c>
      <c r="AA7" s="15">
        <f t="shared" si="5"/>
        <v>26371.769834001952</v>
      </c>
      <c r="AC7" s="19"/>
    </row>
    <row r="8" spans="1:29" ht="15.75" thickBot="1">
      <c r="A8" s="45" t="s">
        <v>15</v>
      </c>
      <c r="B8" s="73">
        <f>Données!D16</f>
        <v>138.97314965789133</v>
      </c>
      <c r="D8" s="16" t="s">
        <v>41</v>
      </c>
      <c r="E8" s="20">
        <v>6</v>
      </c>
      <c r="F8" s="27">
        <f t="shared" si="0"/>
        <v>0.5</v>
      </c>
      <c r="G8" s="18">
        <f t="shared" si="1"/>
        <v>15768000</v>
      </c>
      <c r="H8" s="75">
        <f>IF(F8&lt;Données!C$26/365,Données!C$30,0)</f>
        <v>3125923379334265</v>
      </c>
      <c r="I8" s="40">
        <f t="shared" si="6"/>
        <v>17.381012522632634</v>
      </c>
      <c r="J8" s="21">
        <f>-(Données!I$44*1E-24*H8+Données!F$44)*I8</f>
        <v>-9.9827208287123838E-8</v>
      </c>
      <c r="K8" s="42">
        <f t="shared" si="7"/>
        <v>3429.0213386788773</v>
      </c>
      <c r="L8" s="23">
        <f>-(Données!I$45*1E-24*H8+Données!F$45)*K8+(I8*Données!H$44*1E-24*H8)+(Données!H$51*1E-24*H8)*Y8</f>
        <v>-2.1301897486970421E-6</v>
      </c>
      <c r="M8" s="40">
        <f t="shared" si="8"/>
        <v>1182.7001459020278</v>
      </c>
      <c r="N8" s="21">
        <f>-(Données!I$46*1E-24*H8+Données!F$46)*M8+Données!H$45*1E-24*H8*K8</f>
        <v>1.7148251878153243E-6</v>
      </c>
      <c r="O8" s="42">
        <f t="shared" si="9"/>
        <v>228.49975748898811</v>
      </c>
      <c r="P8" s="23">
        <f>-(Données!I$47*1E-24*H8+Données!F$47)*O8+(Données!H$46*1E-24*H8)*M8</f>
        <v>-7.2525582701406861E-7</v>
      </c>
      <c r="Q8" s="40">
        <f t="shared" si="10"/>
        <v>85.030836244935543</v>
      </c>
      <c r="R8" s="43">
        <f>-(Données!I$48*1E-24*H8+Données!F$48)*Q8+Données!H$47*1E-24*H8*O8+(Données!I$49*1E-24*H8*S8)*0.85*0.16</f>
        <v>1.668602334877096E-7</v>
      </c>
      <c r="S8" s="42">
        <f t="shared" si="11"/>
        <v>52.633386208087515</v>
      </c>
      <c r="T8" s="22">
        <f>-(Données!I$49*1E-24*H8+Données!F$49)*S8+Données!F$47*O8</f>
        <v>1.9909828278160944E-8</v>
      </c>
      <c r="U8" s="28">
        <f t="shared" si="2"/>
        <v>4995.2664770455494</v>
      </c>
      <c r="V8" s="19"/>
      <c r="W8" s="40">
        <f t="shared" si="3"/>
        <v>123.6487401620645</v>
      </c>
      <c r="X8" s="21">
        <f>-(Données!I$50*1E-24*H8+Données!F$50)*W8+Données!F$45*K8</f>
        <v>-9.0714736797298023E-7</v>
      </c>
      <c r="Y8" s="42">
        <f t="shared" si="4"/>
        <v>26178.028067071238</v>
      </c>
      <c r="Z8" s="23">
        <f>-(Données!I$51*1E-24*H8+Données!F$51)*Y8+Données!F$48*Q8</f>
        <v>-2.5680209441520216E-5</v>
      </c>
      <c r="AA8" s="15">
        <f t="shared" si="5"/>
        <v>26301.676807233303</v>
      </c>
      <c r="AC8" s="19"/>
    </row>
    <row r="9" spans="1:29" ht="15.75" thickBot="1">
      <c r="A9" s="45" t="s">
        <v>16</v>
      </c>
      <c r="B9" s="73">
        <f>Données!D17</f>
        <v>26586.632553782751</v>
      </c>
      <c r="E9" s="20">
        <v>7</v>
      </c>
      <c r="F9" s="27">
        <f t="shared" si="0"/>
        <v>0.58333333333333337</v>
      </c>
      <c r="G9" s="18">
        <f t="shared" si="1"/>
        <v>18396000</v>
      </c>
      <c r="H9" s="75">
        <f>IF(F9&lt;Données!C$26/365,Données!C$30,0)</f>
        <v>3125923379334265</v>
      </c>
      <c r="I9" s="40">
        <f t="shared" si="6"/>
        <v>17.118666619254071</v>
      </c>
      <c r="J9" s="21">
        <f>-(Données!I$44*1E-24*H9+Données!F$44)*I9</f>
        <v>-9.8320434207895537E-8</v>
      </c>
      <c r="K9" s="42">
        <f t="shared" si="7"/>
        <v>3423.4232000193015</v>
      </c>
      <c r="L9" s="23">
        <f>-(Données!I$45*1E-24*H9+Données!F$45)*K9+(I9*Données!H$44*1E-24*H9)+(Données!H$51*1E-24*H9)*Y9</f>
        <v>-2.1475208332173256E-6</v>
      </c>
      <c r="M9" s="40">
        <f t="shared" si="8"/>
        <v>1187.2067064956063</v>
      </c>
      <c r="N9" s="21">
        <f>-(Données!I$46*1E-24*H9+Données!F$46)*M9+Données!H$45*1E-24*H9*K9</f>
        <v>1.6945188957945415E-6</v>
      </c>
      <c r="O9" s="42">
        <f t="shared" si="9"/>
        <v>226.59378517559514</v>
      </c>
      <c r="P9" s="23">
        <f>-(Données!I$47*1E-24*H9+Données!F$47)*O9+(Données!H$46*1E-24*H9)*M9</f>
        <v>-6.9869668339800248E-7</v>
      </c>
      <c r="Q9" s="40">
        <f t="shared" si="10"/>
        <v>85.469344938541241</v>
      </c>
      <c r="R9" s="43">
        <f>-(Données!I$48*1E-24*H9+Données!F$48)*Q9+Données!H$47*1E-24*H9*O9+(Données!I$49*1E-24*H9*S9)*0.85*0.16</f>
        <v>1.6320119230147476E-7</v>
      </c>
      <c r="S9" s="42">
        <f t="shared" si="11"/>
        <v>52.685709236802523</v>
      </c>
      <c r="T9" s="22">
        <f>-(Données!I$49*1E-24*H9+Données!F$49)*S9+Données!F$47*O9</f>
        <v>1.6656662434789536E-8</v>
      </c>
      <c r="U9" s="28">
        <f t="shared" si="2"/>
        <v>4992.4974124851014</v>
      </c>
      <c r="V9" s="19"/>
      <c r="W9" s="40">
        <f t="shared" si="3"/>
        <v>121.26475687903151</v>
      </c>
      <c r="X9" s="21">
        <f>-(Données!I$50*1E-24*H9+Données!F$50)*W9+Données!F$45*K9</f>
        <v>-8.8960213863064456E-7</v>
      </c>
      <c r="Y9" s="42">
        <f t="shared" si="4"/>
        <v>26110.540476658924</v>
      </c>
      <c r="Z9" s="23">
        <f>-(Données!I$51*1E-24*H9+Données!F$51)*Y9+Données!F$48*Q9</f>
        <v>-2.5614005201031794E-5</v>
      </c>
      <c r="AA9" s="15">
        <f t="shared" si="5"/>
        <v>26231.805233537954</v>
      </c>
      <c r="AC9" s="19"/>
    </row>
    <row r="10" spans="1:29" ht="15" thickBot="1">
      <c r="E10" s="20">
        <v>8</v>
      </c>
      <c r="F10" s="27">
        <f t="shared" si="0"/>
        <v>0.66666666666666663</v>
      </c>
      <c r="G10" s="18">
        <f t="shared" si="1"/>
        <v>21024000</v>
      </c>
      <c r="H10" s="75">
        <f>IF(F10&lt;Données!C$26/365,Données!C$30,0)</f>
        <v>3125923379334265</v>
      </c>
      <c r="I10" s="40">
        <f t="shared" si="6"/>
        <v>16.860280518155722</v>
      </c>
      <c r="J10" s="21">
        <f>-(Données!I$44*1E-24*H10+Données!F$44)*I10</f>
        <v>-9.6836403107908967E-8</v>
      </c>
      <c r="K10" s="42">
        <f t="shared" si="7"/>
        <v>3417.7795152696062</v>
      </c>
      <c r="L10" s="23">
        <f>-(Données!I$45*1E-24*H10+Données!F$45)*K10+(I10*Données!H$44*1E-24*H10)+(Données!H$51*1E-24*H10)*Y10</f>
        <v>-2.1643861604690646E-6</v>
      </c>
      <c r="M10" s="40">
        <f t="shared" si="8"/>
        <v>1191.6599021537545</v>
      </c>
      <c r="N10" s="21">
        <f>-(Données!I$46*1E-24*H10+Données!F$46)*M10+Données!H$45*1E-24*H10*K10</f>
        <v>1.6742922322073244E-6</v>
      </c>
      <c r="O10" s="42">
        <f t="shared" si="9"/>
        <v>224.75761029162518</v>
      </c>
      <c r="P10" s="23">
        <f>-(Données!I$47*1E-24*H10+Données!F$47)*O10+(Données!H$46*1E-24*H10)*M10</f>
        <v>-6.7295078816962528E-7</v>
      </c>
      <c r="Q10" s="40">
        <f t="shared" si="10"/>
        <v>85.898237671909513</v>
      </c>
      <c r="R10" s="43">
        <f>-(Données!I$48*1E-24*H10+Données!F$48)*Q10+Données!H$47*1E-24*H10*O10+(Données!I$49*1E-24*H10*S10)*0.85*0.16</f>
        <v>1.5965546120996741E-7</v>
      </c>
      <c r="S10" s="42">
        <f t="shared" si="11"/>
        <v>52.729482945681148</v>
      </c>
      <c r="T10" s="22">
        <f>-(Données!I$49*1E-24*H10+Données!F$49)*S10+Données!F$47*O10</f>
        <v>1.3564304469820502E-8</v>
      </c>
      <c r="U10" s="28">
        <f t="shared" si="2"/>
        <v>4989.685028850733</v>
      </c>
      <c r="V10" s="19"/>
      <c r="W10" s="40">
        <f t="shared" si="3"/>
        <v>118.92688245871018</v>
      </c>
      <c r="X10" s="21">
        <f>-(Données!I$50*1E-24*H10+Données!F$50)*W10+Données!F$45*K10</f>
        <v>-8.723963935784452E-7</v>
      </c>
      <c r="Y10" s="42">
        <f t="shared" si="4"/>
        <v>26043.226870990613</v>
      </c>
      <c r="Z10" s="23">
        <f>-(Données!I$51*1E-24*H10+Données!F$51)*Y10+Données!F$48*Q10</f>
        <v>-2.5547971637275613E-5</v>
      </c>
      <c r="AA10" s="15">
        <f t="shared" si="5"/>
        <v>26162.153753449322</v>
      </c>
      <c r="AC10" s="19"/>
    </row>
    <row r="11" spans="1:29" ht="15" thickBot="1">
      <c r="E11" s="20">
        <v>9</v>
      </c>
      <c r="F11" s="27">
        <f t="shared" si="0"/>
        <v>0.75</v>
      </c>
      <c r="G11" s="18">
        <f t="shared" si="1"/>
        <v>23652000</v>
      </c>
      <c r="H11" s="75">
        <f>IF(F11&lt;Données!C$26/365,Données!C$30,0)</f>
        <v>3125923379334265</v>
      </c>
      <c r="I11" s="40">
        <f t="shared" si="6"/>
        <v>16.605794450788139</v>
      </c>
      <c r="J11" s="21">
        <f>-(Données!I$44*1E-24*H11+Données!F$44)*I11</f>
        <v>-9.5374771708691339E-8</v>
      </c>
      <c r="K11" s="42">
        <f t="shared" si="7"/>
        <v>3412.0915084398935</v>
      </c>
      <c r="L11" s="23">
        <f>-(Données!I$45*1E-24*H11+Données!F$45)*K11+(I11*Données!H$44*1E-24*H11)+(Données!H$51*1E-24*H11)*Y11</f>
        <v>-2.180794682799613E-6</v>
      </c>
      <c r="M11" s="40">
        <f t="shared" si="8"/>
        <v>1196.0599421399954</v>
      </c>
      <c r="N11" s="21">
        <f>-(Données!I$46*1E-24*H11+Données!F$46)*M11+Données!H$45*1E-24*H11*K11</f>
        <v>1.6541463881815273E-6</v>
      </c>
      <c r="O11" s="42">
        <f t="shared" si="9"/>
        <v>222.9890956203154</v>
      </c>
      <c r="P11" s="23">
        <f>-(Données!I$47*1E-24*H11+Données!F$47)*O11+(Données!H$46*1E-24*H11)*M11</f>
        <v>-6.4799527271643188E-7</v>
      </c>
      <c r="Q11" s="40">
        <f t="shared" si="10"/>
        <v>86.317812223969312</v>
      </c>
      <c r="R11" s="43">
        <f>-(Données!I$48*1E-24*H11+Données!F$48)*Q11+Données!H$47*1E-24*H11*O11+(Données!I$49*1E-24*H11*S11)*0.85*0.16</f>
        <v>1.5621969913253329E-7</v>
      </c>
      <c r="S11" s="42">
        <f t="shared" si="11"/>
        <v>52.765129937827837</v>
      </c>
      <c r="T11" s="22">
        <f>-(Données!I$49*1E-24*H11+Données!F$49)*S11+Données!F$47*O11</f>
        <v>1.0626819986939799E-8</v>
      </c>
      <c r="U11" s="28">
        <f t="shared" si="2"/>
        <v>4986.8292828127896</v>
      </c>
      <c r="V11" s="19"/>
      <c r="W11" s="40">
        <f t="shared" si="3"/>
        <v>116.63422473638603</v>
      </c>
      <c r="X11" s="21">
        <f>-(Données!I$50*1E-24*H11+Données!F$50)*W11+Données!F$45*K11</f>
        <v>-8.5552356379052339E-7</v>
      </c>
      <c r="Y11" s="42">
        <f t="shared" si="4"/>
        <v>25976.086801527854</v>
      </c>
      <c r="Z11" s="23">
        <f>-(Données!I$51*1E-24*H11+Données!F$51)*Y11+Données!F$48*Q11</f>
        <v>-2.548210831022539E-5</v>
      </c>
      <c r="AA11" s="15">
        <f t="shared" si="5"/>
        <v>26092.72102626424</v>
      </c>
      <c r="AC11" s="19"/>
    </row>
    <row r="12" spans="1:29" ht="15" thickBot="1">
      <c r="E12" s="20">
        <v>10</v>
      </c>
      <c r="F12" s="27">
        <f t="shared" si="0"/>
        <v>0.83333333333333337</v>
      </c>
      <c r="G12" s="18">
        <f t="shared" si="1"/>
        <v>26280000</v>
      </c>
      <c r="H12" s="75">
        <f>IF(F12&lt;Données!C$26/365,Données!C$30,0)</f>
        <v>3125923379334265</v>
      </c>
      <c r="I12" s="40">
        <f t="shared" si="6"/>
        <v>16.355149550737696</v>
      </c>
      <c r="J12" s="21">
        <f>-(Données!I$44*1E-24*H12+Données!F$44)*I12</f>
        <v>-9.3935201913153836E-8</v>
      </c>
      <c r="K12" s="42">
        <f t="shared" si="7"/>
        <v>3406.3603800134961</v>
      </c>
      <c r="L12" s="23">
        <f>-(Données!I$45*1E-24*H12+Données!F$45)*K12+(I12*Données!H$44*1E-24*H12)+(Données!H$51*1E-24*H12)*Y12</f>
        <v>-2.1967551870340931E-6</v>
      </c>
      <c r="M12" s="40">
        <f t="shared" si="8"/>
        <v>1200.4070388481364</v>
      </c>
      <c r="N12" s="21">
        <f>-(Données!I$46*1E-24*H12+Données!F$46)*M12+Données!H$45*1E-24*H12*K12</f>
        <v>1.6340825124987095E-6</v>
      </c>
      <c r="O12" s="42">
        <f t="shared" si="9"/>
        <v>221.28616404361662</v>
      </c>
      <c r="P12" s="23">
        <f>-(Données!I$47*1E-24*H12+Données!F$47)*O12+(Données!H$46*1E-24*H12)*M12</f>
        <v>-6.2380789862839905E-7</v>
      </c>
      <c r="Q12" s="40">
        <f t="shared" si="10"/>
        <v>86.728357593289616</v>
      </c>
      <c r="R12" s="43">
        <f>-(Données!I$48*1E-24*H12+Données!F$48)*Q12+Données!H$47*1E-24*H12*O12+(Données!I$49*1E-24*H12*S12)*0.85*0.16</f>
        <v>1.5289065674501869E-7</v>
      </c>
      <c r="S12" s="42">
        <f t="shared" si="11"/>
        <v>52.793057220753518</v>
      </c>
      <c r="T12" s="22">
        <f>-(Données!I$49*1E-24*H12+Données!F$49)*S12+Données!F$47*O12</f>
        <v>7.838464787299902E-9</v>
      </c>
      <c r="U12" s="28">
        <f t="shared" si="2"/>
        <v>4983.9301472700299</v>
      </c>
      <c r="V12" s="19"/>
      <c r="W12" s="40">
        <f t="shared" si="3"/>
        <v>114.38590881074454</v>
      </c>
      <c r="X12" s="21">
        <f>-(Données!I$50*1E-24*H12+Données!F$50)*W12+Données!F$45*K12</f>
        <v>-8.3897720735162079E-7</v>
      </c>
      <c r="Y12" s="42">
        <f t="shared" si="4"/>
        <v>25909.11982088858</v>
      </c>
      <c r="Z12" s="23">
        <f>-(Données!I$51*1E-24*H12+Données!F$51)*Y12+Données!F$48*Q12</f>
        <v>-2.5416414780989739E-5</v>
      </c>
      <c r="AA12" s="15">
        <f t="shared" si="5"/>
        <v>26023.505729699325</v>
      </c>
      <c r="AC12" s="19"/>
    </row>
    <row r="13" spans="1:29" ht="15" thickBot="1">
      <c r="E13" s="20">
        <v>11</v>
      </c>
      <c r="F13" s="27">
        <f t="shared" si="0"/>
        <v>0.91666666666666663</v>
      </c>
      <c r="G13" s="18">
        <f t="shared" si="1"/>
        <v>28908000</v>
      </c>
      <c r="H13" s="75">
        <f>IF(F13&lt;Données!C$26/365,Données!C$30,0)</f>
        <v>3125923379334265</v>
      </c>
      <c r="I13" s="40">
        <f t="shared" si="6"/>
        <v>16.108287840109927</v>
      </c>
      <c r="J13" s="21">
        <f>-(Données!I$44*1E-24*H13+Données!F$44)*I13</f>
        <v>-9.2517360727384914E-8</v>
      </c>
      <c r="K13" s="42">
        <f t="shared" si="7"/>
        <v>3400.5873073819703</v>
      </c>
      <c r="L13" s="23">
        <f>-(Données!I$45*1E-24*H13+Données!F$45)*K13+(I13*Données!H$44*1E-24*H13)+(Données!H$51*1E-24*H13)*Y13</f>
        <v>-2.2122762975157794E-6</v>
      </c>
      <c r="M13" s="40">
        <f t="shared" si="8"/>
        <v>1204.7014076909829</v>
      </c>
      <c r="N13" s="21">
        <f>-(Données!I$46*1E-24*H13+Données!F$46)*M13+Données!H$45*1E-24*H13*K13</f>
        <v>1.6141017125223371E-6</v>
      </c>
      <c r="O13" s="42">
        <f t="shared" si="9"/>
        <v>219.64679688602118</v>
      </c>
      <c r="P13" s="23">
        <f>-(Données!I$47*1E-24*H13+Données!F$47)*O13+(Données!H$46*1E-24*H13)*M13</f>
        <v>-6.0036704036687102E-7</v>
      </c>
      <c r="Q13" s="40">
        <f t="shared" si="10"/>
        <v>87.130154239215528</v>
      </c>
      <c r="R13" s="43">
        <f>-(Données!I$48*1E-24*H13+Données!F$48)*Q13+Données!H$47*1E-24*H13*O13+(Données!I$49*1E-24*H13*S13)*0.85*0.16</f>
        <v>1.4966517401250838E-7</v>
      </c>
      <c r="S13" s="42">
        <f t="shared" si="11"/>
        <v>52.813656706214545</v>
      </c>
      <c r="T13" s="22">
        <f>-(Données!I$49*1E-24*H13+Données!F$49)*S13+Données!F$47*O13</f>
        <v>5.1936791879511188E-9</v>
      </c>
      <c r="U13" s="28">
        <f t="shared" si="2"/>
        <v>4980.9876107445152</v>
      </c>
      <c r="V13" s="19"/>
      <c r="W13" s="40">
        <f t="shared" si="3"/>
        <v>112.18107670982448</v>
      </c>
      <c r="X13" s="21">
        <f>-(Données!I$50*1E-24*H13+Données!F$50)*W13+Données!F$45*K13</f>
        <v>-8.227510069975088E-7</v>
      </c>
      <c r="Y13" s="42">
        <f t="shared" si="4"/>
        <v>25842.325482844139</v>
      </c>
      <c r="Z13" s="23">
        <f>-(Données!I$51*1E-24*H13+Données!F$51)*Y13+Données!F$48*Q13</f>
        <v>-2.5350890611809263E-5</v>
      </c>
      <c r="AA13" s="15">
        <f t="shared" si="5"/>
        <v>25954.506559553964</v>
      </c>
      <c r="AC13" s="19"/>
    </row>
    <row r="14" spans="1:29" ht="15" thickBot="1">
      <c r="E14" s="20">
        <v>12</v>
      </c>
      <c r="F14" s="27">
        <f t="shared" si="0"/>
        <v>1</v>
      </c>
      <c r="G14" s="18">
        <f t="shared" si="1"/>
        <v>31536000</v>
      </c>
      <c r="H14" s="75">
        <f>IF(F14&lt;Données!C$26/365,Données!C$30,0)</f>
        <v>3125923379334265</v>
      </c>
      <c r="I14" s="40">
        <f t="shared" si="6"/>
        <v>15.865152216118359</v>
      </c>
      <c r="J14" s="21">
        <f>-(Données!I$44*1E-24*H14+Données!F$44)*I14</f>
        <v>-9.1120920183623667E-8</v>
      </c>
      <c r="K14" s="42">
        <f t="shared" si="7"/>
        <v>3394.7734452720988</v>
      </c>
      <c r="L14" s="23">
        <f>-(Données!I$45*1E-24*H14+Données!F$45)*K14+(I14*Données!H$44*1E-24*H14)+(Données!H$51*1E-24*H14)*Y14</f>
        <v>-2.227366479090802E-6</v>
      </c>
      <c r="M14" s="40">
        <f t="shared" si="8"/>
        <v>1208.9432669914916</v>
      </c>
      <c r="N14" s="21">
        <f>-(Données!I$46*1E-24*H14+Données!F$46)*M14+Données!H$45*1E-24*H14*K14</f>
        <v>1.5942050551078571E-6</v>
      </c>
      <c r="O14" s="42">
        <f t="shared" si="9"/>
        <v>218.06903230393704</v>
      </c>
      <c r="P14" s="23">
        <f>-(Données!I$47*1E-24*H14+Données!F$47)*O14+(Données!H$46*1E-24*H14)*M14</f>
        <v>-5.776516684109535E-7</v>
      </c>
      <c r="Q14" s="40">
        <f t="shared" si="10"/>
        <v>87.523474316520407</v>
      </c>
      <c r="R14" s="43">
        <f>-(Données!I$48*1E-24*H14+Données!F$48)*Q14+Données!H$47*1E-24*H14*O14+(Données!I$49*1E-24*H14*S14)*0.85*0.16</f>
        <v>1.4654017778856676E-7</v>
      </c>
      <c r="S14" s="42">
        <f t="shared" si="11"/>
        <v>52.827305695120479</v>
      </c>
      <c r="T14" s="22">
        <f>-(Données!I$49*1E-24*H14+Données!F$49)*S14+Données!F$47*O14</f>
        <v>2.6870825039679632E-9</v>
      </c>
      <c r="U14" s="28">
        <f t="shared" si="2"/>
        <v>4978.0016767952866</v>
      </c>
      <c r="V14" s="19"/>
      <c r="W14" s="40">
        <f t="shared" si="3"/>
        <v>110.01888706343503</v>
      </c>
      <c r="X14" s="21">
        <f>-(Données!I$50*1E-24*H14+Données!F$50)*W14+Données!F$45*K14</f>
        <v>-8.0683876770300936E-7</v>
      </c>
      <c r="Y14" s="42">
        <f t="shared" si="4"/>
        <v>25775.703342316305</v>
      </c>
      <c r="Z14" s="23">
        <f>-(Données!I$51*1E-24*H14+Données!F$51)*Y14+Données!F$48*Q14</f>
        <v>-2.5285535366053602E-5</v>
      </c>
      <c r="AA14" s="15">
        <f t="shared" si="5"/>
        <v>25885.722229379739</v>
      </c>
      <c r="AC14" s="19"/>
    </row>
    <row r="15" spans="1:29" ht="15" thickBot="1">
      <c r="E15" s="20">
        <v>13</v>
      </c>
      <c r="F15" s="27">
        <f t="shared" si="0"/>
        <v>1.0833333333333333</v>
      </c>
      <c r="G15" s="18">
        <f t="shared" si="1"/>
        <v>34164000</v>
      </c>
      <c r="H15" s="75">
        <f>IF(F15&lt;Données!C$26/365,Données!C$30,0)</f>
        <v>3125923379334265</v>
      </c>
      <c r="I15" s="40">
        <f t="shared" si="6"/>
        <v>15.625686437875796</v>
      </c>
      <c r="J15" s="21">
        <f>-(Données!I$44*1E-24*H15+Données!F$44)*I15</f>
        <v>-8.9745557264396129E-8</v>
      </c>
      <c r="K15" s="42">
        <f t="shared" si="7"/>
        <v>3388.9199261650483</v>
      </c>
      <c r="L15" s="23">
        <f>-(Données!I$45*1E-24*H15+Données!F$45)*K15+(I15*Données!H$44*1E-24*H15)+(Données!H$51*1E-24*H15)*Y15</f>
        <v>-2.2420340400380374E-6</v>
      </c>
      <c r="M15" s="40">
        <f t="shared" si="8"/>
        <v>1213.1328378763151</v>
      </c>
      <c r="N15" s="21">
        <f>-(Données!I$46*1E-24*H15+Données!F$46)*M15+Données!H$45*1E-24*H15*K15</f>
        <v>1.5743935674949906E-6</v>
      </c>
      <c r="O15" s="42">
        <f t="shared" si="9"/>
        <v>216.55096371935306</v>
      </c>
      <c r="P15" s="23">
        <f>-(Données!I$47*1E-24*H15+Données!F$47)*O15+(Données!H$46*1E-24*H15)*M15</f>
        <v>-5.556413328682304E-7</v>
      </c>
      <c r="Q15" s="40">
        <f t="shared" si="10"/>
        <v>87.908581903748754</v>
      </c>
      <c r="R15" s="43">
        <f>-(Données!I$48*1E-24*H15+Données!F$48)*Q15+Données!H$47*1E-24*H15*O15+(Données!I$49*1E-24*H15*S15)*0.85*0.16</f>
        <v>1.4351267947917328E-7</v>
      </c>
      <c r="S15" s="42">
        <f t="shared" si="11"/>
        <v>52.834367347940905</v>
      </c>
      <c r="T15" s="22">
        <f>-(Données!I$49*1E-24*H15+Données!F$49)*S15+Données!F$47*O15</f>
        <v>3.1346768964068391E-10</v>
      </c>
      <c r="U15" s="28">
        <f t="shared" si="2"/>
        <v>4974.9723634502825</v>
      </c>
      <c r="V15" s="19"/>
      <c r="W15" s="40">
        <f t="shared" si="3"/>
        <v>107.89851478191152</v>
      </c>
      <c r="X15" s="21">
        <f>-(Données!I$50*1E-24*H15+Données!F$50)*W15+Données!F$45*K15</f>
        <v>-7.9123441431668735E-7</v>
      </c>
      <c r="Y15" s="42">
        <f t="shared" si="4"/>
        <v>25709.252955374315</v>
      </c>
      <c r="Z15" s="23">
        <f>-(Données!I$51*1E-24*H15+Données!F$51)*Y15+Données!F$48*Q15</f>
        <v>-2.5220348608218511E-5</v>
      </c>
      <c r="AA15" s="15">
        <f t="shared" si="5"/>
        <v>25817.151470156226</v>
      </c>
      <c r="AC15" s="25"/>
    </row>
    <row r="16" spans="1:29" ht="15" thickBot="1">
      <c r="E16" s="20">
        <v>14</v>
      </c>
      <c r="F16" s="27">
        <f t="shared" si="0"/>
        <v>1.1666666666666667</v>
      </c>
      <c r="G16" s="18">
        <f t="shared" si="1"/>
        <v>36792000</v>
      </c>
      <c r="H16" s="75">
        <f>IF(F16&lt;Données!C$26/365,Données!C$30,0)</f>
        <v>3125923379334265</v>
      </c>
      <c r="I16" s="40">
        <f t="shared" si="6"/>
        <v>15.389835113384963</v>
      </c>
      <c r="J16" s="21">
        <f>-(Données!I$44*1E-24*H16+Données!F$44)*I16</f>
        <v>-8.8390953827796434E-8</v>
      </c>
      <c r="K16" s="42">
        <f t="shared" si="7"/>
        <v>3383.0278607078285</v>
      </c>
      <c r="L16" s="23">
        <f>-(Données!I$45*1E-24*H16+Données!F$45)*K16+(I16*Données!H$44*1E-24*H16)+(Données!H$51*1E-24*H16)*Y16</f>
        <v>-2.2562871349453777E-6</v>
      </c>
      <c r="M16" s="40">
        <f t="shared" si="8"/>
        <v>1217.2703441716919</v>
      </c>
      <c r="N16" s="21">
        <f>-(Données!I$46*1E-24*H16+Données!F$46)*M16+Données!H$45*1E-24*H16*K16</f>
        <v>1.5546682381825745E-6</v>
      </c>
      <c r="O16" s="42">
        <f t="shared" si="9"/>
        <v>215.09073829657535</v>
      </c>
      <c r="P16" s="23">
        <f>-(Données!I$47*1E-24*H16+Données!F$47)*O16+(Données!H$46*1E-24*H16)*M16</f>
        <v>-5.3431614753698134E-7</v>
      </c>
      <c r="Q16" s="40">
        <f t="shared" si="10"/>
        <v>88.285733225420017</v>
      </c>
      <c r="R16" s="43">
        <f>-(Données!I$48*1E-24*H16+Données!F$48)*Q16+Données!H$47*1E-24*H16*O16+(Données!I$49*1E-24*H16*S16)*0.85*0.16</f>
        <v>1.4057977276959603E-7</v>
      </c>
      <c r="S16" s="42">
        <f t="shared" si="11"/>
        <v>52.835191141029277</v>
      </c>
      <c r="T16" s="22">
        <f>-(Données!I$49*1E-24*H16+Données!F$49)*S16+Données!F$47*O16</f>
        <v>-1.9322038657657845E-9</v>
      </c>
      <c r="U16" s="28">
        <f t="shared" si="2"/>
        <v>4971.8997026559291</v>
      </c>
      <c r="V16" s="19"/>
      <c r="W16" s="40">
        <f t="shared" si="3"/>
        <v>105.81915074108726</v>
      </c>
      <c r="X16" s="21">
        <f>-(Données!I$50*1E-24*H16+Données!F$50)*W16+Données!F$45*K16</f>
        <v>-7.7593198924131148E-7</v>
      </c>
      <c r="Y16" s="42">
        <f t="shared" si="4"/>
        <v>25642.973879231919</v>
      </c>
      <c r="Z16" s="23">
        <f>-(Données!I$51*1E-24*H16+Données!F$51)*Y16+Données!F$48*Q16</f>
        <v>-2.5155329903922955E-5</v>
      </c>
      <c r="AA16" s="15">
        <f t="shared" si="5"/>
        <v>25748.793029973007</v>
      </c>
      <c r="AC16" s="19"/>
    </row>
    <row r="17" spans="5:29" ht="15" thickBot="1">
      <c r="E17" s="20">
        <v>15</v>
      </c>
      <c r="F17" s="27">
        <f t="shared" si="0"/>
        <v>1.25</v>
      </c>
      <c r="G17" s="18">
        <f t="shared" si="1"/>
        <v>39420000</v>
      </c>
      <c r="H17" s="75">
        <f>IF(F17&lt;Données!C$26/365,Données!C$30,0)</f>
        <v>3125923379334265</v>
      </c>
      <c r="I17" s="40">
        <f t="shared" si="6"/>
        <v>15.157543686725514</v>
      </c>
      <c r="J17" s="21">
        <f>-(Données!I$44*1E-24*H17+Données!F$44)*I17</f>
        <v>-8.7056796533895955E-8</v>
      </c>
      <c r="K17" s="42">
        <f t="shared" si="7"/>
        <v>3377.0983381171918</v>
      </c>
      <c r="L17" s="23">
        <f>-(Données!I$45*1E-24*H17+Données!F$45)*K17+(I17*Données!H$44*1E-24*H17)+(Données!H$51*1E-24*H17)*Y17</f>
        <v>-2.2701337675332139E-6</v>
      </c>
      <c r="M17" s="40">
        <f t="shared" si="8"/>
        <v>1221.3560123016357</v>
      </c>
      <c r="N17" s="21">
        <f>-(Données!I$46*1E-24*H17+Données!F$46)*M17+Données!H$45*1E-24*H17*K17</f>
        <v>1.535030017786277E-6</v>
      </c>
      <c r="O17" s="42">
        <f t="shared" si="9"/>
        <v>213.68655546084815</v>
      </c>
      <c r="P17" s="23">
        <f>-(Données!I$47*1E-24*H17+Données!F$47)*O17+(Données!H$46*1E-24*H17)*M17</f>
        <v>-5.1365677440743953E-7</v>
      </c>
      <c r="Q17" s="40">
        <f t="shared" si="10"/>
        <v>88.655176868258522</v>
      </c>
      <c r="R17" s="43">
        <f>-(Données!I$48*1E-24*H17+Données!F$48)*Q17+Données!H$47*1E-24*H17*O17+(Données!I$49*1E-24*H17*S17)*0.85*0.16</f>
        <v>1.3773863141249295E-7</v>
      </c>
      <c r="S17" s="42">
        <f t="shared" si="11"/>
        <v>52.830113309270047</v>
      </c>
      <c r="T17" s="22">
        <f>-(Données!I$49*1E-24*H17+Données!F$49)*S17+Données!F$47*O17</f>
        <v>-4.0548073920576239E-9</v>
      </c>
      <c r="U17" s="28">
        <f t="shared" si="2"/>
        <v>4968.7837397439298</v>
      </c>
      <c r="V17" s="19"/>
      <c r="W17" s="40">
        <f t="shared" si="3"/>
        <v>103.7800014733611</v>
      </c>
      <c r="X17" s="21">
        <f>-(Données!I$50*1E-24*H17+Données!F$50)*W17+Données!F$45*K17</f>
        <v>-7.6092565015919589E-7</v>
      </c>
      <c r="Y17" s="42">
        <f t="shared" si="4"/>
        <v>25576.86567224441</v>
      </c>
      <c r="Z17" s="23">
        <f>-(Données!I$51*1E-24*H17+Données!F$51)*Y17+Données!F$48*Q17</f>
        <v>-2.5090478819906178E-5</v>
      </c>
      <c r="AA17" s="15">
        <f t="shared" si="5"/>
        <v>25680.645673717772</v>
      </c>
      <c r="AC17" s="19"/>
    </row>
    <row r="18" spans="5:29" ht="15" thickBot="1">
      <c r="E18" s="20">
        <v>16</v>
      </c>
      <c r="F18" s="27">
        <f t="shared" si="0"/>
        <v>1.3333333333333333</v>
      </c>
      <c r="G18" s="18">
        <f t="shared" si="1"/>
        <v>42048000</v>
      </c>
      <c r="H18" s="75">
        <f>IF(F18&lt;Données!C$26/365,Données!C$30,0)</f>
        <v>3125923379334265</v>
      </c>
      <c r="I18" s="40">
        <f t="shared" si="6"/>
        <v>14.928758425434436</v>
      </c>
      <c r="J18" s="21">
        <f>-(Données!I$44*1E-24*H18+Données!F$44)*I18</f>
        <v>-8.5742776772263043E-8</v>
      </c>
      <c r="K18" s="42">
        <f t="shared" si="7"/>
        <v>3371.1324265761145</v>
      </c>
      <c r="L18" s="23">
        <f>-(Données!I$45*1E-24*H18+Données!F$45)*K18+(I18*Données!H$44*1E-24*H18)+(Données!H$51*1E-24*H18)*Y18</f>
        <v>-2.2835817934261439E-6</v>
      </c>
      <c r="M18" s="40">
        <f t="shared" si="8"/>
        <v>1225.390071188378</v>
      </c>
      <c r="N18" s="21">
        <f>-(Données!I$46*1E-24*H18+Données!F$46)*M18+Données!H$45*1E-24*H18*K18</f>
        <v>1.5154798198795191E-6</v>
      </c>
      <c r="O18" s="42">
        <f t="shared" si="9"/>
        <v>212.33666545770541</v>
      </c>
      <c r="P18" s="23">
        <f>-(Données!I$47*1E-24*H18+Données!F$47)*O18+(Données!H$46*1E-24*H18)*M18</f>
        <v>-4.9364440858996816E-7</v>
      </c>
      <c r="Q18" s="40">
        <f t="shared" si="10"/>
        <v>89.017153991610556</v>
      </c>
      <c r="R18" s="43">
        <f>-(Données!I$48*1E-24*H18+Données!F$48)*Q18+Données!H$47*1E-24*H18*O18+(Données!I$49*1E-24*H18*S18)*0.85*0.16</f>
        <v>1.3498650707557763E-7</v>
      </c>
      <c r="S18" s="42">
        <f t="shared" si="11"/>
        <v>52.819457275443717</v>
      </c>
      <c r="T18" s="22">
        <f>-(Données!I$49*1E-24*H18+Données!F$49)*S18+Données!F$47*O18</f>
        <v>-6.059059646214105E-9</v>
      </c>
      <c r="U18" s="28">
        <f t="shared" si="2"/>
        <v>4965.6245329146868</v>
      </c>
      <c r="V18" s="19"/>
      <c r="W18" s="40">
        <f t="shared" si="3"/>
        <v>101.78028886474273</v>
      </c>
      <c r="X18" s="21">
        <f>-(Données!I$50*1E-24*H18+Données!F$50)*W18+Données!F$45*K18</f>
        <v>-7.4620966780155773E-7</v>
      </c>
      <c r="Y18" s="42">
        <f t="shared" si="4"/>
        <v>25510.927893905697</v>
      </c>
      <c r="Z18" s="23">
        <f>-(Données!I$51*1E-24*H18+Données!F$51)*Y18+Données!F$48*Q18</f>
        <v>-2.5025794924024821E-5</v>
      </c>
      <c r="AA18" s="15">
        <f t="shared" si="5"/>
        <v>25612.708182770439</v>
      </c>
      <c r="AC18" s="19"/>
    </row>
    <row r="19" spans="5:29" ht="15" thickBot="1">
      <c r="E19" s="20">
        <v>17</v>
      </c>
      <c r="F19" s="27">
        <f t="shared" ref="F19:F30" si="12">G19/(3600*365*24)</f>
        <v>1.4166666666666667</v>
      </c>
      <c r="G19" s="18">
        <f t="shared" ref="G19:G30" si="13">E19*D$5</f>
        <v>44676000</v>
      </c>
      <c r="H19" s="75">
        <f>IF(F19&lt;Données!C$26/365,Données!C$30,0)</f>
        <v>3125923379334265</v>
      </c>
      <c r="I19" s="40">
        <f t="shared" ref="I19:I30" si="14">I18+J18*D$5</f>
        <v>14.703426408076929</v>
      </c>
      <c r="J19" s="21">
        <f>-(Données!I$44*1E-24*H19+Données!F$44)*I19</f>
        <v>-8.4448590590576847E-8</v>
      </c>
      <c r="K19" s="42">
        <f t="shared" ref="K19:K30" si="15">K18+L18*D$5</f>
        <v>3365.1311736229904</v>
      </c>
      <c r="L19" s="23">
        <f>-(Données!I$45*1E-24*H19+Données!F$45)*K19+(I19*Données!H$44*1E-24*H19)+(Données!H$51*1E-24*H19)*Y19</f>
        <v>-2.2966389228739073E-6</v>
      </c>
      <c r="M19" s="40">
        <f t="shared" ref="M19:M30" si="16">M18+N18*D$5</f>
        <v>1229.3727521550213</v>
      </c>
      <c r="N19" s="21">
        <f>-(Données!I$46*1E-24*H19+Données!F$46)*M19+Données!H$45*1E-24*H19*K19</f>
        <v>1.4960185218179055E-6</v>
      </c>
      <c r="O19" s="42">
        <f t="shared" ref="O19:O30" si="17">O18+P18*D$5</f>
        <v>211.03936795193098</v>
      </c>
      <c r="P19" s="23">
        <f>-(Données!I$47*1E-24*H19+Données!F$47)*O19+(Données!H$46*1E-24*H19)*M19</f>
        <v>-4.7426076365836729E-7</v>
      </c>
      <c r="Q19" s="40">
        <f t="shared" ref="Q19:Q30" si="18">Q18+R18*D$5</f>
        <v>89.371898532205179</v>
      </c>
      <c r="R19" s="43">
        <f>-(Données!I$48*1E-24*H19+Données!F$48)*Q19+Données!H$47*1E-24*H19*O19+(Données!I$49*1E-24*H19*S19)*0.85*0.16</f>
        <v>1.3232072724723285E-7</v>
      </c>
      <c r="S19" s="42">
        <f t="shared" ref="S19:S30" si="19">S18+T18*D$5</f>
        <v>52.803534066693466</v>
      </c>
      <c r="T19" s="22">
        <f>-(Données!I$49*1E-24*H19+Données!F$49)*S19+Données!F$47*O19</f>
        <v>-7.9495236786765515E-9</v>
      </c>
      <c r="U19" s="28">
        <f t="shared" ref="U19:U30" si="20">I19+K19+M19+O19+Q19+S19</f>
        <v>4962.4221527369191</v>
      </c>
      <c r="V19" s="19"/>
      <c r="W19" s="40">
        <f t="shared" ref="W19:W30" si="21">W18+X18*D$5</f>
        <v>99.819249857760241</v>
      </c>
      <c r="X19" s="21">
        <f>-(Données!I$50*1E-24*H19+Données!F$50)*W19+Données!F$45*K19</f>
        <v>-7.3177842376103528E-7</v>
      </c>
      <c r="Y19" s="42">
        <f t="shared" ref="Y19:Y30" si="22">Y18+Z18*D$5</f>
        <v>25445.160104845359</v>
      </c>
      <c r="Z19" s="23">
        <f>-(Données!I$51*1E-24*H19+Données!F$51)*Y19+Données!F$48*Q19</f>
        <v>-2.4961277785250027E-5</v>
      </c>
      <c r="AA19" s="15">
        <f t="shared" ref="AA19:AA30" si="23">W19+Y19</f>
        <v>25544.979354703119</v>
      </c>
      <c r="AC19" s="19"/>
    </row>
    <row r="20" spans="5:29" ht="15" thickBot="1">
      <c r="E20" s="20">
        <v>18</v>
      </c>
      <c r="F20" s="27">
        <f t="shared" si="12"/>
        <v>1.5</v>
      </c>
      <c r="G20" s="18">
        <f t="shared" si="13"/>
        <v>47304000</v>
      </c>
      <c r="H20" s="75">
        <f>IF(F20&lt;Données!C$26/365,Données!C$30,0)</f>
        <v>3125923379334265</v>
      </c>
      <c r="I20" s="40">
        <f t="shared" si="14"/>
        <v>14.481495512004892</v>
      </c>
      <c r="J20" s="21">
        <f>-(Données!I$44*1E-24*H20+Données!F$44)*I20</f>
        <v>-8.3173938624318698E-8</v>
      </c>
      <c r="K20" s="42">
        <f t="shared" si="15"/>
        <v>3359.0956065336777</v>
      </c>
      <c r="L20" s="23">
        <f>-(Données!I$45*1E-24*H20+Données!F$45)*K20+(I20*Données!H$44*1E-24*H20)+(Données!H$51*1E-24*H20)*Y20</f>
        <v>-2.3093127234223947E-6</v>
      </c>
      <c r="M20" s="40">
        <f t="shared" si="16"/>
        <v>1233.3042888303587</v>
      </c>
      <c r="N20" s="21">
        <f>-(Données!I$46*1E-24*H20+Données!F$46)*M20+Données!H$45*1E-24*H20*K20</f>
        <v>1.4766469655474848E-6</v>
      </c>
      <c r="O20" s="42">
        <f t="shared" si="17"/>
        <v>209.7930106650368</v>
      </c>
      <c r="P20" s="23">
        <f>-(Données!I$47*1E-24*H20+Données!F$47)*O20+(Données!H$46*1E-24*H20)*M20</f>
        <v>-4.5548805739685495E-7</v>
      </c>
      <c r="Q20" s="40">
        <f t="shared" si="18"/>
        <v>89.719637403410914</v>
      </c>
      <c r="R20" s="43">
        <f>-(Données!I$48*1E-24*H20+Données!F$48)*Q20+Données!H$47*1E-24*H20*O20+(Données!I$49*1E-24*H20*S20)*0.85*0.16</f>
        <v>1.2973869319849841E-7</v>
      </c>
      <c r="S20" s="42">
        <f t="shared" si="19"/>
        <v>52.782642718465901</v>
      </c>
      <c r="T20" s="22">
        <f>-(Données!I$49*1E-24*H20+Données!F$49)*S20+Données!F$47*O20</f>
        <v>-9.7306134618389129E-9</v>
      </c>
      <c r="U20" s="28">
        <f t="shared" si="20"/>
        <v>4959.1766816629543</v>
      </c>
      <c r="V20" s="19"/>
      <c r="W20" s="40">
        <f t="shared" si="21"/>
        <v>97.896136160116242</v>
      </c>
      <c r="X20" s="21">
        <f>-(Données!I$50*1E-24*H20+Données!F$50)*W20+Données!F$45*K20</f>
        <v>-7.1762640834653483E-7</v>
      </c>
      <c r="Y20" s="42">
        <f t="shared" si="22"/>
        <v>25379.561866825723</v>
      </c>
      <c r="Z20" s="23">
        <f>-(Données!I$51*1E-24*H20+Données!F$51)*Y20+Données!F$48*Q20</f>
        <v>-2.4896926973664556E-5</v>
      </c>
      <c r="AA20" s="15">
        <f t="shared" si="23"/>
        <v>25477.458002985841</v>
      </c>
      <c r="AC20" s="19"/>
    </row>
    <row r="21" spans="5:29" ht="15" thickBot="1">
      <c r="E21" s="20">
        <v>19</v>
      </c>
      <c r="F21" s="27">
        <f t="shared" si="12"/>
        <v>1.5833333333333333</v>
      </c>
      <c r="G21" s="18">
        <f t="shared" si="13"/>
        <v>49932000</v>
      </c>
      <c r="H21" s="75">
        <f>IF(F21&lt;Données!C$26/365,Données!C$30,0)</f>
        <v>3125923379334265</v>
      </c>
      <c r="I21" s="40">
        <f t="shared" si="14"/>
        <v>14.262914401300183</v>
      </c>
      <c r="J21" s="21">
        <f>-(Données!I$44*1E-24*H21+Données!F$44)*I21</f>
        <v>-8.1918526027524556E-8</v>
      </c>
      <c r="K21" s="42">
        <f t="shared" si="15"/>
        <v>3353.0267326965236</v>
      </c>
      <c r="L21" s="23">
        <f>-(Données!I$45*1E-24*H21+Données!F$45)*K21+(I21*Données!H$44*1E-24*H21)+(Données!H$51*1E-24*H21)*Y21</f>
        <v>-2.3216106225356862E-6</v>
      </c>
      <c r="M21" s="40">
        <f t="shared" si="16"/>
        <v>1237.1849170558176</v>
      </c>
      <c r="N21" s="21">
        <f>-(Données!I$46*1E-24*H21+Données!F$46)*M21+Données!H$45*1E-24*H21*K21</f>
        <v>1.4573659583971312E-6</v>
      </c>
      <c r="O21" s="42">
        <f t="shared" si="17"/>
        <v>208.59598805019786</v>
      </c>
      <c r="P21" s="23">
        <f>-(Données!I$47*1E-24*H21+Données!F$47)*O21+(Données!H$46*1E-24*H21)*M21</f>
        <v>-4.3730899793957845E-7</v>
      </c>
      <c r="Q21" s="40">
        <f t="shared" si="18"/>
        <v>90.060590689136575</v>
      </c>
      <c r="R21" s="43">
        <f>-(Données!I$48*1E-24*H21+Données!F$48)*Q21+Données!H$47*1E-24*H21*O21+(Données!I$49*1E-24*H21*S21)*0.85*0.16</f>
        <v>1.2723787799990336E-7</v>
      </c>
      <c r="S21" s="42">
        <f t="shared" si="19"/>
        <v>52.757070666288186</v>
      </c>
      <c r="T21" s="22">
        <f>-(Données!I$49*1E-24*H21+Données!F$49)*S21+Données!F$47*O21</f>
        <v>-1.1406598384644188E-8</v>
      </c>
      <c r="U21" s="28">
        <f t="shared" si="20"/>
        <v>4955.8882135592639</v>
      </c>
      <c r="V21" s="19"/>
      <c r="W21" s="40">
        <f t="shared" si="21"/>
        <v>96.010213958981552</v>
      </c>
      <c r="X21" s="21">
        <f>-(Données!I$50*1E-24*H21+Données!F$50)*W21+Données!F$45*K21</f>
        <v>-7.0374821847958363E-7</v>
      </c>
      <c r="Y21" s="42">
        <f t="shared" si="22"/>
        <v>25314.132742738933</v>
      </c>
      <c r="Z21" s="23">
        <f>-(Données!I$51*1E-24*H21+Données!F$51)*Y21+Données!F$48*Q21</f>
        <v>-2.4832742060459899E-5</v>
      </c>
      <c r="AA21" s="15">
        <f t="shared" si="23"/>
        <v>25410.142956697913</v>
      </c>
      <c r="AC21" s="19"/>
    </row>
    <row r="22" spans="5:29" ht="15" thickBot="1">
      <c r="E22" s="20">
        <v>20</v>
      </c>
      <c r="F22" s="27">
        <f t="shared" si="12"/>
        <v>1.6666666666666667</v>
      </c>
      <c r="G22" s="18">
        <f t="shared" si="13"/>
        <v>52560000</v>
      </c>
      <c r="H22" s="75">
        <f>IF(F22&lt;Données!C$26/365,Données!C$30,0)</f>
        <v>3125923379334265</v>
      </c>
      <c r="I22" s="40">
        <f t="shared" si="14"/>
        <v>14.047632514899849</v>
      </c>
      <c r="J22" s="21">
        <f>-(Données!I$44*1E-24*H22+Données!F$44)*I22</f>
        <v>-8.0682062404582753E-8</v>
      </c>
      <c r="K22" s="42">
        <f t="shared" si="15"/>
        <v>3346.9255399804997</v>
      </c>
      <c r="L22" s="23">
        <f>-(Données!I$45*1E-24*H22+Données!F$45)*K22+(I22*Données!H$44*1E-24*H22)+(Données!H$51*1E-24*H22)*Y22</f>
        <v>-2.333539910170035E-6</v>
      </c>
      <c r="M22" s="40">
        <f t="shared" si="16"/>
        <v>1241.0148747944852</v>
      </c>
      <c r="N22" s="21">
        <f>-(Données!I$46*1E-24*H22+Données!F$46)*M22+Données!H$45*1E-24*H22*K22</f>
        <v>1.4381762738553638E-6</v>
      </c>
      <c r="O22" s="42">
        <f t="shared" si="17"/>
        <v>207.44674000361266</v>
      </c>
      <c r="P22" s="23">
        <f>-(Données!I$47*1E-24*H22+Données!F$47)*O22+(Données!H$46*1E-24*H22)*M22</f>
        <v>-4.1970677029182612E-7</v>
      </c>
      <c r="Q22" s="40">
        <f t="shared" si="18"/>
        <v>90.394971832520326</v>
      </c>
      <c r="R22" s="43">
        <f>-(Données!I$48*1E-24*H22+Données!F$48)*Q22+Données!H$47*1E-24*H22*O22+(Données!I$49*1E-24*H22*S22)*0.85*0.16</f>
        <v>1.2481582459165444E-7</v>
      </c>
      <c r="S22" s="42">
        <f t="shared" si="19"/>
        <v>52.727094125733338</v>
      </c>
      <c r="T22" s="22">
        <f>-(Données!I$49*1E-24*H22+Données!F$49)*S22+Données!F$47*O22</f>
        <v>-1.2981607617079285E-8</v>
      </c>
      <c r="U22" s="28">
        <f t="shared" si="20"/>
        <v>4952.5568532517509</v>
      </c>
      <c r="V22" s="19"/>
      <c r="W22" s="40">
        <f t="shared" si="21"/>
        <v>94.160763640817208</v>
      </c>
      <c r="X22" s="21">
        <f>-(Données!I$50*1E-24*H22+Données!F$50)*W22+Données!F$45*K22</f>
        <v>-6.9013855563139039E-7</v>
      </c>
      <c r="Y22" s="42">
        <f t="shared" si="22"/>
        <v>25248.872296604044</v>
      </c>
      <c r="Z22" s="23">
        <f>-(Données!I$51*1E-24*H22+Données!F$51)*Y22+Données!F$48*Q22</f>
        <v>-2.4768722617933424E-5</v>
      </c>
      <c r="AA22" s="15">
        <f t="shared" si="23"/>
        <v>25343.033060244863</v>
      </c>
      <c r="AC22" s="19"/>
    </row>
    <row r="23" spans="5:29" ht="15" thickBot="1">
      <c r="E23" s="20">
        <v>21</v>
      </c>
      <c r="F23" s="27">
        <f t="shared" si="12"/>
        <v>1.75</v>
      </c>
      <c r="G23" s="18">
        <f t="shared" si="13"/>
        <v>55188000</v>
      </c>
      <c r="H23" s="75">
        <f>IF(F23&lt;Données!C$26/365,Données!C$30,0)</f>
        <v>3125923379334265</v>
      </c>
      <c r="I23" s="40">
        <f t="shared" si="14"/>
        <v>13.835600054900606</v>
      </c>
      <c r="J23" s="21">
        <f>-(Données!I$44*1E-24*H23+Données!F$44)*I23</f>
        <v>-7.9464261743061251E-8</v>
      </c>
      <c r="K23" s="42">
        <f t="shared" si="15"/>
        <v>3340.7929970965729</v>
      </c>
      <c r="L23" s="23">
        <f>-(Données!I$45*1E-24*H23+Données!F$45)*K23+(I23*Données!H$44*1E-24*H23)+(Données!H$51*1E-24*H23)*Y23</f>
        <v>-2.3451077413006211E-6</v>
      </c>
      <c r="M23" s="40">
        <f t="shared" si="16"/>
        <v>1244.7944020421771</v>
      </c>
      <c r="N23" s="21">
        <f>-(Données!I$46*1E-24*H23+Données!F$46)*M23+Données!H$45*1E-24*H23*K23</f>
        <v>1.419078652331877E-6</v>
      </c>
      <c r="O23" s="42">
        <f t="shared" si="17"/>
        <v>206.34375061128574</v>
      </c>
      <c r="P23" s="23">
        <f>-(Données!I$47*1E-24*H23+Données!F$47)*O23+(Données!H$46*1E-24*H23)*M23</f>
        <v>-4.026650232223949E-7</v>
      </c>
      <c r="Q23" s="40">
        <f t="shared" si="18"/>
        <v>90.7229878195472</v>
      </c>
      <c r="R23" s="43">
        <f>-(Données!I$48*1E-24*H23+Données!F$48)*Q23+Données!H$47*1E-24*H23*O23+(Données!I$49*1E-24*H23*S23)*0.85*0.16</f>
        <v>1.2247014390573244E-7</v>
      </c>
      <c r="S23" s="42">
        <f t="shared" si="19"/>
        <v>52.692978460915654</v>
      </c>
      <c r="T23" s="22">
        <f>-(Données!I$49*1E-24*H23+Données!F$49)*S23+Données!F$47*O23</f>
        <v>-1.4459634348256148E-8</v>
      </c>
      <c r="U23" s="28">
        <f t="shared" si="20"/>
        <v>4949.1827160854</v>
      </c>
      <c r="V23" s="19"/>
      <c r="W23" s="40">
        <f t="shared" si="21"/>
        <v>92.34707951661791</v>
      </c>
      <c r="X23" s="21">
        <f>-(Données!I$50*1E-24*H23+Données!F$50)*W23+Données!F$45*K23</f>
        <v>-6.7679222379982058E-7</v>
      </c>
      <c r="Y23" s="42">
        <f t="shared" si="22"/>
        <v>25183.780093564113</v>
      </c>
      <c r="Z23" s="23">
        <f>-(Données!I$51*1E-24*H23+Données!F$51)*Y23+Données!F$48*Q23</f>
        <v>-2.4704868219485492E-5</v>
      </c>
      <c r="AA23" s="15">
        <f t="shared" si="23"/>
        <v>25276.127173080731</v>
      </c>
      <c r="AC23" s="19"/>
    </row>
    <row r="24" spans="5:29" ht="15" thickBot="1">
      <c r="E24" s="20">
        <v>22</v>
      </c>
      <c r="F24" s="27">
        <f t="shared" si="12"/>
        <v>1.8333333333333333</v>
      </c>
      <c r="G24" s="18">
        <f t="shared" si="13"/>
        <v>57816000</v>
      </c>
      <c r="H24" s="75">
        <f>IF(F24&lt;Données!C$26/365,Données!C$30,0)</f>
        <v>3125923379334265</v>
      </c>
      <c r="I24" s="40">
        <f t="shared" si="14"/>
        <v>13.626767975039842</v>
      </c>
      <c r="J24" s="21">
        <f>-(Données!I$44*1E-24*H24+Données!F$44)*I24</f>
        <v>-7.8264842347548592E-8</v>
      </c>
      <c r="K24" s="42">
        <f t="shared" si="15"/>
        <v>3334.630053952435</v>
      </c>
      <c r="L24" s="23">
        <f>-(Données!I$45*1E-24*H24+Données!F$45)*K24+(I24*Données!H$44*1E-24*H24)+(Données!H$51*1E-24*H24)*Y24</f>
        <v>-2.3563211384020129E-6</v>
      </c>
      <c r="M24" s="40">
        <f t="shared" si="16"/>
        <v>1248.5237407405052</v>
      </c>
      <c r="N24" s="21">
        <f>-(Données!I$46*1E-24*H24+Données!F$46)*M24+Données!H$45*1E-24*H24*K24</f>
        <v>1.4000738019040866E-6</v>
      </c>
      <c r="O24" s="42">
        <f t="shared" si="17"/>
        <v>205.28554693025728</v>
      </c>
      <c r="P24" s="23">
        <f>-(Données!I$47*1E-24*H24+Données!F$47)*O24+(Données!H$46*1E-24*H24)*M24</f>
        <v>-3.8616785651688161E-7</v>
      </c>
      <c r="Q24" s="40">
        <f t="shared" si="18"/>
        <v>91.044839357731462</v>
      </c>
      <c r="R24" s="43">
        <f>-(Données!I$48*1E-24*H24+Données!F$48)*Q24+Données!H$47*1E-24*H24*O24+(Données!I$49*1E-24*H24*S24)*0.85*0.16</f>
        <v>1.2019851303849006E-7</v>
      </c>
      <c r="S24" s="42">
        <f t="shared" si="19"/>
        <v>52.654978541848436</v>
      </c>
      <c r="T24" s="22">
        <f>-(Données!I$49*1E-24*H24+Données!F$49)*S24+Données!F$47*O24</f>
        <v>-1.5844539901662829E-8</v>
      </c>
      <c r="U24" s="28">
        <f t="shared" si="20"/>
        <v>4945.7659274978178</v>
      </c>
      <c r="V24" s="19"/>
      <c r="W24" s="40">
        <f t="shared" si="21"/>
        <v>90.568469552471981</v>
      </c>
      <c r="X24" s="21">
        <f>-(Données!I$50*1E-24*H24+Données!F$50)*W24+Données!F$45*K24</f>
        <v>-6.6370412752551791E-7</v>
      </c>
      <c r="Y24" s="42">
        <f t="shared" si="22"/>
        <v>25118.855699883305</v>
      </c>
      <c r="Z24" s="23">
        <f>-(Données!I$51*1E-24*H24+Données!F$51)*Y24+Données!F$48*Q24</f>
        <v>-2.4641178439616632E-5</v>
      </c>
      <c r="AA24" s="15">
        <f t="shared" si="23"/>
        <v>25209.424169435777</v>
      </c>
      <c r="AC24" s="19"/>
    </row>
    <row r="25" spans="5:29" ht="15" thickBot="1">
      <c r="E25" s="20">
        <v>23</v>
      </c>
      <c r="F25" s="27">
        <f t="shared" si="12"/>
        <v>1.9166666666666667</v>
      </c>
      <c r="G25" s="18">
        <f t="shared" si="13"/>
        <v>60444000</v>
      </c>
      <c r="H25" s="75">
        <f>IF(F25&lt;Données!C$26/365,Données!C$30,0)</f>
        <v>3125923379334265</v>
      </c>
      <c r="I25" s="40">
        <f t="shared" si="14"/>
        <v>13.421087969350484</v>
      </c>
      <c r="J25" s="21">
        <f>-(Données!I$44*1E-24*H25+Données!F$44)*I25</f>
        <v>-7.7083526774493686E-8</v>
      </c>
      <c r="K25" s="42">
        <f t="shared" si="15"/>
        <v>3328.4376420007143</v>
      </c>
      <c r="L25" s="23">
        <f>-(Données!I$45*1E-24*H25+Données!F$45)*K25+(I25*Données!H$44*1E-24*H25)+(Données!H$51*1E-24*H25)*Y25</f>
        <v>-2.3671869938830781E-6</v>
      </c>
      <c r="M25" s="40">
        <f t="shared" si="16"/>
        <v>1252.2031346919091</v>
      </c>
      <c r="N25" s="21">
        <f>-(Données!I$46*1E-24*H25+Données!F$46)*M25+Données!H$45*1E-24*H25*K25</f>
        <v>1.3811623990489594E-6</v>
      </c>
      <c r="O25" s="42">
        <f t="shared" si="17"/>
        <v>204.2706978033309</v>
      </c>
      <c r="P25" s="23">
        <f>-(Données!I$47*1E-24*H25+Données!F$47)*O25+(Données!H$46*1E-24*H25)*M25</f>
        <v>-3.7019980858192647E-7</v>
      </c>
      <c r="Q25" s="40">
        <f t="shared" si="18"/>
        <v>91.360721049996613</v>
      </c>
      <c r="R25" s="43">
        <f>-(Données!I$48*1E-24*H25+Données!F$48)*Q25+Données!H$47*1E-24*H25*O25+(Données!I$49*1E-24*H25*S25)*0.85*0.16</f>
        <v>1.1799867347238014E-7</v>
      </c>
      <c r="S25" s="42">
        <f t="shared" si="19"/>
        <v>52.613339090986869</v>
      </c>
      <c r="T25" s="22">
        <f>-(Données!I$49*1E-24*H25+Données!F$49)*S25+Données!F$47*O25</f>
        <v>-1.7140057731067627E-8</v>
      </c>
      <c r="U25" s="28">
        <f t="shared" si="20"/>
        <v>4942.3066226062892</v>
      </c>
      <c r="V25" s="19"/>
      <c r="W25" s="40">
        <f t="shared" si="21"/>
        <v>88.824255105334913</v>
      </c>
      <c r="X25" s="21">
        <f>-(Données!I$50*1E-24*H25+Données!F$50)*W25+Données!F$45*K25</f>
        <v>-6.5086926994641363E-7</v>
      </c>
      <c r="Y25" s="42">
        <f t="shared" si="22"/>
        <v>25054.098682943993</v>
      </c>
      <c r="Z25" s="23">
        <f>-(Données!I$51*1E-24*H25+Données!F$51)*Y25+Données!F$48*Q25</f>
        <v>-2.457765285392467E-5</v>
      </c>
      <c r="AA25" s="15">
        <f t="shared" si="23"/>
        <v>25142.922938049327</v>
      </c>
      <c r="AC25" s="19"/>
    </row>
    <row r="26" spans="5:29" ht="15" thickBot="1">
      <c r="E26" s="20">
        <v>24</v>
      </c>
      <c r="F26" s="27">
        <f t="shared" si="12"/>
        <v>2</v>
      </c>
      <c r="G26" s="18">
        <f t="shared" si="13"/>
        <v>63072000</v>
      </c>
      <c r="H26" s="75">
        <f>IF(F26&lt;Données!C$26/365,Données!C$30,0)</f>
        <v>3125923379334265</v>
      </c>
      <c r="I26" s="40">
        <f t="shared" si="14"/>
        <v>13.218512460987116</v>
      </c>
      <c r="J26" s="21">
        <f>-(Données!I$44*1E-24*H26+Données!F$44)*I26</f>
        <v>-7.5920041768028885E-8</v>
      </c>
      <c r="K26" s="42">
        <f t="shared" si="15"/>
        <v>3322.2166745807895</v>
      </c>
      <c r="L26" s="23">
        <f>-(Données!I$45*1E-24*H26+Données!F$45)*K26+(I26*Données!H$44*1E-24*H26)+(Données!H$51*1E-24*H26)*Y26</f>
        <v>-2.3777120724773351E-6</v>
      </c>
      <c r="M26" s="40">
        <f t="shared" si="16"/>
        <v>1255.8328294766097</v>
      </c>
      <c r="N26" s="21">
        <f>-(Données!I$46*1E-24*H26+Données!F$46)*M26+Données!H$45*1E-24*H26*K26</f>
        <v>1.3623450893604134E-6</v>
      </c>
      <c r="O26" s="42">
        <f t="shared" si="17"/>
        <v>203.29781270637761</v>
      </c>
      <c r="P26" s="23">
        <f>-(Données!I$47*1E-24*H26+Données!F$47)*O26+(Données!H$46*1E-24*H26)*M26</f>
        <v>-3.5474584439073739E-7</v>
      </c>
      <c r="Q26" s="40">
        <f t="shared" si="18"/>
        <v>91.670821563882029</v>
      </c>
      <c r="R26" s="43">
        <f>-(Données!I$48*1E-24*H26+Données!F$48)*Q26+Données!H$47*1E-24*H26*O26+(Données!I$49*1E-24*H26*S26)*0.85*0.16</f>
        <v>1.1586842934548363E-7</v>
      </c>
      <c r="S26" s="42">
        <f t="shared" si="19"/>
        <v>52.568295019269627</v>
      </c>
      <c r="T26" s="22">
        <f>-(Données!I$49*1E-24*H26+Données!F$49)*S26+Données!F$47*O26</f>
        <v>-1.8349797300462552E-8</v>
      </c>
      <c r="U26" s="28">
        <f t="shared" si="20"/>
        <v>4938.8049458079158</v>
      </c>
      <c r="V26" s="19"/>
      <c r="W26" s="40">
        <f t="shared" si="21"/>
        <v>87.113770663915744</v>
      </c>
      <c r="X26" s="21">
        <f>-(Données!I$50*1E-24*H26+Données!F$50)*W26+Données!F$45*K26</f>
        <v>-6.3828275088987999E-7</v>
      </c>
      <c r="Y26" s="42">
        <f t="shared" si="22"/>
        <v>24989.50861124388</v>
      </c>
      <c r="Z26" s="23">
        <f>-(Données!I$51*1E-24*H26+Données!F$51)*Y26+Données!F$48*Q26</f>
        <v>-2.4514291039101896E-5</v>
      </c>
      <c r="AA26" s="15">
        <f t="shared" si="23"/>
        <v>25076.622381907797</v>
      </c>
      <c r="AC26" s="19"/>
    </row>
    <row r="27" spans="5:29" ht="15" thickBot="1">
      <c r="E27" s="20">
        <v>25</v>
      </c>
      <c r="F27" s="27">
        <f t="shared" si="12"/>
        <v>2.0833333333333335</v>
      </c>
      <c r="G27" s="18">
        <f t="shared" si="13"/>
        <v>65700000</v>
      </c>
      <c r="H27" s="75">
        <f>IF(F27&lt;Données!C$26/365,Données!C$30,0)</f>
        <v>3125923379334265</v>
      </c>
      <c r="I27" s="40">
        <f t="shared" si="14"/>
        <v>13.018994591220736</v>
      </c>
      <c r="J27" s="21">
        <f>-(Données!I$44*1E-24*H27+Données!F$44)*I27</f>
        <v>-7.4774118196761885E-8</v>
      </c>
      <c r="K27" s="42">
        <f t="shared" si="15"/>
        <v>3315.9680472543191</v>
      </c>
      <c r="L27" s="23">
        <f>-(Données!I$45*1E-24*H27+Données!F$45)*K27+(I27*Données!H$44*1E-24*H27)+(Données!H$51*1E-24*H27)*Y27</f>
        <v>-2.3879030135894065E-6</v>
      </c>
      <c r="M27" s="40">
        <f t="shared" si="16"/>
        <v>1259.4130723714488</v>
      </c>
      <c r="N27" s="21">
        <f>-(Données!I$46*1E-24*H27+Données!F$46)*M27+Données!H$45*1E-24*H27*K27</f>
        <v>1.3436224882525611E-6</v>
      </c>
      <c r="O27" s="42">
        <f t="shared" si="17"/>
        <v>202.36554062731875</v>
      </c>
      <c r="P27" s="23">
        <f>-(Données!I$47*1E-24*H27+Données!F$47)*O27+(Données!H$46*1E-24*H27)*M27</f>
        <v>-3.3979134376046232E-7</v>
      </c>
      <c r="Q27" s="40">
        <f t="shared" si="18"/>
        <v>91.975323796201963</v>
      </c>
      <c r="R27" s="43">
        <f>-(Données!I$48*1E-24*H27+Données!F$48)*Q27+Données!H$47*1E-24*H27*O27+(Données!I$49*1E-24*H27*S27)*0.85*0.16</f>
        <v>1.1380564576754069E-7</v>
      </c>
      <c r="S27" s="42">
        <f t="shared" si="19"/>
        <v>52.520071751964011</v>
      </c>
      <c r="T27" s="22">
        <f>-(Données!I$49*1E-24*H27+Données!F$49)*S27+Données!F$47*O27</f>
        <v>-1.9477247851337018E-8</v>
      </c>
      <c r="U27" s="28">
        <f t="shared" si="20"/>
        <v>4935.2610503924743</v>
      </c>
      <c r="V27" s="19"/>
      <c r="W27" s="40">
        <f t="shared" si="21"/>
        <v>85.436363594577145</v>
      </c>
      <c r="X27" s="21">
        <f>-(Données!I$50*1E-24*H27+Données!F$50)*W27+Données!F$45*K27</f>
        <v>-6.2593976500179957E-7</v>
      </c>
      <c r="Y27" s="42">
        <f t="shared" si="22"/>
        <v>24925.085054393119</v>
      </c>
      <c r="Z27" s="23">
        <f>-(Données!I$51*1E-24*H27+Données!F$51)*Y27+Données!F$48*Q27</f>
        <v>-2.4451092572932247E-5</v>
      </c>
      <c r="AA27" s="15">
        <f t="shared" si="23"/>
        <v>25010.521417987697</v>
      </c>
      <c r="AC27" s="19"/>
    </row>
    <row r="28" spans="5:29" ht="15" thickBot="1">
      <c r="E28" s="20">
        <v>26</v>
      </c>
      <c r="F28" s="27">
        <f t="shared" si="12"/>
        <v>2.1666666666666665</v>
      </c>
      <c r="G28" s="18">
        <f t="shared" si="13"/>
        <v>68328000</v>
      </c>
      <c r="H28" s="75">
        <f>IF(F28&lt;Données!C$26/365,Données!C$30,0)</f>
        <v>3125923379334265</v>
      </c>
      <c r="I28" s="40">
        <f t="shared" si="14"/>
        <v>12.822488208599646</v>
      </c>
      <c r="J28" s="21">
        <f>-(Données!I$44*1E-24*H28+Données!F$44)*I28</f>
        <v>-7.3645490991521627E-8</v>
      </c>
      <c r="K28" s="42">
        <f t="shared" si="15"/>
        <v>3309.6926381346061</v>
      </c>
      <c r="L28" s="23">
        <f>-(Données!I$45*1E-24*H28+Données!F$45)*K28+(I28*Données!H$44*1E-24*H28)+(Données!H$51*1E-24*H28)*Y28</f>
        <v>-2.3977663335984371E-6</v>
      </c>
      <c r="M28" s="40">
        <f t="shared" si="16"/>
        <v>1262.9441122705766</v>
      </c>
      <c r="N28" s="21">
        <f>-(Données!I$46*1E-24*H28+Données!F$46)*M28+Données!H$45*1E-24*H28*K28</f>
        <v>1.324995181649049E-6</v>
      </c>
      <c r="O28" s="42">
        <f t="shared" si="17"/>
        <v>201.47256897591626</v>
      </c>
      <c r="P28" s="23">
        <f>-(Données!I$47*1E-24*H28+Données!F$47)*O28+(Données!H$46*1E-24*H28)*M28</f>
        <v>-3.2532208995226648E-7</v>
      </c>
      <c r="Q28" s="40">
        <f t="shared" si="18"/>
        <v>92.274405033279066</v>
      </c>
      <c r="R28" s="43">
        <f>-(Données!I$48*1E-24*H28+Données!F$48)*Q28+Données!H$47*1E-24*H28*O28+(Données!I$49*1E-24*H28*S28)*0.85*0.16</f>
        <v>1.1180824718122532E-7</v>
      </c>
      <c r="S28" s="42">
        <f t="shared" si="19"/>
        <v>52.4688855446107</v>
      </c>
      <c r="T28" s="22">
        <f>-(Données!I$49*1E-24*H28+Données!F$49)*S28+Données!F$47*O28</f>
        <v>-2.0525782060479196E-8</v>
      </c>
      <c r="U28" s="28">
        <f t="shared" si="20"/>
        <v>4931.6750981675896</v>
      </c>
      <c r="V28" s="19"/>
      <c r="W28" s="40">
        <f t="shared" si="21"/>
        <v>83.791393892152414</v>
      </c>
      <c r="X28" s="21">
        <f>-(Données!I$50*1E-24*H28+Données!F$50)*W28+Données!F$45*K28</f>
        <v>-6.1383559991183755E-7</v>
      </c>
      <c r="Y28" s="42">
        <f t="shared" si="22"/>
        <v>24860.827583111452</v>
      </c>
      <c r="Z28" s="23">
        <f>-(Données!I$51*1E-24*H28+Données!F$51)*Y28+Données!F$48*Q28</f>
        <v>-2.4388057034288463E-5</v>
      </c>
      <c r="AA28" s="15">
        <f t="shared" si="23"/>
        <v>24944.618977003604</v>
      </c>
      <c r="AC28" s="19"/>
    </row>
    <row r="29" spans="5:29" ht="15" thickBot="1">
      <c r="E29" s="20">
        <v>27</v>
      </c>
      <c r="F29" s="27">
        <f t="shared" si="12"/>
        <v>2.25</v>
      </c>
      <c r="G29" s="18">
        <f t="shared" si="13"/>
        <v>70956000</v>
      </c>
      <c r="H29" s="75">
        <f>IF(F29&lt;Données!C$26/365,Données!C$30,0)</f>
        <v>3125923379334265</v>
      </c>
      <c r="I29" s="40">
        <f t="shared" si="14"/>
        <v>12.628947858273927</v>
      </c>
      <c r="J29" s="21">
        <f>-(Données!I$44*1E-24*H29+Données!F$44)*I29</f>
        <v>-7.253389908404385E-8</v>
      </c>
      <c r="K29" s="42">
        <f t="shared" si="15"/>
        <v>3303.3913082099093</v>
      </c>
      <c r="L29" s="23">
        <f>-(Données!I$45*1E-24*H29+Données!F$45)*K29+(I29*Données!H$44*1E-24*H29)+(Données!H$51*1E-24*H29)*Y29</f>
        <v>-2.4073084281193134E-6</v>
      </c>
      <c r="M29" s="40">
        <f t="shared" si="16"/>
        <v>1266.4261996079504</v>
      </c>
      <c r="N29" s="21">
        <f>-(Données!I$46*1E-24*H29+Données!F$46)*M29+Données!H$45*1E-24*H29*K29</f>
        <v>1.306463726658774E-6</v>
      </c>
      <c r="O29" s="42">
        <f t="shared" si="17"/>
        <v>200.6176225235217</v>
      </c>
      <c r="P29" s="23">
        <f>-(Données!I$47*1E-24*H29+Données!F$47)*O29+(Données!H$46*1E-24*H29)*M29</f>
        <v>-3.1132425858520109E-7</v>
      </c>
      <c r="Q29" s="40">
        <f t="shared" si="18"/>
        <v>92.568237106871322</v>
      </c>
      <c r="R29" s="43">
        <f>-(Données!I$48*1E-24*H29+Données!F$48)*Q29+Données!H$47*1E-24*H29*O29+(Données!I$49*1E-24*H29*S29)*0.85*0.16</f>
        <v>1.0987421576743743E-7</v>
      </c>
      <c r="S29" s="42">
        <f t="shared" si="19"/>
        <v>52.41494378935576</v>
      </c>
      <c r="T29" s="22">
        <f>-(Données!I$49*1E-24*H29+Données!F$49)*S29+Données!F$47*O29</f>
        <v>-2.1498659591414689E-8</v>
      </c>
      <c r="U29" s="28">
        <f t="shared" si="20"/>
        <v>4928.0472590958825</v>
      </c>
      <c r="V29" s="19"/>
      <c r="W29" s="40">
        <f t="shared" si="21"/>
        <v>82.178233935584103</v>
      </c>
      <c r="X29" s="21">
        <f>-(Données!I$50*1E-24*H29+Données!F$50)*W29+Données!F$45*K29</f>
        <v>-6.0196563443421522E-7</v>
      </c>
      <c r="Y29" s="42">
        <f t="shared" si="22"/>
        <v>24796.735769225343</v>
      </c>
      <c r="Z29" s="23">
        <f>-(Données!I$51*1E-24*H29+Données!F$51)*Y29+Données!F$48*Q29</f>
        <v>-2.4325184003129284E-5</v>
      </c>
      <c r="AA29" s="15">
        <f t="shared" si="23"/>
        <v>24878.914003160928</v>
      </c>
      <c r="AC29" s="19"/>
    </row>
    <row r="30" spans="5:29" ht="15" thickBot="1">
      <c r="E30" s="20">
        <v>28</v>
      </c>
      <c r="F30" s="27">
        <f t="shared" si="12"/>
        <v>2.3333333333333335</v>
      </c>
      <c r="G30" s="18">
        <f t="shared" si="13"/>
        <v>73584000</v>
      </c>
      <c r="H30" s="75">
        <f>IF(F30&lt;Données!C$26/365,Données!C$30,0)</f>
        <v>3125923379334265</v>
      </c>
      <c r="I30" s="40">
        <f t="shared" si="14"/>
        <v>12.438328771481059</v>
      </c>
      <c r="J30" s="21">
        <f>-(Données!I$44*1E-24*H30+Données!F$44)*I30</f>
        <v>-7.1439085346582098E-8</v>
      </c>
      <c r="K30" s="42">
        <f t="shared" si="15"/>
        <v>3297.0649016608118</v>
      </c>
      <c r="L30" s="23">
        <f>-(Données!I$45*1E-24*H30+Données!F$45)*K30+(I30*Données!H$44*1E-24*H30)+(Données!H$51*1E-24*H30)*Y30</f>
        <v>-2.4165355742223836E-6</v>
      </c>
      <c r="M30" s="40">
        <f t="shared" si="16"/>
        <v>1269.8595862816096</v>
      </c>
      <c r="N30" s="21">
        <f>-(Données!I$46*1E-24*H30+Données!F$46)*M30+Données!H$45*1E-24*H30*K30</f>
        <v>1.2880286522382229E-6</v>
      </c>
      <c r="O30" s="42">
        <f t="shared" si="17"/>
        <v>199.79946237195981</v>
      </c>
      <c r="P30" s="23">
        <f>-(Données!I$47*1E-24*H30+Données!F$47)*O30+(Données!H$46*1E-24*H30)*M30</f>
        <v>-2.9778440685521243E-7</v>
      </c>
      <c r="Q30" s="40">
        <f t="shared" si="18"/>
        <v>92.856986545908143</v>
      </c>
      <c r="R30" s="43">
        <f>-(Données!I$48*1E-24*H30+Données!F$48)*Q30+Données!H$47*1E-24*H30*O30+(Données!I$49*1E-24*H30*S30)*0.85*0.16</f>
        <v>1.0800158989342045E-7</v>
      </c>
      <c r="S30" s="42">
        <f t="shared" si="19"/>
        <v>52.358445311949524</v>
      </c>
      <c r="T30" s="22">
        <f>-(Données!I$49*1E-24*H30+Données!F$49)*S30+Données!F$47*O30</f>
        <v>-2.2399030542504397E-8</v>
      </c>
      <c r="U30" s="28">
        <f t="shared" si="20"/>
        <v>4924.3777109437196</v>
      </c>
      <c r="V30" s="19"/>
      <c r="W30" s="40">
        <f t="shared" si="21"/>
        <v>80.596268248290983</v>
      </c>
      <c r="X30" s="21">
        <f>-(Données!I$50*1E-24*H30+Données!F$50)*W30+Données!F$45*K30</f>
        <v>-5.9032533680329766E-7</v>
      </c>
      <c r="Y30" s="42">
        <f t="shared" si="22"/>
        <v>24732.809185665119</v>
      </c>
      <c r="Z30" s="23">
        <f>-(Données!I$51*1E-24*H30+Données!F$51)*Y30+Données!F$48*Q30</f>
        <v>-2.4262473060496631E-5</v>
      </c>
      <c r="AA30" s="15">
        <f t="shared" si="23"/>
        <v>24813.405453913409</v>
      </c>
      <c r="AC30" s="19"/>
    </row>
    <row r="31" spans="5:29" ht="15" thickBot="1">
      <c r="E31" s="20">
        <v>29</v>
      </c>
      <c r="F31" s="27">
        <f t="shared" ref="F31:F94" si="24">G31/(3600*365*24)</f>
        <v>2.4166666666666665</v>
      </c>
      <c r="G31" s="18">
        <f t="shared" ref="G31:G94" si="25">E31*D$5</f>
        <v>76212000</v>
      </c>
      <c r="H31" s="75">
        <f>IF(F31&lt;Données!C$26/365,Données!C$30,0)</f>
        <v>3125923379334265</v>
      </c>
      <c r="I31" s="40">
        <f t="shared" ref="I31:I94" si="26">I30+J30*D$5</f>
        <v>12.250586855190241</v>
      </c>
      <c r="J31" s="21">
        <f>-(Données!I$44*1E-24*H31+Données!F$44)*I31</f>
        <v>-7.0360796532430278E-8</v>
      </c>
      <c r="K31" s="42">
        <f t="shared" ref="K31:K94" si="27">K30+L30*D$5</f>
        <v>3290.7142461717553</v>
      </c>
      <c r="L31" s="23">
        <f>-(Données!I$45*1E-24*H31+Données!F$45)*K31+(I31*Données!H$44*1E-24*H31)+(Données!H$51*1E-24*H31)*Y31</f>
        <v>-2.4254539326124845E-6</v>
      </c>
      <c r="M31" s="40">
        <f t="shared" ref="M31:M94" si="28">M30+N30*D$5</f>
        <v>1273.2445255796918</v>
      </c>
      <c r="N31" s="21">
        <f>-(Données!I$46*1E-24*H31+Données!F$46)*M31+Données!H$45*1E-24*H31*K31</f>
        <v>1.2696904598406841E-6</v>
      </c>
      <c r="O31" s="42">
        <f t="shared" ref="O31:O94" si="29">O30+P30*D$5</f>
        <v>199.0168849507443</v>
      </c>
      <c r="P31" s="23">
        <f>-(Données!I$47*1E-24*H31+Données!F$47)*O31+(Données!H$46*1E-24*H31)*M31</f>
        <v>-2.8468946305087026E-7</v>
      </c>
      <c r="Q31" s="40">
        <f t="shared" ref="Q31:Q94" si="30">Q30+R30*D$5</f>
        <v>93.140814724148058</v>
      </c>
      <c r="R31" s="43">
        <f>-(Données!I$48*1E-24*H31+Données!F$48)*Q31+Données!H$47*1E-24*H31*O31+(Données!I$49*1E-24*H31*S31)*0.85*0.16</f>
        <v>1.0618846260254384E-7</v>
      </c>
      <c r="S31" s="42">
        <f t="shared" ref="S31:S94" si="31">S30+T30*D$5</f>
        <v>52.299580659683819</v>
      </c>
      <c r="T31" s="22">
        <f>-(Données!I$49*1E-24*H31+Données!F$49)*S31+Données!F$47*O31</f>
        <v>-2.3229938794636565E-8</v>
      </c>
      <c r="U31" s="28">
        <f t="shared" ref="U31:U94" si="32">I31+K31+M31+O31+Q31+S31</f>
        <v>4920.6666389412139</v>
      </c>
      <c r="V31" s="19"/>
      <c r="W31" s="40">
        <f t="shared" ref="W31:W94" si="33">W30+X30*D$5</f>
        <v>79.044893263171915</v>
      </c>
      <c r="X31" s="21">
        <f>-(Données!I$50*1E-24*H31+Données!F$50)*W31+Données!F$45*K31</f>
        <v>-5.7891026294332263E-7</v>
      </c>
      <c r="Y31" s="42">
        <f t="shared" ref="Y31:Y94" si="34">Y30+Z30*D$5</f>
        <v>24669.047406462134</v>
      </c>
      <c r="Z31" s="23">
        <f>-(Données!I$51*1E-24*H31+Données!F$51)*Y31+Données!F$48*Q31</f>
        <v>-2.4199923788512825E-5</v>
      </c>
      <c r="AA31" s="15">
        <f t="shared" ref="AA31:AA94" si="35">W31+Y31</f>
        <v>24748.092299725307</v>
      </c>
      <c r="AC31" s="19"/>
    </row>
    <row r="32" spans="5:29" ht="15" thickBot="1">
      <c r="E32" s="20">
        <v>30</v>
      </c>
      <c r="F32" s="27">
        <f t="shared" si="24"/>
        <v>2.5</v>
      </c>
      <c r="G32" s="18">
        <f t="shared" si="25"/>
        <v>78840000</v>
      </c>
      <c r="H32" s="75">
        <f>IF(F32&lt;Données!C$26/365,Données!C$30,0)</f>
        <v>3125923379334265</v>
      </c>
      <c r="I32" s="40">
        <f t="shared" si="26"/>
        <v>12.065678681903014</v>
      </c>
      <c r="J32" s="21">
        <f>-(Données!I$44*1E-24*H32+Données!F$44)*I32</f>
        <v>-6.9298783217342948E-8</v>
      </c>
      <c r="K32" s="42">
        <f t="shared" si="27"/>
        <v>3284.3401532368498</v>
      </c>
      <c r="L32" s="23">
        <f>-(Données!I$45*1E-24*H32+Données!F$45)*K32+(I32*Données!H$44*1E-24*H32)+(Données!H$51*1E-24*H32)*Y32</f>
        <v>-2.4340695497679909E-6</v>
      </c>
      <c r="M32" s="40">
        <f t="shared" si="28"/>
        <v>1276.5812721081531</v>
      </c>
      <c r="N32" s="21">
        <f>-(Données!I$46*1E-24*H32+Données!F$46)*M32+Données!H$45*1E-24*H32*K32</f>
        <v>1.251449624052591E-6</v>
      </c>
      <c r="O32" s="42">
        <f t="shared" si="29"/>
        <v>198.26872104184662</v>
      </c>
      <c r="P32" s="23">
        <f>-(Données!I$47*1E-24*H32+Données!F$47)*O32+(Données!H$46*1E-24*H32)*M32</f>
        <v>-2.7202671635762624E-7</v>
      </c>
      <c r="Q32" s="40">
        <f t="shared" si="30"/>
        <v>93.419878003867538</v>
      </c>
      <c r="R32" s="43">
        <f>-(Données!I$48*1E-24*H32+Données!F$48)*Q32+Données!H$47*1E-24*H32*O32+(Données!I$49*1E-24*H32*S32)*0.85*0.16</f>
        <v>1.0443298014462426E-7</v>
      </c>
      <c r="S32" s="42">
        <f t="shared" si="31"/>
        <v>52.238532380531517</v>
      </c>
      <c r="T32" s="22">
        <f>-(Données!I$49*1E-24*H32+Données!F$49)*S32+Données!F$47*O32</f>
        <v>-2.3994325261369497E-8</v>
      </c>
      <c r="U32" s="28">
        <f t="shared" si="32"/>
        <v>4916.9142354531514</v>
      </c>
      <c r="V32" s="19"/>
      <c r="W32" s="40">
        <f t="shared" si="33"/>
        <v>77.523517092156865</v>
      </c>
      <c r="X32" s="21">
        <f>-(Données!I$50*1E-24*H32+Données!F$50)*W32+Données!F$45*K32</f>
        <v>-5.6771605477160984E-7</v>
      </c>
      <c r="Y32" s="42">
        <f t="shared" si="34"/>
        <v>24605.450006745923</v>
      </c>
      <c r="Z32" s="23">
        <f>-(Données!I$51*1E-24*H32+Données!F$51)*Y32+Données!F$48*Q32</f>
        <v>-2.4137535770377773E-5</v>
      </c>
      <c r="AA32" s="15">
        <f t="shared" si="35"/>
        <v>24682.973523838078</v>
      </c>
      <c r="AC32" s="19"/>
    </row>
    <row r="33" spans="5:29" ht="15" thickBot="1">
      <c r="E33" s="20">
        <v>31</v>
      </c>
      <c r="F33" s="27">
        <f t="shared" si="24"/>
        <v>2.5833333333333335</v>
      </c>
      <c r="G33" s="18">
        <f t="shared" si="25"/>
        <v>81468000</v>
      </c>
      <c r="H33" s="75">
        <f>IF(F33&lt;Données!C$26/365,Données!C$30,0)</f>
        <v>3125923379334265</v>
      </c>
      <c r="I33" s="40">
        <f t="shared" si="26"/>
        <v>11.883561479607836</v>
      </c>
      <c r="J33" s="21">
        <f>-(Données!I$44*1E-24*H33+Données!F$44)*I33</f>
        <v>-6.8252799741839682E-8</v>
      </c>
      <c r="K33" s="42">
        <f t="shared" si="27"/>
        <v>3277.9434184600595</v>
      </c>
      <c r="L33" s="23">
        <f>-(Données!I$45*1E-24*H33+Données!F$45)*K33+(I33*Données!H$44*1E-24*H33)+(Données!H$51*1E-24*H33)*Y33</f>
        <v>-2.4423883600406405E-6</v>
      </c>
      <c r="M33" s="40">
        <f t="shared" si="28"/>
        <v>1279.8700817201634</v>
      </c>
      <c r="N33" s="21">
        <f>-(Données!I$46*1E-24*H33+Données!F$46)*M33+Données!H$45*1E-24*H33*K33</f>
        <v>1.233306593217232E-6</v>
      </c>
      <c r="O33" s="42">
        <f t="shared" si="29"/>
        <v>197.55383483125877</v>
      </c>
      <c r="P33" s="23">
        <f>-(Données!I$47*1E-24*H33+Données!F$47)*O33+(Données!H$46*1E-24*H33)*M33</f>
        <v>-2.5978380694265318E-7</v>
      </c>
      <c r="Q33" s="40">
        <f t="shared" si="30"/>
        <v>93.694327875687605</v>
      </c>
      <c r="R33" s="43">
        <f>-(Données!I$48*1E-24*H33+Données!F$48)*Q33+Données!H$47*1E-24*H33*O33+(Données!I$49*1E-24*H33*S33)*0.85*0.16</f>
        <v>1.0273334054568562E-7</v>
      </c>
      <c r="S33" s="42">
        <f t="shared" si="31"/>
        <v>52.17547529374464</v>
      </c>
      <c r="T33" s="22">
        <f>-(Données!I$49*1E-24*H33+Données!F$49)*S33+Données!F$47*O33</f>
        <v>-2.4695031044297418E-8</v>
      </c>
      <c r="U33" s="28">
        <f t="shared" si="32"/>
        <v>4913.1206996605224</v>
      </c>
      <c r="V33" s="19"/>
      <c r="W33" s="40">
        <f t="shared" si="33"/>
        <v>76.031559300217069</v>
      </c>
      <c r="X33" s="21">
        <f>-(Données!I$50*1E-24*H33+Données!F$50)*W33+Données!F$45*K33</f>
        <v>-5.567384385346023E-7</v>
      </c>
      <c r="Y33" s="42">
        <f t="shared" si="34"/>
        <v>24542.01656274137</v>
      </c>
      <c r="Z33" s="23">
        <f>-(Données!I$51*1E-24*H33+Données!F$51)*Y33+Données!F$48*Q33</f>
        <v>-2.4075308590366181E-5</v>
      </c>
      <c r="AA33" s="15">
        <f t="shared" si="35"/>
        <v>24618.048122041586</v>
      </c>
      <c r="AC33" s="19"/>
    </row>
    <row r="34" spans="5:29" ht="15" thickBot="1">
      <c r="E34" s="20">
        <v>32</v>
      </c>
      <c r="F34" s="27">
        <f t="shared" si="24"/>
        <v>2.6666666666666665</v>
      </c>
      <c r="G34" s="18">
        <f t="shared" si="25"/>
        <v>84096000</v>
      </c>
      <c r="H34" s="75">
        <f>IF(F34&lt;Données!C$26/365,Données!C$30,0)</f>
        <v>3125923379334265</v>
      </c>
      <c r="I34" s="40">
        <f t="shared" si="26"/>
        <v>11.704193121886282</v>
      </c>
      <c r="J34" s="21">
        <f>-(Données!I$44*1E-24*H34+Données!F$44)*I34</f>
        <v>-6.7222604154380502E-8</v>
      </c>
      <c r="K34" s="42">
        <f t="shared" si="27"/>
        <v>3271.5248218498728</v>
      </c>
      <c r="L34" s="23">
        <f>-(Données!I$45*1E-24*H34+Données!F$45)*K34+(I34*Données!H$44*1E-24*H34)+(Données!H$51*1E-24*H34)*Y34</f>
        <v>-2.450416187716843E-6</v>
      </c>
      <c r="M34" s="40">
        <f t="shared" si="28"/>
        <v>1283.1112114471382</v>
      </c>
      <c r="N34" s="21">
        <f>-(Données!I$46*1E-24*H34+Données!F$46)*M34+Données!H$45*1E-24*H34*K34</f>
        <v>1.2152617900460605E-6</v>
      </c>
      <c r="O34" s="42">
        <f t="shared" si="29"/>
        <v>196.87112298661347</v>
      </c>
      <c r="P34" s="23">
        <f>-(Données!I$47*1E-24*H34+Données!F$47)*O34+(Données!H$46*1E-24*H34)*M34</f>
        <v>-2.4794871631251418E-7</v>
      </c>
      <c r="Q34" s="40">
        <f t="shared" si="30"/>
        <v>93.964311094641673</v>
      </c>
      <c r="R34" s="43">
        <f>-(Données!I$48*1E-24*H34+Données!F$48)*Q34+Données!H$47*1E-24*H34*O34+(Données!I$49*1E-24*H34*S34)*0.85*0.16</f>
        <v>1.0108779221609311E-7</v>
      </c>
      <c r="S34" s="42">
        <f t="shared" si="31"/>
        <v>52.110576752160227</v>
      </c>
      <c r="T34" s="22">
        <f>-(Données!I$49*1E-24*H34+Données!F$49)*S34+Données!F$47*O34</f>
        <v>-2.5334800496335814E-8</v>
      </c>
      <c r="U34" s="28">
        <f t="shared" si="32"/>
        <v>4909.2862372523123</v>
      </c>
      <c r="V34" s="19"/>
      <c r="W34" s="40">
        <f t="shared" si="33"/>
        <v>74.568450683748139</v>
      </c>
      <c r="X34" s="21">
        <f>-(Données!I$50*1E-24*H34+Données!F$50)*W34+Données!F$45*K34</f>
        <v>-5.4597322317610546E-7</v>
      </c>
      <c r="Y34" s="42">
        <f t="shared" si="34"/>
        <v>24478.746651765887</v>
      </c>
      <c r="Z34" s="23">
        <f>-(Données!I$51*1E-24*H34+Données!F$51)*Y34+Données!F$48*Q34</f>
        <v>-2.4013241833824784E-5</v>
      </c>
      <c r="AA34" s="15">
        <f t="shared" si="35"/>
        <v>24553.315102449636</v>
      </c>
      <c r="AC34" s="19"/>
    </row>
    <row r="35" spans="5:29" ht="15" thickBot="1">
      <c r="E35" s="20">
        <v>33</v>
      </c>
      <c r="F35" s="27">
        <f t="shared" si="24"/>
        <v>2.75</v>
      </c>
      <c r="G35" s="18">
        <f t="shared" si="25"/>
        <v>86724000</v>
      </c>
      <c r="H35" s="75">
        <f>IF(F35&lt;Données!C$26/365,Données!C$30,0)</f>
        <v>3125923379334265</v>
      </c>
      <c r="I35" s="40">
        <f t="shared" si="26"/>
        <v>11.527532118168571</v>
      </c>
      <c r="J35" s="21">
        <f>-(Données!I$44*1E-24*H35+Données!F$44)*I35</f>
        <v>-6.6207958155398795E-8</v>
      </c>
      <c r="K35" s="42">
        <f t="shared" si="27"/>
        <v>3265.0851281085529</v>
      </c>
      <c r="L35" s="23">
        <f>-(Données!I$45*1E-24*H35+Données!F$45)*K35+(I35*Données!H$44*1E-24*H35)+(Données!H$51*1E-24*H35)*Y35</f>
        <v>-2.4581587490411978E-6</v>
      </c>
      <c r="M35" s="40">
        <f t="shared" si="28"/>
        <v>1286.3049194313792</v>
      </c>
      <c r="N35" s="21">
        <f>-(Données!I$46*1E-24*H35+Données!F$46)*M35+Données!H$45*1E-24*H35*K35</f>
        <v>1.1973156122178571E-6</v>
      </c>
      <c r="O35" s="42">
        <f t="shared" si="29"/>
        <v>196.2195137601442</v>
      </c>
      <c r="P35" s="23">
        <f>-(Données!I$47*1E-24*H35+Données!F$47)*O35+(Données!H$46*1E-24*H35)*M35</f>
        <v>-2.3650975793614411E-7</v>
      </c>
      <c r="Q35" s="40">
        <f t="shared" si="30"/>
        <v>94.229969812585566</v>
      </c>
      <c r="R35" s="43">
        <f>-(Données!I$48*1E-24*H35+Données!F$48)*Q35+Données!H$47*1E-24*H35*O35+(Données!I$49*1E-24*H35*S35)*0.85*0.16</f>
        <v>9.9494632596021662E-8</v>
      </c>
      <c r="S35" s="42">
        <f t="shared" si="31"/>
        <v>52.043996896455859</v>
      </c>
      <c r="T35" s="22">
        <f>-(Données!I$49*1E-24*H35+Données!F$49)*S35+Données!F$47*O35</f>
        <v>-2.591628419554865E-8</v>
      </c>
      <c r="U35" s="28">
        <f t="shared" si="32"/>
        <v>4905.4110601272851</v>
      </c>
      <c r="V35" s="19"/>
      <c r="W35" s="40">
        <f t="shared" si="33"/>
        <v>73.13363305324134</v>
      </c>
      <c r="X35" s="21">
        <f>-(Données!I$50*1E-24*H35+Données!F$50)*W35+Données!F$45*K35</f>
        <v>-5.3541629873710017E-7</v>
      </c>
      <c r="Y35" s="42">
        <f t="shared" si="34"/>
        <v>24415.639852226595</v>
      </c>
      <c r="Z35" s="23">
        <f>-(Données!I$51*1E-24*H35+Données!F$51)*Y35+Données!F$48*Q35</f>
        <v>-2.3951335087169592E-5</v>
      </c>
      <c r="AA35" s="15">
        <f t="shared" si="35"/>
        <v>24488.773485279838</v>
      </c>
      <c r="AC35" s="19"/>
    </row>
    <row r="36" spans="5:29" ht="15" thickBot="1">
      <c r="E36" s="20">
        <v>34</v>
      </c>
      <c r="F36" s="27">
        <f t="shared" si="24"/>
        <v>2.8333333333333335</v>
      </c>
      <c r="G36" s="18">
        <f t="shared" si="25"/>
        <v>89352000</v>
      </c>
      <c r="H36" s="75">
        <f>IF(F36&lt;Données!C$26/365,Données!C$30,0)</f>
        <v>3125923379334265</v>
      </c>
      <c r="I36" s="40">
        <f t="shared" si="26"/>
        <v>11.353537604136182</v>
      </c>
      <c r="J36" s="21">
        <f>-(Données!I$44*1E-24*H36+Données!F$44)*I36</f>
        <v>-6.5208627042179086E-8</v>
      </c>
      <c r="K36" s="42">
        <f t="shared" si="27"/>
        <v>3258.6250869160726</v>
      </c>
      <c r="L36" s="23">
        <f>-(Données!I$45*1E-24*H36+Données!F$45)*K36+(I36*Données!H$44*1E-24*H36)+(Données!H$51*1E-24*H36)*Y36</f>
        <v>-2.4656216542028844E-6</v>
      </c>
      <c r="M36" s="40">
        <f t="shared" si="28"/>
        <v>1289.4514648602876</v>
      </c>
      <c r="N36" s="21">
        <f>-(Données!I$46*1E-24*H36+Données!F$46)*M36+Données!H$45*1E-24*H36*K36</f>
        <v>1.1794684329659497E-6</v>
      </c>
      <c r="O36" s="42">
        <f t="shared" si="29"/>
        <v>195.59796611628801</v>
      </c>
      <c r="P36" s="23">
        <f>-(Données!I$47*1E-24*H36+Données!F$47)*O36+(Données!H$46*1E-24*H36)*M36</f>
        <v>-2.2545556812582163E-7</v>
      </c>
      <c r="Q36" s="40">
        <f t="shared" si="30"/>
        <v>94.491441707047912</v>
      </c>
      <c r="R36" s="43">
        <f>-(Données!I$48*1E-24*H36+Données!F$48)*Q36+Données!H$47*1E-24*H36*O36+(Données!I$49*1E-24*H36*S36)*0.85*0.16</f>
        <v>9.7952206837249196E-8</v>
      </c>
      <c r="S36" s="42">
        <f t="shared" si="31"/>
        <v>51.975888901589954</v>
      </c>
      <c r="T36" s="22">
        <f>-(Données!I$49*1E-24*H36+Données!F$49)*S36+Données!F$47*O36</f>
        <v>-2.6442041832061543E-8</v>
      </c>
      <c r="U36" s="28">
        <f t="shared" si="32"/>
        <v>4901.4953861054228</v>
      </c>
      <c r="V36" s="19"/>
      <c r="W36" s="40">
        <f t="shared" si="33"/>
        <v>71.726559020160238</v>
      </c>
      <c r="X36" s="21">
        <f>-(Données!I$50*1E-24*H36+Données!F$50)*W36+Données!F$45*K36</f>
        <v>-5.2506363478651855E-7</v>
      </c>
      <c r="Y36" s="42">
        <f t="shared" si="34"/>
        <v>24352.695743617514</v>
      </c>
      <c r="Z36" s="23">
        <f>-(Données!I$51*1E-24*H36+Données!F$51)*Y36+Données!F$48*Q36</f>
        <v>-2.3889587937883089E-5</v>
      </c>
      <c r="AA36" s="15">
        <f t="shared" si="35"/>
        <v>24424.422302637675</v>
      </c>
      <c r="AC36" s="19"/>
    </row>
    <row r="37" spans="5:29" ht="15" thickBot="1">
      <c r="E37" s="20">
        <v>35</v>
      </c>
      <c r="F37" s="27">
        <f t="shared" si="24"/>
        <v>2.9166666666666665</v>
      </c>
      <c r="G37" s="18">
        <f t="shared" si="25"/>
        <v>91980000</v>
      </c>
      <c r="H37" s="75">
        <f>IF(F37&lt;Données!C$26/365,Données!C$30,0)</f>
        <v>3125923379334265</v>
      </c>
      <c r="I37" s="40">
        <f t="shared" si="26"/>
        <v>11.182169332269336</v>
      </c>
      <c r="J37" s="21">
        <f>-(Données!I$44*1E-24*H37+Données!F$44)*I37</f>
        <v>-6.4224379654566883E-8</v>
      </c>
      <c r="K37" s="42">
        <f t="shared" si="27"/>
        <v>3252.1454332088274</v>
      </c>
      <c r="L37" s="23">
        <f>-(Données!I$45*1E-24*H37+Données!F$45)*K37+(I37*Données!H$44*1E-24*H37)+(Données!H$51*1E-24*H37)*Y37</f>
        <v>-2.4728104092856003E-6</v>
      </c>
      <c r="M37" s="40">
        <f t="shared" si="28"/>
        <v>1292.5511079021221</v>
      </c>
      <c r="N37" s="21">
        <f>-(Données!I$46*1E-24*H37+Données!F$46)*M37+Données!H$45*1E-24*H37*K37</f>
        <v>1.1617206016537437E-6</v>
      </c>
      <c r="O37" s="42">
        <f t="shared" si="29"/>
        <v>195.00546888325334</v>
      </c>
      <c r="P37" s="23">
        <f>-(Données!I$47*1E-24*H37+Données!F$47)*O37+(Données!H$46*1E-24*H37)*M37</f>
        <v>-2.1477509716901931E-7</v>
      </c>
      <c r="Q37" s="40">
        <f t="shared" si="30"/>
        <v>94.748860106616206</v>
      </c>
      <c r="R37" s="43">
        <f>-(Données!I$48*1E-24*H37+Données!F$48)*Q37+Données!H$47*1E-24*H37*O37+(Données!I$49*1E-24*H37*S37)*0.85*0.16</f>
        <v>9.645890652029292E-8</v>
      </c>
      <c r="S37" s="42">
        <f t="shared" si="31"/>
        <v>51.906399215655298</v>
      </c>
      <c r="T37" s="22">
        <f>-(Données!I$49*1E-24*H37+Données!F$49)*S37+Données!F$47*O37</f>
        <v>-2.6914545010538298E-8</v>
      </c>
      <c r="U37" s="28">
        <f t="shared" si="32"/>
        <v>4897.5394386487442</v>
      </c>
      <c r="V37" s="19"/>
      <c r="W37" s="40">
        <f t="shared" si="33"/>
        <v>70.346691787941268</v>
      </c>
      <c r="X37" s="21">
        <f>-(Données!I$50*1E-24*H37+Données!F$50)*W37+Données!F$45*K37</f>
        <v>-5.1491127888238448E-7</v>
      </c>
      <c r="Y37" s="42">
        <f t="shared" si="34"/>
        <v>24289.913906516758</v>
      </c>
      <c r="Z37" s="23">
        <f>-(Données!I$51*1E-24*H37+Données!F$51)*Y37+Données!F$48*Q37</f>
        <v>-2.3827999974511491E-5</v>
      </c>
      <c r="AA37" s="15">
        <f t="shared" si="35"/>
        <v>24360.2605983047</v>
      </c>
      <c r="AC37" s="19"/>
    </row>
    <row r="38" spans="5:29" ht="15" thickBot="1">
      <c r="E38" s="20">
        <v>36</v>
      </c>
      <c r="F38" s="27">
        <f t="shared" si="24"/>
        <v>3</v>
      </c>
      <c r="G38" s="18">
        <f t="shared" si="25"/>
        <v>94608000</v>
      </c>
      <c r="H38" s="75">
        <f>IF(F38&lt;Données!C$26/365,Données!C$30,0)</f>
        <v>3125923379334265</v>
      </c>
      <c r="I38" s="40">
        <f t="shared" si="26"/>
        <v>11.013387662537134</v>
      </c>
      <c r="J38" s="21">
        <f>-(Données!I$44*1E-24*H38+Données!F$44)*I38</f>
        <v>-6.3254988321497816E-8</v>
      </c>
      <c r="K38" s="42">
        <f t="shared" si="27"/>
        <v>3245.6468874532247</v>
      </c>
      <c r="L38" s="23">
        <f>-(Données!I$45*1E-24*H38+Données!F$45)*K38+(I38*Données!H$44*1E-24*H38)+(Données!H$51*1E-24*H38)*Y38</f>
        <v>-2.4797304181817667E-6</v>
      </c>
      <c r="M38" s="40">
        <f t="shared" si="28"/>
        <v>1295.6041096432682</v>
      </c>
      <c r="N38" s="21">
        <f>-(Données!I$46*1E-24*H38+Données!F$46)*M38+Données!H$45*1E-24*H38*K38</f>
        <v>1.1440724443387532E-6</v>
      </c>
      <c r="O38" s="42">
        <f t="shared" si="29"/>
        <v>194.44103992789317</v>
      </c>
      <c r="P38" s="23">
        <f>-(Données!I$47*1E-24*H38+Données!F$47)*O38+(Données!H$46*1E-24*H38)*M38</f>
        <v>-2.0445760070421286E-7</v>
      </c>
      <c r="Q38" s="40">
        <f t="shared" si="30"/>
        <v>95.002354112951537</v>
      </c>
      <c r="R38" s="43">
        <f>-(Données!I$48*1E-24*H38+Données!F$48)*Q38+Données!H$47*1E-24*H38*O38+(Données!I$49*1E-24*H38*S38)*0.85*0.16</f>
        <v>9.5013168405932605E-8</v>
      </c>
      <c r="S38" s="42">
        <f t="shared" si="31"/>
        <v>51.835667791367605</v>
      </c>
      <c r="T38" s="22">
        <f>-(Données!I$49*1E-24*H38+Données!F$49)*S38+Données!F$47*O38</f>
        <v>-2.7336179970625842E-8</v>
      </c>
      <c r="U38" s="28">
        <f t="shared" si="32"/>
        <v>4893.5434465912422</v>
      </c>
      <c r="V38" s="19"/>
      <c r="W38" s="40">
        <f t="shared" si="33"/>
        <v>68.99350494703836</v>
      </c>
      <c r="X38" s="21">
        <f>-(Données!I$50*1E-24*H38+Données!F$50)*W38+Données!F$45*K38</f>
        <v>-5.0495535506273102E-7</v>
      </c>
      <c r="Y38" s="42">
        <f t="shared" si="34"/>
        <v>24227.293922583744</v>
      </c>
      <c r="Z38" s="23">
        <f>-(Données!I$51*1E-24*H38+Données!F$51)*Y38+Données!F$48*Q38</f>
        <v>-2.3766570786662014E-5</v>
      </c>
      <c r="AA38" s="15">
        <f t="shared" si="35"/>
        <v>24296.28742753078</v>
      </c>
      <c r="AC38" s="19"/>
    </row>
    <row r="39" spans="5:29" ht="15" thickBot="1">
      <c r="E39" s="20">
        <v>37</v>
      </c>
      <c r="F39" s="27">
        <f t="shared" si="24"/>
        <v>3.0833333333333335</v>
      </c>
      <c r="G39" s="18">
        <f t="shared" si="25"/>
        <v>97236000</v>
      </c>
      <c r="H39" s="75">
        <f>IF(F39&lt;Données!C$26/365,Données!C$30,0)</f>
        <v>3125923379334265</v>
      </c>
      <c r="I39" s="40">
        <f t="shared" si="26"/>
        <v>10.847153553228239</v>
      </c>
      <c r="J39" s="21">
        <f>-(Données!I$44*1E-24*H39+Données!F$44)*I39</f>
        <v>-6.2300228808333959E-8</v>
      </c>
      <c r="K39" s="42">
        <f t="shared" si="27"/>
        <v>3239.130155914243</v>
      </c>
      <c r="L39" s="23">
        <f>-(Données!I$45*1E-24*H39+Données!F$45)*K39+(I39*Données!H$44*1E-24*H39)+(Données!H$51*1E-24*H39)*Y39</f>
        <v>-2.4863869844716142E-6</v>
      </c>
      <c r="M39" s="40">
        <f t="shared" si="28"/>
        <v>1298.6107320269905</v>
      </c>
      <c r="N39" s="21">
        <f>-(Données!I$46*1E-24*H39+Données!F$46)*M39+Données!H$45*1E-24*H39*K39</f>
        <v>1.1265242643253818E-6</v>
      </c>
      <c r="O39" s="42">
        <f t="shared" si="29"/>
        <v>193.90372535324249</v>
      </c>
      <c r="P39" s="23">
        <f>-(Données!I$47*1E-24*H39+Données!F$47)*O39+(Données!H$46*1E-24*H39)*M39</f>
        <v>-1.9449263133391717E-7</v>
      </c>
      <c r="Q39" s="40">
        <f t="shared" si="30"/>
        <v>95.252048719522321</v>
      </c>
      <c r="R39" s="43">
        <f>-(Données!I$48*1E-24*H39+Données!F$48)*Q39+Données!H$47*1E-24*H39*O39+(Données!I$49*1E-24*H39*S39)*0.85*0.16</f>
        <v>9.3613473220191457E-8</v>
      </c>
      <c r="S39" s="42">
        <f t="shared" si="31"/>
        <v>51.763828310404797</v>
      </c>
      <c r="T39" s="22">
        <f>-(Données!I$49*1E-24*H39+Données!F$49)*S39+Données!F$47*O39</f>
        <v>-2.7709250227705704E-8</v>
      </c>
      <c r="U39" s="28">
        <f t="shared" si="32"/>
        <v>4889.5076438776314</v>
      </c>
      <c r="V39" s="19"/>
      <c r="W39" s="40">
        <f t="shared" si="33"/>
        <v>67.666482273933497</v>
      </c>
      <c r="X39" s="21">
        <f>-(Données!I$50*1E-24*H39+Données!F$50)*W39+Données!F$45*K39</f>
        <v>-4.9519206236571647E-7</v>
      </c>
      <c r="Y39" s="42">
        <f t="shared" si="34"/>
        <v>24164.835374556395</v>
      </c>
      <c r="Z39" s="23">
        <f>-(Données!I$51*1E-24*H39+Données!F$51)*Y39+Données!F$48*Q39</f>
        <v>-2.3705299965000106E-5</v>
      </c>
      <c r="AA39" s="15">
        <f t="shared" si="35"/>
        <v>24232.501856830328</v>
      </c>
      <c r="AC39" s="19"/>
    </row>
    <row r="40" spans="5:29" ht="15" thickBot="1">
      <c r="E40" s="20">
        <v>38</v>
      </c>
      <c r="F40" s="27">
        <f t="shared" si="24"/>
        <v>3.1666666666666665</v>
      </c>
      <c r="G40" s="18">
        <f t="shared" si="25"/>
        <v>99864000</v>
      </c>
      <c r="H40" s="75">
        <f>IF(F40&lt;Données!C$26/365,Données!C$30,0)</f>
        <v>3125923379334265</v>
      </c>
      <c r="I40" s="40">
        <f t="shared" si="26"/>
        <v>10.683428551919937</v>
      </c>
      <c r="J40" s="21">
        <f>-(Données!I$44*1E-24*H40+Données!F$44)*I40</f>
        <v>-6.1359880264995015E-8</v>
      </c>
      <c r="K40" s="42">
        <f t="shared" si="27"/>
        <v>3232.5959309190516</v>
      </c>
      <c r="L40" s="23">
        <f>-(Données!I$45*1E-24*H40+Données!F$45)*K40+(I40*Données!H$44*1E-24*H40)+(Données!H$51*1E-24*H40)*Y40</f>
        <v>-2.4927853132677629E-6</v>
      </c>
      <c r="M40" s="40">
        <f t="shared" si="28"/>
        <v>1301.5712377936377</v>
      </c>
      <c r="N40" s="21">
        <f>-(Données!I$46*1E-24*H40+Données!F$46)*M40+Données!H$45*1E-24*H40*K40</f>
        <v>1.1090763427066436E-6</v>
      </c>
      <c r="O40" s="42">
        <f t="shared" si="29"/>
        <v>193.39259871809696</v>
      </c>
      <c r="P40" s="23">
        <f>-(Données!I$47*1E-24*H40+Données!F$47)*O40+(Données!H$46*1E-24*H40)*M40</f>
        <v>-1.8487003046841731E-7</v>
      </c>
      <c r="Q40" s="40">
        <f t="shared" si="30"/>
        <v>95.498064927144981</v>
      </c>
      <c r="R40" s="43">
        <f>-(Données!I$48*1E-24*H40+Données!F$48)*Q40+Données!H$47*1E-24*H40*O40+(Données!I$49*1E-24*H40*S40)*0.85*0.16</f>
        <v>9.2258344471871158E-8</v>
      </c>
      <c r="S40" s="42">
        <f t="shared" si="31"/>
        <v>51.691008400806389</v>
      </c>
      <c r="T40" s="22">
        <f>-(Données!I$49*1E-24*H40+Données!F$49)*S40+Données!F$47*O40</f>
        <v>-2.8035979136224713E-8</v>
      </c>
      <c r="U40" s="28">
        <f t="shared" si="32"/>
        <v>4885.4322693106578</v>
      </c>
      <c r="V40" s="19"/>
      <c r="W40" s="40">
        <f t="shared" si="33"/>
        <v>66.365117534036401</v>
      </c>
      <c r="X40" s="21">
        <f>-(Données!I$50*1E-24*H40+Données!F$50)*W40+Données!F$45*K40</f>
        <v>-4.8561767337837873E-7</v>
      </c>
      <c r="Y40" s="42">
        <f t="shared" si="34"/>
        <v>24102.537846248375</v>
      </c>
      <c r="Z40" s="23">
        <f>-(Données!I$51*1E-24*H40+Données!F$51)*Y40+Données!F$48*Q40</f>
        <v>-2.3644187101246733E-5</v>
      </c>
      <c r="AA40" s="15">
        <f t="shared" si="35"/>
        <v>24168.90296378241</v>
      </c>
      <c r="AC40" s="19"/>
    </row>
    <row r="41" spans="5:29" ht="15" thickBot="1">
      <c r="E41" s="20">
        <v>39</v>
      </c>
      <c r="F41" s="27">
        <f t="shared" si="24"/>
        <v>3.25</v>
      </c>
      <c r="G41" s="18">
        <f t="shared" si="25"/>
        <v>102492000</v>
      </c>
      <c r="H41" s="75">
        <f>IF(F41&lt;Données!C$26/365,Données!C$30,0)</f>
        <v>3125923379334265</v>
      </c>
      <c r="I41" s="40">
        <f t="shared" si="26"/>
        <v>10.52217478658353</v>
      </c>
      <c r="J41" s="21">
        <f>-(Données!I$44*1E-24*H41+Données!F$44)*I41</f>
        <v>-6.0433725174872432E-8</v>
      </c>
      <c r="K41" s="42">
        <f t="shared" si="27"/>
        <v>3226.0448911157841</v>
      </c>
      <c r="L41" s="23">
        <f>-(Données!I$45*1E-24*H41+Données!F$45)*K41+(I41*Données!H$44*1E-24*H41)+(Données!H$51*1E-24*H41)*Y41</f>
        <v>-2.4989305130260259E-6</v>
      </c>
      <c r="M41" s="40">
        <f t="shared" si="28"/>
        <v>1304.4858904222708</v>
      </c>
      <c r="N41" s="21">
        <f>-(Données!I$46*1E-24*H41+Données!F$46)*M41+Données!H$45*1E-24*H41*K41</f>
        <v>1.0917289388950388E-6</v>
      </c>
      <c r="O41" s="42">
        <f t="shared" si="29"/>
        <v>192.90676027802596</v>
      </c>
      <c r="P41" s="23">
        <f>-(Données!I$47*1E-24*H41+Données!F$47)*O41+(Données!H$46*1E-24*H41)*M41</f>
        <v>-1.7557992039382084E-7</v>
      </c>
      <c r="Q41" s="40">
        <f t="shared" si="30"/>
        <v>95.740519856417052</v>
      </c>
      <c r="R41" s="43">
        <f>-(Données!I$48*1E-24*H41+Données!F$48)*Q41+Données!H$47*1E-24*H41*O41+(Données!I$49*1E-24*H41*S41)*0.85*0.16</f>
        <v>9.094634730176061E-8</v>
      </c>
      <c r="S41" s="42">
        <f t="shared" si="31"/>
        <v>51.617329847636391</v>
      </c>
      <c r="T41" s="22">
        <f>-(Données!I$49*1E-24*H41+Données!F$49)*S41+Données!F$47*O41</f>
        <v>-2.8318512377813097E-8</v>
      </c>
      <c r="U41" s="28">
        <f t="shared" si="32"/>
        <v>4881.3175663067177</v>
      </c>
      <c r="V41" s="19"/>
      <c r="W41" s="40">
        <f t="shared" si="33"/>
        <v>65.088914288398016</v>
      </c>
      <c r="X41" s="21">
        <f>-(Données!I$50*1E-24*H41+Données!F$50)*W41+Données!F$45*K41</f>
        <v>-4.7622853281346756E-7</v>
      </c>
      <c r="Y41" s="42">
        <f t="shared" si="34"/>
        <v>24040.400922546298</v>
      </c>
      <c r="Z41" s="23">
        <f>-(Données!I$51*1E-24*H41+Données!F$51)*Y41+Données!F$48*Q41</f>
        <v>-2.3583231788175636E-5</v>
      </c>
      <c r="AA41" s="15">
        <f t="shared" si="35"/>
        <v>24105.489836834695</v>
      </c>
      <c r="AC41" s="19"/>
    </row>
    <row r="42" spans="5:29" ht="15" thickBot="1">
      <c r="E42" s="20">
        <v>40</v>
      </c>
      <c r="F42" s="27">
        <f t="shared" si="24"/>
        <v>3.3333333333333335</v>
      </c>
      <c r="G42" s="18">
        <f t="shared" si="25"/>
        <v>105120000</v>
      </c>
      <c r="H42" s="75">
        <f>IF(F42&lt;Données!C$26/365,Données!C$30,0)</f>
        <v>3125923379334265</v>
      </c>
      <c r="I42" s="40">
        <f t="shared" si="26"/>
        <v>10.363354956823965</v>
      </c>
      <c r="J42" s="21">
        <f>-(Données!I$44*1E-24*H42+Données!F$44)*I42</f>
        <v>-5.9521549304514559E-8</v>
      </c>
      <c r="K42" s="42">
        <f t="shared" si="27"/>
        <v>3219.4777017275519</v>
      </c>
      <c r="L42" s="23">
        <f>-(Données!I$45*1E-24*H42+Données!F$45)*K42+(I42*Données!H$44*1E-24*H42)+(Données!H$51*1E-24*H42)*Y42</f>
        <v>-2.5048275973229391E-6</v>
      </c>
      <c r="M42" s="40">
        <f t="shared" si="28"/>
        <v>1307.3549540736869</v>
      </c>
      <c r="N42" s="21">
        <f>-(Données!I$46*1E-24*H42+Données!F$46)*M42+Données!H$45*1E-24*H42*K42</f>
        <v>1.074482291142802E-6</v>
      </c>
      <c r="O42" s="42">
        <f t="shared" si="29"/>
        <v>192.44533624723098</v>
      </c>
      <c r="P42" s="23">
        <f>-(Données!I$47*1E-24*H42+Données!F$47)*O42+(Données!H$46*1E-24*H42)*M42</f>
        <v>-1.6661269655826112E-7</v>
      </c>
      <c r="Q42" s="40">
        <f t="shared" si="30"/>
        <v>95.979526857126075</v>
      </c>
      <c r="R42" s="43">
        <f>-(Données!I$48*1E-24*H42+Données!F$48)*Q42+Données!H$47*1E-24*H42*O42+(Données!I$49*1E-24*H42*S42)*0.85*0.16</f>
        <v>8.9676087362664025E-8</v>
      </c>
      <c r="S42" s="42">
        <f t="shared" si="31"/>
        <v>51.542908797107501</v>
      </c>
      <c r="T42" s="22">
        <f>-(Données!I$49*1E-24*H42+Données!F$49)*S42+Données!F$47*O42</f>
        <v>-2.8558920376336883E-8</v>
      </c>
      <c r="U42" s="28">
        <f t="shared" si="32"/>
        <v>4877.1637826595279</v>
      </c>
      <c r="V42" s="19"/>
      <c r="W42" s="40">
        <f t="shared" si="33"/>
        <v>63.83738570416422</v>
      </c>
      <c r="X42" s="21">
        <f>-(Données!I$50*1E-24*H42+Données!F$50)*W42+Données!F$45*K42</f>
        <v>-4.670210561138178E-7</v>
      </c>
      <c r="Y42" s="42">
        <f t="shared" si="34"/>
        <v>23978.424189406971</v>
      </c>
      <c r="Z42" s="23">
        <f>-(Données!I$51*1E-24*H42+Données!F$51)*Y42+Données!F$48*Q42</f>
        <v>-2.3522433619610615E-5</v>
      </c>
      <c r="AA42" s="15">
        <f t="shared" si="35"/>
        <v>24042.261575111133</v>
      </c>
      <c r="AC42" s="19"/>
    </row>
    <row r="43" spans="5:29" ht="15" thickBot="1">
      <c r="E43" s="20">
        <v>41</v>
      </c>
      <c r="F43" s="27">
        <f t="shared" si="24"/>
        <v>3.4166666666666665</v>
      </c>
      <c r="G43" s="18">
        <f t="shared" si="25"/>
        <v>107748000</v>
      </c>
      <c r="H43" s="75">
        <f>IF(F43&lt;Données!C$26/365,Données!C$30,0)</f>
        <v>3125923379334265</v>
      </c>
      <c r="I43" s="40">
        <f t="shared" si="26"/>
        <v>10.206932325251701</v>
      </c>
      <c r="J43" s="21">
        <f>-(Données!I$44*1E-24*H43+Données!F$44)*I43</f>
        <v>-5.8623141654071229E-8</v>
      </c>
      <c r="K43" s="42">
        <f t="shared" si="27"/>
        <v>3212.8950148017871</v>
      </c>
      <c r="L43" s="23">
        <f>-(Données!I$45*1E-24*H43+Données!F$45)*K43+(I43*Données!H$44*1E-24*H43)+(Données!H$51*1E-24*H43)*Y43</f>
        <v>-2.5104814866007165E-6</v>
      </c>
      <c r="M43" s="40">
        <f t="shared" si="28"/>
        <v>1310.1786935348102</v>
      </c>
      <c r="N43" s="21">
        <f>-(Données!I$46*1E-24*H43+Données!F$46)*M43+Données!H$45*1E-24*H43*K43</f>
        <v>1.057336617051698E-6</v>
      </c>
      <c r="O43" s="42">
        <f t="shared" si="29"/>
        <v>192.00747808067587</v>
      </c>
      <c r="P43" s="23">
        <f>-(Données!I$47*1E-24*H43+Données!F$47)*O43+(Données!H$46*1E-24*H43)*M43</f>
        <v>-1.5795902007022328E-7</v>
      </c>
      <c r="Q43" s="40">
        <f t="shared" si="30"/>
        <v>96.215195614715157</v>
      </c>
      <c r="R43" s="43">
        <f>-(Données!I$48*1E-24*H43+Données!F$48)*Q43+Données!H$47*1E-24*H43*O43+(Données!I$49*1E-24*H43*S43)*0.85*0.16</f>
        <v>8.8446209729415157E-8</v>
      </c>
      <c r="S43" s="42">
        <f t="shared" si="31"/>
        <v>51.467855954358484</v>
      </c>
      <c r="T43" s="22">
        <f>-(Données!I$49*1E-24*H43+Données!F$49)*S43+Données!F$47*O43</f>
        <v>-2.8759200641969828E-8</v>
      </c>
      <c r="U43" s="28">
        <f t="shared" si="32"/>
        <v>4872.9711703115991</v>
      </c>
      <c r="V43" s="19"/>
      <c r="W43" s="40">
        <f t="shared" si="33"/>
        <v>62.610054368697106</v>
      </c>
      <c r="X43" s="21">
        <f>-(Données!I$50*1E-24*H43+Données!F$50)*W43+Données!F$45*K43</f>
        <v>-4.5799172808372583E-7</v>
      </c>
      <c r="Y43" s="42">
        <f t="shared" si="34"/>
        <v>23916.607233854633</v>
      </c>
      <c r="Z43" s="23">
        <f>-(Données!I$51*1E-24*H43+Données!F$51)*Y43+Données!F$48*Q43</f>
        <v>-2.346179219042282E-5</v>
      </c>
      <c r="AA43" s="15">
        <f t="shared" si="35"/>
        <v>23979.217288223332</v>
      </c>
      <c r="AC43" s="19"/>
    </row>
    <row r="44" spans="5:29" ht="15" thickBot="1">
      <c r="E44" s="20">
        <v>42</v>
      </c>
      <c r="F44" s="27">
        <f t="shared" si="24"/>
        <v>3.5</v>
      </c>
      <c r="G44" s="18">
        <f t="shared" si="25"/>
        <v>110376000</v>
      </c>
      <c r="H44" s="75">
        <f>IF(F44&lt;Données!C$26/365,Données!C$30,0)</f>
        <v>3125923379334265</v>
      </c>
      <c r="I44" s="40">
        <f t="shared" si="26"/>
        <v>10.052870708984802</v>
      </c>
      <c r="J44" s="21">
        <f>-(Données!I$44*1E-24*H44+Données!F$44)*I44</f>
        <v>-5.7738294408486415E-8</v>
      </c>
      <c r="K44" s="42">
        <f t="shared" si="27"/>
        <v>3206.2974694550003</v>
      </c>
      <c r="L44" s="23">
        <f>-(Données!I$45*1E-24*H44+Données!F$45)*K44+(I44*Données!H$44*1E-24*H44)+(Données!H$51*1E-24*H44)*Y44</f>
        <v>-2.5158970098801981E-6</v>
      </c>
      <c r="M44" s="40">
        <f t="shared" si="28"/>
        <v>1312.9573741644222</v>
      </c>
      <c r="N44" s="21">
        <f>-(Données!I$46*1E-24*H44+Données!F$46)*M44+Données!H$45*1E-24*H44*K44</f>
        <v>1.0402921140726026E-6</v>
      </c>
      <c r="O44" s="42">
        <f t="shared" si="29"/>
        <v>191.59236177593132</v>
      </c>
      <c r="P44" s="23">
        <f>-(Données!I$47*1E-24*H44+Données!F$47)*O44+(Données!H$46*1E-24*H44)*M44</f>
        <v>-1.496098104031534E-7</v>
      </c>
      <c r="Q44" s="40">
        <f t="shared" si="30"/>
        <v>96.447632253884066</v>
      </c>
      <c r="R44" s="43">
        <f>-(Données!I$48*1E-24*H44+Données!F$48)*Q44+Données!H$47*1E-24*H44*O44+(Données!I$49*1E-24*H44*S44)*0.85*0.16</f>
        <v>8.7255397838069069E-8</v>
      </c>
      <c r="S44" s="42">
        <f t="shared" si="31"/>
        <v>51.392276775071387</v>
      </c>
      <c r="T44" s="22">
        <f>-(Données!I$49*1E-24*H44+Données!F$49)*S44+Données!F$47*O44</f>
        <v>-2.8921280046313334E-8</v>
      </c>
      <c r="U44" s="28">
        <f t="shared" si="32"/>
        <v>4868.7399851332939</v>
      </c>
      <c r="V44" s="19"/>
      <c r="W44" s="40">
        <f t="shared" si="33"/>
        <v>61.406452107293077</v>
      </c>
      <c r="X44" s="21">
        <f>-(Données!I$50*1E-24*H44+Données!F$50)*W44+Données!F$45*K44</f>
        <v>-4.4913710154680919E-7</v>
      </c>
      <c r="Y44" s="42">
        <f t="shared" si="34"/>
        <v>23854.949643978201</v>
      </c>
      <c r="Z44" s="23">
        <f>-(Données!I$51*1E-24*H44+Données!F$51)*Y44+Données!F$48*Q44</f>
        <v>-2.3401307096528046E-5</v>
      </c>
      <c r="AA44" s="15">
        <f t="shared" si="35"/>
        <v>23916.356096085496</v>
      </c>
      <c r="AC44" s="19"/>
    </row>
    <row r="45" spans="5:29" ht="15" thickBot="1">
      <c r="E45" s="20">
        <v>43</v>
      </c>
      <c r="F45" s="27">
        <f t="shared" si="24"/>
        <v>3.5833333333333335</v>
      </c>
      <c r="G45" s="18">
        <f t="shared" si="25"/>
        <v>113004000</v>
      </c>
      <c r="H45" s="75">
        <f>IF(F45&lt;Données!C$26/365,Données!C$30,0)</f>
        <v>3125923379334265</v>
      </c>
      <c r="I45" s="40">
        <f t="shared" si="26"/>
        <v>9.901134471279299</v>
      </c>
      <c r="J45" s="21">
        <f>-(Données!I$44*1E-24*H45+Données!F$44)*I45</f>
        <v>-5.6866802889427461E-8</v>
      </c>
      <c r="K45" s="42">
        <f t="shared" si="27"/>
        <v>3199.6856921130352</v>
      </c>
      <c r="L45" s="23">
        <f>-(Données!I$45*1E-24*H45+Données!F$45)*K45+(I45*Données!H$44*1E-24*H45)+(Données!H$51*1E-24*H45)*Y45</f>
        <v>-2.5210789064423458E-6</v>
      </c>
      <c r="M45" s="40">
        <f t="shared" si="28"/>
        <v>1315.691261840205</v>
      </c>
      <c r="N45" s="21">
        <f>-(Données!I$46*1E-24*H45+Données!F$46)*M45+Données!H$45*1E-24*H45*K45</f>
        <v>1.0233489599950154E-6</v>
      </c>
      <c r="O45" s="42">
        <f t="shared" si="29"/>
        <v>191.19918719419184</v>
      </c>
      <c r="P45" s="23">
        <f>-(Données!I$47*1E-24*H45+Données!F$47)*O45+(Données!H$46*1E-24*H45)*M45</f>
        <v>-1.4155623830066336E-7</v>
      </c>
      <c r="Q45" s="40">
        <f t="shared" si="30"/>
        <v>96.676939439402517</v>
      </c>
      <c r="R45" s="43">
        <f>-(Données!I$48*1E-24*H45+Données!F$48)*Q45+Données!H$47*1E-24*H45*O45+(Données!I$49*1E-24*H45*S45)*0.85*0.16</f>
        <v>8.6102372453483677E-8</v>
      </c>
      <c r="S45" s="42">
        <f t="shared" si="31"/>
        <v>51.316271651109673</v>
      </c>
      <c r="T45" s="22">
        <f>-(Données!I$49*1E-24*H45+Données!F$49)*S45+Données!F$47*O45</f>
        <v>-2.9047017030533676E-8</v>
      </c>
      <c r="U45" s="28">
        <f t="shared" si="32"/>
        <v>4864.4704867092232</v>
      </c>
      <c r="V45" s="19"/>
      <c r="W45" s="40">
        <f t="shared" si="33"/>
        <v>60.226119804428066</v>
      </c>
      <c r="X45" s="21">
        <f>-(Données!I$50*1E-24*H45+Données!F$50)*W45+Données!F$45*K45</f>
        <v>-4.4045379602983627E-7</v>
      </c>
      <c r="Y45" s="42">
        <f t="shared" si="34"/>
        <v>23793.451008928525</v>
      </c>
      <c r="Z45" s="23">
        <f>-(Données!I$51*1E-24*H45+Données!F$51)*Y45+Données!F$48*Q45</f>
        <v>-2.3340977934884019E-5</v>
      </c>
      <c r="AA45" s="15">
        <f t="shared" si="35"/>
        <v>23853.677128732954</v>
      </c>
      <c r="AC45" s="19"/>
    </row>
    <row r="46" spans="5:29" ht="15" thickBot="1">
      <c r="E46" s="20">
        <v>44</v>
      </c>
      <c r="F46" s="27">
        <f t="shared" si="24"/>
        <v>3.6666666666666665</v>
      </c>
      <c r="G46" s="18">
        <f t="shared" si="25"/>
        <v>115632000</v>
      </c>
      <c r="H46" s="75">
        <f>IF(F46&lt;Données!C$26/365,Données!C$30,0)</f>
        <v>3125923379334265</v>
      </c>
      <c r="I46" s="40">
        <f t="shared" si="26"/>
        <v>9.7516885132858828</v>
      </c>
      <c r="J46" s="21">
        <f>-(Données!I$44*1E-24*H46+Données!F$44)*I46</f>
        <v>-5.6008465507939983E-8</v>
      </c>
      <c r="K46" s="42">
        <f t="shared" si="27"/>
        <v>3193.0602967469049</v>
      </c>
      <c r="L46" s="23">
        <f>-(Données!I$45*1E-24*H46+Données!F$45)*K46+(I46*Données!H$44*1E-24*H46)+(Données!H$51*1E-24*H46)*Y46</f>
        <v>-2.5260318274788976E-6</v>
      </c>
      <c r="M46" s="40">
        <f t="shared" si="28"/>
        <v>1318.3806229070719</v>
      </c>
      <c r="N46" s="21">
        <f>-(Données!I$46*1E-24*H46+Données!F$46)*M46+Données!H$45*1E-24*H46*K46</f>
        <v>1.0065073134267328E-6</v>
      </c>
      <c r="O46" s="42">
        <f t="shared" si="29"/>
        <v>190.82717739993768</v>
      </c>
      <c r="P46" s="23">
        <f>-(Données!I$47*1E-24*H46+Données!F$47)*O46+(Données!H$46*1E-24*H46)*M46</f>
        <v>-1.3378971887680009E-7</v>
      </c>
      <c r="Q46" s="40">
        <f t="shared" si="30"/>
        <v>96.903216474210268</v>
      </c>
      <c r="R46" s="43">
        <f>-(Données!I$48*1E-24*H46+Données!F$48)*Q46+Données!H$47*1E-24*H46*O46+(Données!I$49*1E-24*H46*S46)*0.85*0.16</f>
        <v>8.4985890664524785E-8</v>
      </c>
      <c r="S46" s="42">
        <f t="shared" si="31"/>
        <v>51.239936090353432</v>
      </c>
      <c r="T46" s="22">
        <f>-(Données!I$49*1E-24*H46+Données!F$49)*S46+Données!F$47*O46</f>
        <v>-2.9138203748431643E-8</v>
      </c>
      <c r="U46" s="28">
        <f t="shared" si="32"/>
        <v>4860.1629381317643</v>
      </c>
      <c r="V46" s="19"/>
      <c r="W46" s="40">
        <f t="shared" si="33"/>
        <v>59.068607228461659</v>
      </c>
      <c r="X46" s="21">
        <f>-(Données!I$50*1E-24*H46+Données!F$50)*W46+Données!F$45*K46</f>
        <v>-4.3193849647202392E-7</v>
      </c>
      <c r="Y46" s="42">
        <f t="shared" si="34"/>
        <v>23732.110918915649</v>
      </c>
      <c r="Z46" s="23">
        <f>-(Données!I$51*1E-24*H46+Données!F$51)*Y46+Données!F$48*Q46</f>
        <v>-2.3280804303487724E-5</v>
      </c>
      <c r="AA46" s="15">
        <f t="shared" si="35"/>
        <v>23791.179526144111</v>
      </c>
      <c r="AC46" s="19"/>
    </row>
    <row r="47" spans="5:29" ht="15" thickBot="1">
      <c r="E47" s="20">
        <v>45</v>
      </c>
      <c r="F47" s="27">
        <f t="shared" si="24"/>
        <v>3.75</v>
      </c>
      <c r="G47" s="18">
        <f t="shared" si="25"/>
        <v>118260000</v>
      </c>
      <c r="H47" s="75">
        <f>IF(F47&lt;Données!C$26/365,Données!C$30,0)</f>
        <v>3125923379334265</v>
      </c>
      <c r="I47" s="40">
        <f t="shared" si="26"/>
        <v>9.6044982659310172</v>
      </c>
      <c r="J47" s="21">
        <f>-(Données!I$44*1E-24*H47+Données!F$44)*I47</f>
        <v>-5.5163083717817329E-8</v>
      </c>
      <c r="K47" s="42">
        <f t="shared" si="27"/>
        <v>3186.4218851042901</v>
      </c>
      <c r="L47" s="23">
        <f>-(Données!I$45*1E-24*H47+Données!F$45)*K47+(I47*Données!H$44*1E-24*H47)+(Données!H$51*1E-24*H47)*Y47</f>
        <v>-2.5307603377127511E-6</v>
      </c>
      <c r="M47" s="40">
        <f t="shared" si="28"/>
        <v>1321.0257241267575</v>
      </c>
      <c r="N47" s="21">
        <f>-(Données!I$46*1E-24*H47+Données!F$46)*M47+Données!H$45*1E-24*H47*K47</f>
        <v>9.8976731426385378E-7</v>
      </c>
      <c r="O47" s="42">
        <f t="shared" si="29"/>
        <v>190.47557801872946</v>
      </c>
      <c r="P47" s="23">
        <f>-(Données!I$47*1E-24*H47+Données!F$47)*O47+(Données!H$46*1E-24*H47)*M47</f>
        <v>-1.2630190490600135E-7</v>
      </c>
      <c r="Q47" s="40">
        <f t="shared" si="30"/>
        <v>97.126559394876637</v>
      </c>
      <c r="R47" s="43">
        <f>-(Données!I$48*1E-24*H47+Données!F$48)*Q47+Données!H$47*1E-24*H47*O47+(Données!I$49*1E-24*H47*S47)*0.85*0.16</f>
        <v>8.3904744906150189E-8</v>
      </c>
      <c r="S47" s="42">
        <f t="shared" si="31"/>
        <v>51.163360890902553</v>
      </c>
      <c r="T47" s="22">
        <f>-(Données!I$49*1E-24*H47+Données!F$49)*S47+Données!F$47*O47</f>
        <v>-2.9196568146305792E-8</v>
      </c>
      <c r="U47" s="28">
        <f t="shared" si="32"/>
        <v>4855.8176058014869</v>
      </c>
      <c r="V47" s="19"/>
      <c r="W47" s="40">
        <f t="shared" si="33"/>
        <v>57.933472859733179</v>
      </c>
      <c r="X47" s="21">
        <f>-(Données!I$50*1E-24*H47+Données!F$50)*W47+Données!F$45*K47</f>
        <v>-4.235879519593092E-7</v>
      </c>
      <c r="Y47" s="42">
        <f t="shared" si="34"/>
        <v>23670.928965206083</v>
      </c>
      <c r="Z47" s="23">
        <f>-(Données!I$51*1E-24*H47+Données!F$51)*Y47+Données!F$48*Q47</f>
        <v>-2.3220785801372717E-5</v>
      </c>
      <c r="AA47" s="15">
        <f t="shared" si="35"/>
        <v>23728.862438065815</v>
      </c>
      <c r="AC47" s="19"/>
    </row>
    <row r="48" spans="5:29" ht="15" thickBot="1">
      <c r="E48" s="20">
        <v>46</v>
      </c>
      <c r="F48" s="27">
        <f t="shared" si="24"/>
        <v>3.8333333333333335</v>
      </c>
      <c r="G48" s="18">
        <f t="shared" si="25"/>
        <v>120888000</v>
      </c>
      <c r="H48" s="75">
        <f>IF(F48&lt;Données!C$26/365,Données!C$30,0)</f>
        <v>3125923379334265</v>
      </c>
      <c r="I48" s="40">
        <f t="shared" si="26"/>
        <v>9.4595296819205927</v>
      </c>
      <c r="J48" s="21">
        <f>-(Données!I$44*1E-24*H48+Données!F$44)*I48</f>
        <v>-5.4330461969673851E-8</v>
      </c>
      <c r="K48" s="42">
        <f t="shared" si="27"/>
        <v>3179.7710469367812</v>
      </c>
      <c r="L48" s="23">
        <f>-(Données!I$45*1E-24*H48+Données!F$45)*K48+(I48*Données!H$44*1E-24*H48)+(Données!H$51*1E-24*H48)*Y48</f>
        <v>-2.5352689169886378E-6</v>
      </c>
      <c r="M48" s="40">
        <f t="shared" si="28"/>
        <v>1323.6268326286429</v>
      </c>
      <c r="N48" s="21">
        <f>-(Données!I$46*1E-24*H48+Données!F$46)*M48+Données!H$45*1E-24*H48*K48</f>
        <v>9.7312908415129882E-7</v>
      </c>
      <c r="O48" s="42">
        <f t="shared" si="29"/>
        <v>190.14365661263651</v>
      </c>
      <c r="P48" s="23">
        <f>-(Données!I$47*1E-24*H48+Données!F$47)*O48+(Données!H$46*1E-24*H48)*M48</f>
        <v>-1.1908468029751393E-7</v>
      </c>
      <c r="Q48" s="40">
        <f t="shared" si="30"/>
        <v>97.347061064490006</v>
      </c>
      <c r="R48" s="43">
        <f>-(Données!I$48*1E-24*H48+Données!F$48)*Q48+Données!H$47*1E-24*H48*O48+(Données!I$49*1E-24*H48*S48)*0.85*0.16</f>
        <v>8.2857762007647354E-8</v>
      </c>
      <c r="S48" s="42">
        <f t="shared" si="31"/>
        <v>51.086632309814064</v>
      </c>
      <c r="T48" s="22">
        <f>-(Données!I$49*1E-24*H48+Données!F$49)*S48+Données!F$47*O48</f>
        <v>-2.9223775981417453E-8</v>
      </c>
      <c r="U48" s="28">
        <f t="shared" si="32"/>
        <v>4851.4347592342856</v>
      </c>
      <c r="V48" s="19"/>
      <c r="W48" s="40">
        <f t="shared" si="33"/>
        <v>56.820283721984111</v>
      </c>
      <c r="X48" s="21">
        <f>-(Données!I$50*1E-24*H48+Données!F$50)*W48+Données!F$45*K48</f>
        <v>-4.1539897448311335E-7</v>
      </c>
      <c r="Y48" s="42">
        <f t="shared" si="34"/>
        <v>23609.904740120077</v>
      </c>
      <c r="Z48" s="23">
        <f>-(Données!I$51*1E-24*H48+Données!F$51)*Y48+Données!F$48*Q48</f>
        <v>-2.3160922028606417E-5</v>
      </c>
      <c r="AA48" s="15">
        <f t="shared" si="35"/>
        <v>23666.72502384206</v>
      </c>
      <c r="AC48" s="19"/>
    </row>
    <row r="49" spans="5:29" ht="15" thickBot="1">
      <c r="E49" s="20">
        <v>47</v>
      </c>
      <c r="F49" s="27">
        <f t="shared" si="24"/>
        <v>3.9166666666666665</v>
      </c>
      <c r="G49" s="18">
        <f t="shared" si="25"/>
        <v>123516000</v>
      </c>
      <c r="H49" s="75">
        <f>IF(F49&lt;Données!C$26/365,Données!C$30,0)</f>
        <v>3125923379334265</v>
      </c>
      <c r="I49" s="40">
        <f t="shared" si="26"/>
        <v>9.3167492278642907</v>
      </c>
      <c r="J49" s="21">
        <f>-(Données!I$44*1E-24*H49+Données!F$44)*I49</f>
        <v>-5.3510407665711491E-8</v>
      </c>
      <c r="K49" s="42">
        <f t="shared" si="27"/>
        <v>3173.1083602229351</v>
      </c>
      <c r="L49" s="23">
        <f>-(Données!I$45*1E-24*H49+Données!F$45)*K49+(I49*Données!H$44*1E-24*H49)+(Données!H$51*1E-24*H49)*Y49</f>
        <v>-2.5395619618345398E-6</v>
      </c>
      <c r="M49" s="40">
        <f t="shared" si="28"/>
        <v>1326.1842158617926</v>
      </c>
      <c r="N49" s="21">
        <f>-(Données!I$46*1E-24*H49+Données!F$46)*M49+Données!H$45*1E-24*H49*K49</f>
        <v>9.5659272693402869E-7</v>
      </c>
      <c r="O49" s="42">
        <f t="shared" si="29"/>
        <v>189.83070207281463</v>
      </c>
      <c r="P49" s="23">
        <f>-(Données!I$47*1E-24*H49+Données!F$47)*O49+(Données!H$46*1E-24*H49)*M49</f>
        <v>-1.1213015374918853E-7</v>
      </c>
      <c r="Q49" s="40">
        <f t="shared" si="30"/>
        <v>97.56481126304611</v>
      </c>
      <c r="R49" s="43">
        <f>-(Données!I$48*1E-24*H49+Données!F$48)*Q49+Données!H$47*1E-24*H49*O49+(Données!I$49*1E-24*H49*S49)*0.85*0.16</f>
        <v>8.1843802266320219E-8</v>
      </c>
      <c r="S49" s="42">
        <f t="shared" si="31"/>
        <v>51.009832226534897</v>
      </c>
      <c r="T49" s="22">
        <f>-(Données!I$49*1E-24*H49+Données!F$49)*S49+Données!F$47*O49</f>
        <v>-2.9221432780815458E-8</v>
      </c>
      <c r="U49" s="28">
        <f t="shared" si="32"/>
        <v>4847.0146708749871</v>
      </c>
      <c r="V49" s="19"/>
      <c r="W49" s="40">
        <f t="shared" si="33"/>
        <v>55.728615217042488</v>
      </c>
      <c r="X49" s="21">
        <f>-(Données!I$50*1E-24*H49+Données!F$50)*W49+Données!F$45*K49</f>
        <v>-4.0736843772312343E-7</v>
      </c>
      <c r="Y49" s="42">
        <f t="shared" si="34"/>
        <v>23549.0378370289</v>
      </c>
      <c r="Z49" s="23">
        <f>-(Données!I$51*1E-24*H49+Données!F$51)*Y49+Données!F$48*Q49</f>
        <v>-2.3101212586287489E-5</v>
      </c>
      <c r="AA49" s="15">
        <f t="shared" si="35"/>
        <v>23604.766452245942</v>
      </c>
      <c r="AC49" s="19"/>
    </row>
    <row r="50" spans="5:29" ht="15" thickBot="1">
      <c r="E50" s="20">
        <v>48</v>
      </c>
      <c r="F50" s="27">
        <f t="shared" si="24"/>
        <v>4</v>
      </c>
      <c r="G50" s="18">
        <f t="shared" si="25"/>
        <v>126144000</v>
      </c>
      <c r="H50" s="75">
        <f>IF(F50&lt;Données!C$26/365,Données!C$30,0)</f>
        <v>3125923379334265</v>
      </c>
      <c r="I50" s="40">
        <f t="shared" si="26"/>
        <v>9.1761238765188011</v>
      </c>
      <c r="J50" s="21">
        <f>-(Données!I$44*1E-24*H50+Données!F$44)*I50</f>
        <v>-5.2702731115168981E-8</v>
      </c>
      <c r="K50" s="42">
        <f t="shared" si="27"/>
        <v>3166.434391387234</v>
      </c>
      <c r="L50" s="23">
        <f>-(Données!I$45*1E-24*H50+Données!F$45)*K50+(I50*Données!H$44*1E-24*H50)+(Données!H$51*1E-24*H50)*Y50</f>
        <v>-2.5436437869945385E-6</v>
      </c>
      <c r="M50" s="40">
        <f t="shared" si="28"/>
        <v>1328.6981415481753</v>
      </c>
      <c r="N50" s="21">
        <f>-(Données!I$46*1E-24*H50+Données!F$46)*M50+Données!H$45*1E-24*H50*K50</f>
        <v>9.4015832909913319E-7</v>
      </c>
      <c r="O50" s="42">
        <f t="shared" si="29"/>
        <v>189.53602402876177</v>
      </c>
      <c r="P50" s="23">
        <f>-(Données!I$47*1E-24*H50+Données!F$47)*O50+(Données!H$46*1E-24*H50)*M50</f>
        <v>-1.0543065257570574E-7</v>
      </c>
      <c r="Q50" s="40">
        <f t="shared" si="30"/>
        <v>97.779896775401994</v>
      </c>
      <c r="R50" s="43">
        <f>-(Données!I$48*1E-24*H50+Données!F$48)*Q50+Données!H$47*1E-24*H50*O50+(Données!I$49*1E-24*H50*S50)*0.85*0.16</f>
        <v>8.086175854593867E-8</v>
      </c>
      <c r="S50" s="42">
        <f t="shared" si="31"/>
        <v>50.933038301186912</v>
      </c>
      <c r="T50" s="22">
        <f>-(Données!I$49*1E-24*H50+Données!F$49)*S50+Données!F$47*O50</f>
        <v>-2.9191085742227738E-8</v>
      </c>
      <c r="U50" s="28">
        <f t="shared" si="32"/>
        <v>4842.5576159172788</v>
      </c>
      <c r="V50" s="19"/>
      <c r="W50" s="40">
        <f t="shared" si="33"/>
        <v>54.65805096270612</v>
      </c>
      <c r="X50" s="21">
        <f>-(Données!I$50*1E-24*H50+Données!F$50)*W50+Données!F$45*K50</f>
        <v>-3.9949327585362594E-7</v>
      </c>
      <c r="Y50" s="42">
        <f t="shared" si="34"/>
        <v>23488.327850352136</v>
      </c>
      <c r="Z50" s="23">
        <f>-(Données!I$51*1E-24*H50+Données!F$51)*Y50+Données!F$48*Q50</f>
        <v>-2.3041657076543134E-5</v>
      </c>
      <c r="AA50" s="15">
        <f t="shared" si="35"/>
        <v>23542.985901314842</v>
      </c>
      <c r="AC50" s="19"/>
    </row>
    <row r="51" spans="5:29" ht="15" thickBot="1">
      <c r="E51" s="20">
        <v>49</v>
      </c>
      <c r="F51" s="27">
        <f t="shared" si="24"/>
        <v>4.083333333333333</v>
      </c>
      <c r="G51" s="18">
        <f t="shared" si="25"/>
        <v>128772000</v>
      </c>
      <c r="H51" s="75">
        <f>IF(F51&lt;Données!C$26/365,Données!C$30,0)</f>
        <v>3125923379334265</v>
      </c>
      <c r="I51" s="40">
        <f t="shared" si="26"/>
        <v>9.0376210991481365</v>
      </c>
      <c r="J51" s="21">
        <f>-(Données!I$44*1E-24*H51+Données!F$44)*I51</f>
        <v>-5.1907245490443576E-8</v>
      </c>
      <c r="K51" s="42">
        <f t="shared" si="27"/>
        <v>3159.7496955150123</v>
      </c>
      <c r="L51" s="23">
        <f>-(Données!I$45*1E-24*H51+Données!F$45)*K51+(I51*Données!H$44*1E-24*H51)+(Données!H$51*1E-24*H51)*Y51</f>
        <v>-2.5475186269334906E-6</v>
      </c>
      <c r="M51" s="40">
        <f t="shared" si="28"/>
        <v>1331.1688776370479</v>
      </c>
      <c r="N51" s="21">
        <f>-(Données!I$46*1E-24*H51+Données!F$46)*M51+Données!H$45*1E-24*H51*K51</f>
        <v>9.2382596020897625E-7</v>
      </c>
      <c r="O51" s="42">
        <f t="shared" si="29"/>
        <v>189.25895227379283</v>
      </c>
      <c r="P51" s="23">
        <f>-(Données!I$47*1E-24*H51+Données!F$47)*O51+(Données!H$46*1E-24*H51)*M51</f>
        <v>-9.8978716706430671E-8</v>
      </c>
      <c r="Q51" s="40">
        <f t="shared" si="30"/>
        <v>97.992401476860721</v>
      </c>
      <c r="R51" s="43">
        <f>-(Données!I$48*1E-24*H51+Données!F$48)*Q51+Données!H$47*1E-24*H51*O51+(Données!I$49*1E-24*H51*S51)*0.85*0.16</f>
        <v>7.9910555399283424E-8</v>
      </c>
      <c r="S51" s="42">
        <f t="shared" si="31"/>
        <v>50.85632412785634</v>
      </c>
      <c r="T51" s="22">
        <f>-(Données!I$49*1E-24*H51+Données!F$49)*S51+Données!F$47*O51</f>
        <v>-2.9134225578680969E-8</v>
      </c>
      <c r="U51" s="28">
        <f t="shared" si="32"/>
        <v>4838.0638721297173</v>
      </c>
      <c r="V51" s="19"/>
      <c r="W51" s="40">
        <f t="shared" si="33"/>
        <v>53.608182633762794</v>
      </c>
      <c r="X51" s="21">
        <f>-(Données!I$50*1E-24*H51+Données!F$50)*W51+Données!F$45*K51</f>
        <v>-3.9177048237293905E-7</v>
      </c>
      <c r="Y51" s="42">
        <f t="shared" si="34"/>
        <v>23427.774375554982</v>
      </c>
      <c r="Z51" s="23">
        <f>-(Données!I$51*1E-24*H51+Données!F$51)*Y51+Données!F$48*Q51</f>
        <v>-2.2982255102526452E-5</v>
      </c>
      <c r="AA51" s="15">
        <f t="shared" si="35"/>
        <v>23481.382558188743</v>
      </c>
      <c r="AC51" s="19"/>
    </row>
    <row r="52" spans="5:29" ht="15" thickBot="1">
      <c r="E52" s="20">
        <v>50</v>
      </c>
      <c r="F52" s="27">
        <f t="shared" si="24"/>
        <v>4.166666666666667</v>
      </c>
      <c r="G52" s="18">
        <f t="shared" si="25"/>
        <v>131400000</v>
      </c>
      <c r="H52" s="75">
        <f>IF(F52&lt;Données!C$26/365,Données!C$30,0)</f>
        <v>3125923379334265</v>
      </c>
      <c r="I52" s="40">
        <f t="shared" si="26"/>
        <v>8.9012088579992508</v>
      </c>
      <c r="J52" s="21">
        <f>-(Données!I$44*1E-24*H52+Données!F$44)*I52</f>
        <v>-5.1123766783875074E-8</v>
      </c>
      <c r="K52" s="42">
        <f t="shared" si="27"/>
        <v>3153.0548165634309</v>
      </c>
      <c r="L52" s="23">
        <f>-(Données!I$45*1E-24*H52+Données!F$45)*K52+(I52*Données!H$44*1E-24*H52)+(Données!H$51*1E-24*H52)*Y52</f>
        <v>-2.5511906373141383E-6</v>
      </c>
      <c r="M52" s="40">
        <f t="shared" si="28"/>
        <v>1333.5966922604771</v>
      </c>
      <c r="N52" s="21">
        <f>-(Données!I$46*1E-24*H52+Données!F$46)*M52+Données!H$45*1E-24*H52*K52</f>
        <v>9.0759567332554639E-7</v>
      </c>
      <c r="O52" s="42">
        <f t="shared" si="29"/>
        <v>188.99883620628833</v>
      </c>
      <c r="P52" s="23">
        <f>-(Données!I$47*1E-24*H52+Données!F$47)*O52+(Données!H$46*1E-24*H52)*M52</f>
        <v>-9.2767092848218412E-8</v>
      </c>
      <c r="Q52" s="40">
        <f t="shared" si="30"/>
        <v>98.202406416450032</v>
      </c>
      <c r="R52" s="43">
        <f>-(Données!I$48*1E-24*H52+Données!F$48)*Q52+Données!H$47*1E-24*H52*O52+(Données!I$49*1E-24*H52*S52)*0.85*0.16</f>
        <v>7.8989148214138268E-8</v>
      </c>
      <c r="S52" s="42">
        <f t="shared" si="31"/>
        <v>50.779759383035568</v>
      </c>
      <c r="T52" s="22">
        <f>-(Données!I$49*1E-24*H52+Données!F$49)*S52+Données!F$47*O52</f>
        <v>-2.9052288308460706E-8</v>
      </c>
      <c r="U52" s="28">
        <f t="shared" si="32"/>
        <v>4833.5337196876808</v>
      </c>
      <c r="V52" s="19"/>
      <c r="W52" s="40">
        <f t="shared" si="33"/>
        <v>52.57860980608671</v>
      </c>
      <c r="X52" s="21">
        <f>-(Données!I$50*1E-24*H52+Données!F$50)*W52+Données!F$45*K52</f>
        <v>-3.8419710895549409E-7</v>
      </c>
      <c r="Y52" s="42">
        <f t="shared" si="34"/>
        <v>23367.377009145541</v>
      </c>
      <c r="Z52" s="23">
        <f>-(Données!I$51*1E-24*H52+Données!F$51)*Y52+Données!F$48*Q52</f>
        <v>-2.2923006268413787E-5</v>
      </c>
      <c r="AA52" s="15">
        <f t="shared" si="35"/>
        <v>23419.955618951626</v>
      </c>
      <c r="AC52" s="19"/>
    </row>
    <row r="53" spans="5:29" ht="15" thickBot="1">
      <c r="E53" s="20">
        <v>51</v>
      </c>
      <c r="F53" s="27">
        <f t="shared" si="24"/>
        <v>4.25</v>
      </c>
      <c r="G53" s="18">
        <f t="shared" si="25"/>
        <v>134028000</v>
      </c>
      <c r="H53" s="75">
        <f>IF(F53&lt;Données!C$26/365,Données!C$30,0)</f>
        <v>3125923379334265</v>
      </c>
      <c r="I53" s="40">
        <f t="shared" si="26"/>
        <v>8.7668555988912278</v>
      </c>
      <c r="J53" s="21">
        <f>-(Données!I$44*1E-24*H53+Données!F$44)*I53</f>
        <v>-5.0352113765182062E-8</v>
      </c>
      <c r="K53" s="42">
        <f t="shared" si="27"/>
        <v>3146.3502875685695</v>
      </c>
      <c r="L53" s="23">
        <f>-(Données!I$45*1E-24*H53+Données!F$45)*K53+(I53*Données!H$44*1E-24*H53)+(Données!H$51*1E-24*H53)*Y53</f>
        <v>-2.5546638964470265E-6</v>
      </c>
      <c r="M53" s="40">
        <f t="shared" si="28"/>
        <v>1335.9818536899766</v>
      </c>
      <c r="N53" s="21">
        <f>-(Données!I$46*1E-24*H53+Données!F$46)*M53+Données!H$45*1E-24*H53*K53</f>
        <v>8.9146750542620541E-7</v>
      </c>
      <c r="O53" s="42">
        <f t="shared" si="29"/>
        <v>188.75504428628321</v>
      </c>
      <c r="P53" s="23">
        <f>-(Données!I$47*1E-24*H53+Données!F$47)*O53+(Données!H$46*1E-24*H53)*M53</f>
        <v>-8.678872880862841E-8</v>
      </c>
      <c r="Q53" s="40">
        <f t="shared" si="30"/>
        <v>98.409989897956791</v>
      </c>
      <c r="R53" s="43">
        <f>-(Données!I$48*1E-24*H53+Données!F$48)*Q53+Données!H$47*1E-24*H53*O53+(Données!I$49*1E-24*H53*S53)*0.85*0.16</f>
        <v>7.8096522382096444E-8</v>
      </c>
      <c r="S53" s="42">
        <f t="shared" si="31"/>
        <v>50.703409969360933</v>
      </c>
      <c r="T53" s="22">
        <f>-(Données!I$49*1E-24*H53+Données!F$49)*S53+Données!F$47*O53</f>
        <v>-2.8946656991978917E-8</v>
      </c>
      <c r="U53" s="28">
        <f t="shared" si="32"/>
        <v>4828.9674410110383</v>
      </c>
      <c r="V53" s="19"/>
      <c r="W53" s="40">
        <f t="shared" si="33"/>
        <v>51.568939803751675</v>
      </c>
      <c r="X53" s="21">
        <f>-(Données!I$50*1E-24*H53+Données!F$50)*W53+Données!F$45*K53</f>
        <v>-3.7677026432612935E-7</v>
      </c>
      <c r="Y53" s="42">
        <f t="shared" si="34"/>
        <v>23307.135348672149</v>
      </c>
      <c r="Z53" s="23">
        <f>-(Données!I$51*1E-24*H53+Données!F$51)*Y53+Données!F$48*Q53</f>
        <v>-2.2863910179402094E-5</v>
      </c>
      <c r="AA53" s="15">
        <f t="shared" si="35"/>
        <v>23358.704288475899</v>
      </c>
      <c r="AC53" s="19"/>
    </row>
    <row r="54" spans="5:29" ht="15" thickBot="1">
      <c r="E54" s="20">
        <v>52</v>
      </c>
      <c r="F54" s="27">
        <f t="shared" si="24"/>
        <v>4.333333333333333</v>
      </c>
      <c r="G54" s="18">
        <f t="shared" si="25"/>
        <v>136656000</v>
      </c>
      <c r="H54" s="75">
        <f>IF(F54&lt;Données!C$26/365,Données!C$30,0)</f>
        <v>3125923379334265</v>
      </c>
      <c r="I54" s="40">
        <f t="shared" si="26"/>
        <v>8.6345302439163287</v>
      </c>
      <c r="J54" s="21">
        <f>-(Données!I$44*1E-24*H54+Données!F$44)*I54</f>
        <v>-4.9592107939540667E-8</v>
      </c>
      <c r="K54" s="42">
        <f t="shared" si="27"/>
        <v>3139.6366308487068</v>
      </c>
      <c r="L54" s="23">
        <f>-(Données!I$45*1E-24*H54+Données!F$45)*K54+(I54*Données!H$44*1E-24*H54)+(Données!H$51*1E-24*H54)*Y54</f>
        <v>-2.5579424067139348E-6</v>
      </c>
      <c r="M54" s="40">
        <f t="shared" si="28"/>
        <v>1338.3246302942366</v>
      </c>
      <c r="N54" s="21">
        <f>-(Données!I$46*1E-24*H54+Données!F$46)*M54+Données!H$45*1E-24*H54*K54</f>
        <v>8.7544147781097234E-7</v>
      </c>
      <c r="O54" s="42">
        <f t="shared" si="29"/>
        <v>188.52696350697414</v>
      </c>
      <c r="P54" s="23">
        <f>-(Données!I$47*1E-24*H54+Données!F$47)*O54+(Données!H$46*1E-24*H54)*M54</f>
        <v>-8.1036767975123614E-8</v>
      </c>
      <c r="Q54" s="40">
        <f t="shared" si="30"/>
        <v>98.615227558776937</v>
      </c>
      <c r="R54" s="43">
        <f>-(Données!I$48*1E-24*H54+Données!F$48)*Q54+Données!H$47*1E-24*H54*O54+(Données!I$49*1E-24*H54*S54)*0.85*0.16</f>
        <v>7.7231692489568719E-8</v>
      </c>
      <c r="S54" s="42">
        <f t="shared" si="31"/>
        <v>50.62733815478601</v>
      </c>
      <c r="T54" s="22">
        <f>-(Données!I$49*1E-24*H54+Données!F$49)*S54+Données!F$47*O54</f>
        <v>-2.8818663417074295E-8</v>
      </c>
      <c r="U54" s="28">
        <f t="shared" si="32"/>
        <v>4824.3653206073968</v>
      </c>
      <c r="V54" s="19"/>
      <c r="W54" s="40">
        <f t="shared" si="33"/>
        <v>50.578787549102607</v>
      </c>
      <c r="X54" s="21">
        <f>-(Données!I$50*1E-24*H54+Données!F$50)*W54+Données!F$45*K54</f>
        <v>-3.6948711315616621E-7</v>
      </c>
      <c r="Y54" s="42">
        <f t="shared" si="34"/>
        <v>23247.04899272068</v>
      </c>
      <c r="Z54" s="23">
        <f>-(Données!I$51*1E-24*H54+Données!F$51)*Y54+Données!F$48*Q54</f>
        <v>-2.2804966441706296E-5</v>
      </c>
      <c r="AA54" s="15">
        <f t="shared" si="35"/>
        <v>23297.627780269784</v>
      </c>
      <c r="AC54" s="19"/>
    </row>
    <row r="55" spans="5:29" ht="15" thickBot="1">
      <c r="E55" s="20">
        <v>53</v>
      </c>
      <c r="F55" s="27">
        <f t="shared" si="24"/>
        <v>4.416666666666667</v>
      </c>
      <c r="G55" s="18">
        <f t="shared" si="25"/>
        <v>139284000</v>
      </c>
      <c r="H55" s="75">
        <f>IF(F55&lt;Données!C$26/365,Données!C$30,0)</f>
        <v>3125923379334265</v>
      </c>
      <c r="I55" s="40">
        <f t="shared" si="26"/>
        <v>8.5042021842512163</v>
      </c>
      <c r="J55" s="21">
        <f>-(Données!I$44*1E-24*H55+Données!F$44)*I55</f>
        <v>-4.884357350629608E-8</v>
      </c>
      <c r="K55" s="42">
        <f t="shared" si="27"/>
        <v>3132.9143582038628</v>
      </c>
      <c r="L55" s="23">
        <f>-(Données!I$45*1E-24*H55+Données!F$45)*K55+(I55*Données!H$44*1E-24*H55)+(Données!H$51*1E-24*H55)*Y55</f>
        <v>-2.5610300959651095E-6</v>
      </c>
      <c r="M55" s="40">
        <f t="shared" si="28"/>
        <v>1340.6252904979237</v>
      </c>
      <c r="N55" s="21">
        <f>-(Données!I$46*1E-24*H55+Données!F$46)*M55+Données!H$45*1E-24*H55*K55</f>
        <v>8.5951759650153019E-7</v>
      </c>
      <c r="O55" s="42">
        <f t="shared" si="29"/>
        <v>188.31399888073551</v>
      </c>
      <c r="P55" s="23">
        <f>-(Données!I$47*1E-24*H55+Données!F$47)*O55+(Données!H$46*1E-24*H55)*M55</f>
        <v>-7.5504543945965995E-8</v>
      </c>
      <c r="Q55" s="40">
        <f t="shared" si="30"/>
        <v>98.818192446639529</v>
      </c>
      <c r="R55" s="43">
        <f>-(Données!I$48*1E-24*H55+Données!F$48)*Q55+Données!H$47*1E-24*H55*O55+(Données!I$49*1E-24*H55*S55)*0.85*0.16</f>
        <v>7.6393701530394313E-8</v>
      </c>
      <c r="S55" s="42">
        <f t="shared" si="31"/>
        <v>50.551602707325941</v>
      </c>
      <c r="T55" s="22">
        <f>-(Données!I$49*1E-24*H55+Données!F$49)*S55+Données!F$47*O55</f>
        <v>-2.8669589734223454E-8</v>
      </c>
      <c r="U55" s="28">
        <f t="shared" si="32"/>
        <v>4819.7276449207393</v>
      </c>
      <c r="V55" s="19"/>
      <c r="W55" s="40">
        <f t="shared" si="33"/>
        <v>49.607775415728199</v>
      </c>
      <c r="X55" s="21">
        <f>-(Données!I$50*1E-24*H55+Données!F$50)*W55+Données!F$45*K55</f>
        <v>-3.6234487498084584E-7</v>
      </c>
      <c r="Y55" s="42">
        <f t="shared" si="34"/>
        <v>23187.117540911877</v>
      </c>
      <c r="Z55" s="23">
        <f>-(Données!I$51*1E-24*H55+Données!F$51)*Y55+Données!F$48*Q55</f>
        <v>-2.2746174662556654E-5</v>
      </c>
      <c r="AA55" s="15">
        <f t="shared" si="35"/>
        <v>23236.725316327604</v>
      </c>
      <c r="AC55" s="19"/>
    </row>
    <row r="56" spans="5:29" ht="15" thickBot="1">
      <c r="E56" s="20">
        <v>54</v>
      </c>
      <c r="F56" s="27">
        <f t="shared" si="24"/>
        <v>4.5</v>
      </c>
      <c r="G56" s="18">
        <f t="shared" si="25"/>
        <v>141912000</v>
      </c>
      <c r="H56" s="75">
        <f>IF(F56&lt;Données!C$26/365,Données!C$30,0)</f>
        <v>3125923379334265</v>
      </c>
      <c r="I56" s="40">
        <f t="shared" si="26"/>
        <v>8.37584127307667</v>
      </c>
      <c r="J56" s="21">
        <f>-(Données!I$44*1E-24*H56+Données!F$44)*I56</f>
        <v>-4.81063373182972E-8</v>
      </c>
      <c r="K56" s="42">
        <f t="shared" si="27"/>
        <v>3126.1839711116663</v>
      </c>
      <c r="L56" s="23">
        <f>-(Données!I$45*1E-24*H56+Données!F$45)*K56+(I56*Données!H$44*1E-24*H56)+(Données!H$51*1E-24*H56)*Y56</f>
        <v>-2.5639308188908566E-6</v>
      </c>
      <c r="M56" s="40">
        <f t="shared" si="28"/>
        <v>1342.8841027415297</v>
      </c>
      <c r="N56" s="21">
        <f>-(Données!I$46*1E-24*H56+Données!F$46)*M56+Données!H$45*1E-24*H56*K56</f>
        <v>8.436958526320876E-7</v>
      </c>
      <c r="O56" s="42">
        <f t="shared" si="29"/>
        <v>188.11557293924551</v>
      </c>
      <c r="P56" s="23">
        <f>-(Données!I$47*1E-24*H56+Données!F$47)*O56+(Données!H$46*1E-24*H56)*M56</f>
        <v>-7.0185575308615671E-8</v>
      </c>
      <c r="Q56" s="40">
        <f t="shared" si="30"/>
        <v>99.018955094261401</v>
      </c>
      <c r="R56" s="43">
        <f>-(Données!I$48*1E-24*H56+Données!F$48)*Q56+Données!H$47*1E-24*H56*O56+(Données!I$49*1E-24*H56*S56)*0.85*0.16</f>
        <v>7.5581620139474251E-8</v>
      </c>
      <c r="S56" s="42">
        <f t="shared" si="31"/>
        <v>50.476259025504405</v>
      </c>
      <c r="T56" s="22">
        <f>-(Données!I$49*1E-24*H56+Données!F$49)*S56+Données!F$47*O56</f>
        <v>-2.8500670043103673E-8</v>
      </c>
      <c r="U56" s="28">
        <f t="shared" si="32"/>
        <v>4815.0547021852835</v>
      </c>
      <c r="V56" s="19"/>
      <c r="W56" s="40">
        <f t="shared" si="33"/>
        <v>48.655533084278538</v>
      </c>
      <c r="X56" s="21">
        <f>-(Données!I$50*1E-24*H56+Données!F$50)*W56+Données!F$45*K56</f>
        <v>-3.5534082313771334E-7</v>
      </c>
      <c r="Y56" s="42">
        <f t="shared" si="34"/>
        <v>23127.340593898676</v>
      </c>
      <c r="Z56" s="23">
        <f>-(Données!I$51*1E-24*H56+Données!F$51)*Y56+Données!F$48*Q56</f>
        <v>-2.268753445019614E-5</v>
      </c>
      <c r="AA56" s="15">
        <f t="shared" si="35"/>
        <v>23175.996126982955</v>
      </c>
      <c r="AC56" s="19"/>
    </row>
    <row r="57" spans="5:29" ht="15" thickBot="1">
      <c r="E57" s="20">
        <v>55</v>
      </c>
      <c r="F57" s="27">
        <f t="shared" si="24"/>
        <v>4.583333333333333</v>
      </c>
      <c r="G57" s="18">
        <f t="shared" si="25"/>
        <v>144540000</v>
      </c>
      <c r="H57" s="75">
        <f>IF(F57&lt;Données!C$26/365,Données!C$30,0)</f>
        <v>3125923379334265</v>
      </c>
      <c r="I57" s="40">
        <f t="shared" si="26"/>
        <v>8.2494178186041847</v>
      </c>
      <c r="J57" s="21">
        <f>-(Données!I$44*1E-24*H57+Données!F$44)*I57</f>
        <v>-4.7380228841845166E-8</v>
      </c>
      <c r="K57" s="42">
        <f t="shared" si="27"/>
        <v>3119.445960919621</v>
      </c>
      <c r="L57" s="23">
        <f>-(Données!I$45*1E-24*H57+Données!F$45)*K57+(I57*Données!H$44*1E-24*H57)+(Données!H$51*1E-24*H57)*Y57</f>
        <v>-2.5666483583680134E-6</v>
      </c>
      <c r="M57" s="40">
        <f t="shared" si="28"/>
        <v>1345.1013354422469</v>
      </c>
      <c r="N57" s="21">
        <f>-(Données!I$46*1E-24*H57+Données!F$46)*M57+Données!H$45*1E-24*H57*K57</f>
        <v>8.2797622283227624E-7</v>
      </c>
      <c r="O57" s="42">
        <f t="shared" si="29"/>
        <v>187.93112524733448</v>
      </c>
      <c r="P57" s="23">
        <f>-(Données!I$47*1E-24*H57+Données!F$47)*O57+(Données!H$46*1E-24*H57)*M57</f>
        <v>-6.5073560561588174E-8</v>
      </c>
      <c r="Q57" s="40">
        <f t="shared" si="30"/>
        <v>99.217583591987932</v>
      </c>
      <c r="R57" s="43">
        <f>-(Données!I$48*1E-24*H57+Données!F$48)*Q57+Données!H$47*1E-24*H57*O57+(Données!I$49*1E-24*H57*S57)*0.85*0.16</f>
        <v>7.4794545846860648E-8</v>
      </c>
      <c r="S57" s="42">
        <f t="shared" si="31"/>
        <v>50.401359264631125</v>
      </c>
      <c r="T57" s="22">
        <f>-(Données!I$49*1E-24*H57+Données!F$49)*S57+Données!F$47*O57</f>
        <v>-2.8313091931903699E-8</v>
      </c>
      <c r="U57" s="28">
        <f t="shared" si="32"/>
        <v>4810.3467822844259</v>
      </c>
      <c r="V57" s="19"/>
      <c r="W57" s="40">
        <f t="shared" si="33"/>
        <v>47.721697401072625</v>
      </c>
      <c r="X57" s="21">
        <f>-(Données!I$50*1E-24*H57+Données!F$50)*W57+Données!F$45*K57</f>
        <v>-3.4847228372554372E-7</v>
      </c>
      <c r="Y57" s="42">
        <f t="shared" si="34"/>
        <v>23067.717753363562</v>
      </c>
      <c r="Z57" s="23">
        <f>-(Données!I$51*1E-24*H57+Données!F$51)*Y57+Données!F$48*Q57</f>
        <v>-2.2629045413877838E-5</v>
      </c>
      <c r="AA57" s="15">
        <f t="shared" si="35"/>
        <v>23115.439450764636</v>
      </c>
      <c r="AC57" s="19"/>
    </row>
    <row r="58" spans="5:29" ht="15" thickBot="1">
      <c r="E58" s="20">
        <v>56</v>
      </c>
      <c r="F58" s="27">
        <f t="shared" si="24"/>
        <v>4.666666666666667</v>
      </c>
      <c r="G58" s="18">
        <f t="shared" si="25"/>
        <v>147168000</v>
      </c>
      <c r="H58" s="75">
        <f>IF(F58&lt;Données!C$26/365,Données!C$30,0)</f>
        <v>3125923379334265</v>
      </c>
      <c r="I58" s="40">
        <f t="shared" si="26"/>
        <v>8.1249025772078163</v>
      </c>
      <c r="J58" s="21">
        <f>-(Données!I$44*1E-24*H58+Données!F$44)*I58</f>
        <v>-4.6665080117246347E-8</v>
      </c>
      <c r="K58" s="42">
        <f t="shared" si="27"/>
        <v>3112.70080903383</v>
      </c>
      <c r="L58" s="23">
        <f>-(Données!I$45*1E-24*H58+Données!F$45)*K58+(I58*Données!H$44*1E-24*H58)+(Données!H$51*1E-24*H58)*Y58</f>
        <v>-2.5691864267816678E-6</v>
      </c>
      <c r="M58" s="40">
        <f t="shared" si="28"/>
        <v>1347.2772569558501</v>
      </c>
      <c r="N58" s="21">
        <f>-(Données!I$46*1E-24*H58+Données!F$46)*M58+Données!H$45*1E-24*H58*K58</f>
        <v>8.123586696022158E-7</v>
      </c>
      <c r="O58" s="42">
        <f t="shared" si="29"/>
        <v>187.76011193017862</v>
      </c>
      <c r="P58" s="23">
        <f>-(Données!I$47*1E-24*H58+Données!F$47)*O58+(Données!H$46*1E-24*H58)*M58</f>
        <v>-6.0162373175798362E-8</v>
      </c>
      <c r="Q58" s="40">
        <f t="shared" si="30"/>
        <v>99.414143658473478</v>
      </c>
      <c r="R58" s="43">
        <f>-(Données!I$48*1E-24*H58+Données!F$48)*Q58+Données!H$47*1E-24*H58*O58+(Données!I$49*1E-24*H58*S58)*0.85*0.16</f>
        <v>7.4031602351752927E-8</v>
      </c>
      <c r="S58" s="42">
        <f t="shared" si="31"/>
        <v>50.326952459034082</v>
      </c>
      <c r="T58" s="22">
        <f>-(Données!I$49*1E-24*H58+Données!F$49)*S58+Données!F$47*O58</f>
        <v>-2.8107997970743001E-8</v>
      </c>
      <c r="U58" s="28">
        <f t="shared" si="32"/>
        <v>4805.6041766145736</v>
      </c>
      <c r="V58" s="19"/>
      <c r="W58" s="40">
        <f t="shared" si="33"/>
        <v>46.805912239441895</v>
      </c>
      <c r="X58" s="21">
        <f>-(Données!I$50*1E-24*H58+Données!F$50)*W58+Données!F$45*K58</f>
        <v>-3.4173663458341322E-7</v>
      </c>
      <c r="Y58" s="42">
        <f t="shared" si="34"/>
        <v>23008.24862201589</v>
      </c>
      <c r="Z58" s="23">
        <f>-(Données!I$51*1E-24*H58+Données!F$51)*Y58+Données!F$48*Q58</f>
        <v>-2.2570707163862321E-5</v>
      </c>
      <c r="AA58" s="15">
        <f t="shared" si="35"/>
        <v>23055.054534255331</v>
      </c>
      <c r="AC58" s="19"/>
    </row>
    <row r="59" spans="5:29" ht="15" thickBot="1">
      <c r="E59" s="20">
        <v>57</v>
      </c>
      <c r="F59" s="27">
        <f t="shared" si="24"/>
        <v>4.75</v>
      </c>
      <c r="G59" s="18">
        <f t="shared" si="25"/>
        <v>149796000</v>
      </c>
      <c r="H59" s="75">
        <f>IF(F59&lt;Données!C$26/365,Données!C$30,0)</f>
        <v>3125923379334265</v>
      </c>
      <c r="I59" s="40">
        <f t="shared" si="26"/>
        <v>8.0022667466596928</v>
      </c>
      <c r="J59" s="21">
        <f>-(Données!I$44*1E-24*H59+Données!F$44)*I59</f>
        <v>-4.5960725719960772E-8</v>
      </c>
      <c r="K59" s="42">
        <f t="shared" si="27"/>
        <v>3105.9489871042479</v>
      </c>
      <c r="L59" s="23">
        <f>-(Données!I$45*1E-24*H59+Données!F$45)*K59+(I59*Données!H$44*1E-24*H59)+(Données!H$51*1E-24*H59)*Y59</f>
        <v>-2.5715486673226208E-6</v>
      </c>
      <c r="M59" s="40">
        <f t="shared" si="28"/>
        <v>1349.4121355395648</v>
      </c>
      <c r="N59" s="21">
        <f>-(Données!I$46*1E-24*H59+Données!F$46)*M59+Données!H$45*1E-24*H59*K59</f>
        <v>7.9684314167990175E-7</v>
      </c>
      <c r="O59" s="42">
        <f t="shared" si="29"/>
        <v>187.60200521347264</v>
      </c>
      <c r="P59" s="23">
        <f>-(Données!I$47*1E-24*H59+Données!F$47)*O59+(Données!H$46*1E-24*H59)*M59</f>
        <v>-5.5446056791569783E-8</v>
      </c>
      <c r="Q59" s="40">
        <f t="shared" si="30"/>
        <v>99.60869870945389</v>
      </c>
      <c r="R59" s="43">
        <f>-(Données!I$48*1E-24*H59+Données!F$48)*Q59+Données!H$47*1E-24*H59*O59+(Données!I$49*1E-24*H59*S59)*0.85*0.16</f>
        <v>7.3291938815864695E-8</v>
      </c>
      <c r="S59" s="42">
        <f t="shared" si="31"/>
        <v>50.253084640366971</v>
      </c>
      <c r="T59" s="22">
        <f>-(Données!I$49*1E-24*H59+Données!F$49)*S59+Données!F$47*O59</f>
        <v>-2.7886487160517331E-8</v>
      </c>
      <c r="U59" s="28">
        <f t="shared" si="32"/>
        <v>4800.8271779537663</v>
      </c>
      <c r="V59" s="19"/>
      <c r="W59" s="40">
        <f t="shared" si="33"/>
        <v>45.907828363756686</v>
      </c>
      <c r="X59" s="21">
        <f>-(Données!I$50*1E-24*H59+Données!F$50)*W59+Données!F$45*K59</f>
        <v>-3.3513130428952452E-7</v>
      </c>
      <c r="Y59" s="42">
        <f t="shared" si="34"/>
        <v>22948.932803589261</v>
      </c>
      <c r="Z59" s="23">
        <f>-(Données!I$51*1E-24*H59+Données!F$51)*Y59+Données!F$48*Q59</f>
        <v>-2.2512519311415055E-5</v>
      </c>
      <c r="AA59" s="15">
        <f t="shared" si="35"/>
        <v>22994.840631953019</v>
      </c>
      <c r="AC59" s="19"/>
    </row>
    <row r="60" spans="5:29" ht="15" thickBot="1">
      <c r="E60" s="20">
        <v>58</v>
      </c>
      <c r="F60" s="27">
        <f t="shared" si="24"/>
        <v>4.833333333333333</v>
      </c>
      <c r="G60" s="18">
        <f t="shared" si="25"/>
        <v>152424000</v>
      </c>
      <c r="H60" s="75">
        <f>IF(F60&lt;Données!C$26/365,Données!C$30,0)</f>
        <v>3125923379334265</v>
      </c>
      <c r="I60" s="40">
        <f t="shared" si="26"/>
        <v>7.881481959467636</v>
      </c>
      <c r="J60" s="21">
        <f>-(Données!I$44*1E-24*H60+Données!F$44)*I60</f>
        <v>-4.5267002722336984E-8</v>
      </c>
      <c r="K60" s="42">
        <f t="shared" si="27"/>
        <v>3099.1909572065242</v>
      </c>
      <c r="L60" s="23">
        <f>-(Données!I$45*1E-24*H60+Données!F$45)*K60+(I60*Données!H$44*1E-24*H60)+(Données!H$51*1E-24*H60)*Y60</f>
        <v>-2.5737386552610858E-6</v>
      </c>
      <c r="M60" s="40">
        <f t="shared" si="28"/>
        <v>1351.5062393158996</v>
      </c>
      <c r="N60" s="21">
        <f>-(Données!I$46*1E-24*H60+Données!F$46)*M60+Données!H$45*1E-24*H60*K60</f>
        <v>7.8142957440106731E-7</v>
      </c>
      <c r="O60" s="42">
        <f t="shared" si="29"/>
        <v>187.4562929762244</v>
      </c>
      <c r="P60" s="23">
        <f>-(Données!I$47*1E-24*H60+Données!F$47)*O60+(Données!H$46*1E-24*H60)*M60</f>
        <v>-5.0918820547553321E-8</v>
      </c>
      <c r="Q60" s="40">
        <f t="shared" si="30"/>
        <v>99.801309924661979</v>
      </c>
      <c r="R60" s="43">
        <f>-(Données!I$48*1E-24*H60+Données!F$48)*Q60+Données!H$47*1E-24*H60*O60+(Données!I$49*1E-24*H60*S60)*0.85*0.16</f>
        <v>7.2574729175641674E-8</v>
      </c>
      <c r="S60" s="42">
        <f t="shared" si="31"/>
        <v>50.179798952109131</v>
      </c>
      <c r="T60" s="22">
        <f>-(Données!I$49*1E-24*H60+Données!F$49)*S60+Données!F$47*O60</f>
        <v>-2.7649616338455727E-8</v>
      </c>
      <c r="U60" s="28">
        <f t="shared" si="32"/>
        <v>4796.0160803348872</v>
      </c>
      <c r="V60" s="19"/>
      <c r="W60" s="40">
        <f t="shared" si="33"/>
        <v>45.027103296083816</v>
      </c>
      <c r="X60" s="21">
        <f>-(Données!I$50*1E-24*H60+Données!F$50)*W60+Données!F$45*K60</f>
        <v>-3.2865377117940496E-7</v>
      </c>
      <c r="Y60" s="42">
        <f t="shared" si="34"/>
        <v>22889.769902838863</v>
      </c>
      <c r="Z60" s="23">
        <f>-(Données!I$51*1E-24*H60+Données!F$51)*Y60+Données!F$48*Q60</f>
        <v>-2.2454481468803803E-5</v>
      </c>
      <c r="AA60" s="15">
        <f t="shared" si="35"/>
        <v>22934.797006134948</v>
      </c>
      <c r="AC60" s="19"/>
    </row>
    <row r="61" spans="5:29" ht="15" thickBot="1">
      <c r="E61" s="20">
        <v>59</v>
      </c>
      <c r="F61" s="27">
        <f t="shared" si="24"/>
        <v>4.916666666666667</v>
      </c>
      <c r="G61" s="18">
        <f t="shared" si="25"/>
        <v>155052000</v>
      </c>
      <c r="H61" s="75">
        <f>IF(F61&lt;Données!C$26/365,Données!C$30,0)</f>
        <v>3125923379334265</v>
      </c>
      <c r="I61" s="40">
        <f t="shared" si="26"/>
        <v>7.7625202763133343</v>
      </c>
      <c r="J61" s="21">
        <f>-(Données!I$44*1E-24*H61+Données!F$44)*I61</f>
        <v>-4.4583750655924425E-8</v>
      </c>
      <c r="K61" s="42">
        <f t="shared" si="27"/>
        <v>3092.4271720204979</v>
      </c>
      <c r="L61" s="23">
        <f>-(Données!I$45*1E-24*H61+Données!F$45)*K61+(I61*Données!H$44*1E-24*H61)+(Données!H$51*1E-24*H61)*Y61</f>
        <v>-2.5757598991969439E-6</v>
      </c>
      <c r="M61" s="40">
        <f t="shared" si="28"/>
        <v>1353.5598362374255</v>
      </c>
      <c r="N61" s="21">
        <f>-(Données!I$46*1E-24*H61+Données!F$46)*M61+Données!H$45*1E-24*H61*K61</f>
        <v>7.6611789005165763E-7</v>
      </c>
      <c r="O61" s="42">
        <f t="shared" si="29"/>
        <v>187.32247831582544</v>
      </c>
      <c r="P61" s="23">
        <f>-(Données!I$47*1E-24*H61+Données!F$47)*O61+(Données!H$46*1E-24*H61)*M61</f>
        <v>-4.6575034537941277E-8</v>
      </c>
      <c r="Q61" s="40">
        <f t="shared" si="30"/>
        <v>99.992036312935568</v>
      </c>
      <c r="R61" s="43">
        <f>-(Données!I$48*1E-24*H61+Données!F$48)*Q61+Données!H$47*1E-24*H61*O61+(Données!I$49*1E-24*H61*S61)*0.85*0.16</f>
        <v>7.1879171472822741E-8</v>
      </c>
      <c r="S61" s="42">
        <f t="shared" si="31"/>
        <v>50.107135760371669</v>
      </c>
      <c r="T61" s="22">
        <f>-(Données!I$49*1E-24*H61+Données!F$49)*S61+Données!F$47*O61</f>
        <v>-2.739840154163497E-8</v>
      </c>
      <c r="U61" s="28">
        <f t="shared" si="32"/>
        <v>4791.1711789233696</v>
      </c>
      <c r="V61" s="19"/>
      <c r="W61" s="40">
        <f t="shared" si="33"/>
        <v>44.163401185424341</v>
      </c>
      <c r="X61" s="21">
        <f>-(Données!I$50*1E-24*H61+Données!F$50)*W61+Données!F$45*K61</f>
        <v>-3.223015623831027E-7</v>
      </c>
      <c r="Y61" s="42">
        <f t="shared" si="34"/>
        <v>22830.759525538848</v>
      </c>
      <c r="Z61" s="23">
        <f>-(Données!I$51*1E-24*H61+Données!F$51)*Y61+Données!F$48*Q61</f>
        <v>-2.2396593249296046E-5</v>
      </c>
      <c r="AA61" s="15">
        <f t="shared" si="35"/>
        <v>22874.922926724274</v>
      </c>
      <c r="AC61" s="19"/>
    </row>
    <row r="62" spans="5:29" ht="15" thickBot="1">
      <c r="E62" s="20">
        <v>60</v>
      </c>
      <c r="F62" s="27">
        <f t="shared" si="24"/>
        <v>5</v>
      </c>
      <c r="G62" s="18">
        <f t="shared" si="25"/>
        <v>157680000</v>
      </c>
      <c r="H62" s="75">
        <f>IF(F62&lt;Données!C$26/365,Données!C$30,0)</f>
        <v>3125923379334265</v>
      </c>
      <c r="I62" s="40">
        <f t="shared" si="26"/>
        <v>7.6453541795895648</v>
      </c>
      <c r="J62" s="21">
        <f>-(Données!I$44*1E-24*H62+Données!F$44)*I62</f>
        <v>-4.3910811474354727E-8</v>
      </c>
      <c r="K62" s="42">
        <f t="shared" si="27"/>
        <v>3085.6580750054081</v>
      </c>
      <c r="L62" s="23">
        <f>-(Données!I$45*1E-24*H62+Données!F$45)*K62+(I62*Données!H$44*1E-24*H62)+(Données!H$51*1E-24*H62)*Y62</f>
        <v>-2.5776158422870978E-6</v>
      </c>
      <c r="M62" s="40">
        <f t="shared" si="28"/>
        <v>1355.5731940524813</v>
      </c>
      <c r="N62" s="21">
        <f>-(Données!I$46*1E-24*H62+Données!F$46)*M62+Données!H$45*1E-24*H62*K62</f>
        <v>7.509079982130672E-7</v>
      </c>
      <c r="O62" s="42">
        <f t="shared" si="29"/>
        <v>187.20007912505972</v>
      </c>
      <c r="P62" s="23">
        <f>-(Données!I$47*1E-24*H62+Données!F$47)*O62+(Données!H$46*1E-24*H62)*M62</f>
        <v>-4.2409225394426095E-8</v>
      </c>
      <c r="Q62" s="40">
        <f t="shared" si="30"/>
        <v>100.18093477556614</v>
      </c>
      <c r="R62" s="43">
        <f>-(Données!I$48*1E-24*H62+Données!F$48)*Q62+Données!H$47*1E-24*H62*O62+(Données!I$49*1E-24*H62*S62)*0.85*0.16</f>
        <v>7.1204487202853035E-8</v>
      </c>
      <c r="S62" s="42">
        <f t="shared" si="31"/>
        <v>50.035132761120252</v>
      </c>
      <c r="T62" s="22">
        <f>-(Données!I$49*1E-24*H62+Données!F$49)*S62+Données!F$47*O62</f>
        <v>-2.7133819329661824E-8</v>
      </c>
      <c r="U62" s="28">
        <f t="shared" si="32"/>
        <v>4786.2927698992253</v>
      </c>
      <c r="V62" s="19"/>
      <c r="W62" s="40">
        <f t="shared" si="33"/>
        <v>43.316392679481545</v>
      </c>
      <c r="X62" s="21">
        <f>-(Données!I$50*1E-24*H62+Données!F$50)*W62+Données!F$45*K62</f>
        <v>-3.1607225288101222E-7</v>
      </c>
      <c r="Y62" s="42">
        <f t="shared" si="34"/>
        <v>22771.901278479698</v>
      </c>
      <c r="Z62" s="23">
        <f>-(Données!I$51*1E-24*H62+Données!F$51)*Y62+Données!F$48*Q62</f>
        <v>-2.2338854267156385E-5</v>
      </c>
      <c r="AA62" s="15">
        <f t="shared" si="35"/>
        <v>22815.217671159178</v>
      </c>
      <c r="AC62" s="19"/>
    </row>
    <row r="63" spans="5:29" ht="15" thickBot="1">
      <c r="E63" s="20">
        <v>61</v>
      </c>
      <c r="F63" s="27">
        <f t="shared" si="24"/>
        <v>5.083333333333333</v>
      </c>
      <c r="G63" s="18">
        <f t="shared" si="25"/>
        <v>160308000</v>
      </c>
      <c r="H63" s="75">
        <f>IF(F63&lt;Données!C$26/365,Données!C$30,0)</f>
        <v>3125923379334265</v>
      </c>
      <c r="I63" s="40">
        <f t="shared" si="26"/>
        <v>7.5299565670349606</v>
      </c>
      <c r="J63" s="21">
        <f>-(Données!I$44*1E-24*H63+Données!F$44)*I63</f>
        <v>-4.3248029516783222E-8</v>
      </c>
      <c r="K63" s="42">
        <f t="shared" si="27"/>
        <v>3078.8841005718778</v>
      </c>
      <c r="L63" s="23">
        <f>-(Données!I$45*1E-24*H63+Données!F$45)*K63+(I63*Données!H$44*1E-24*H63)+(Données!H$51*1E-24*H63)*Y63</f>
        <v>-2.5793098634502911E-6</v>
      </c>
      <c r="M63" s="40">
        <f t="shared" si="28"/>
        <v>1357.5465802717852</v>
      </c>
      <c r="N63" s="21">
        <f>-(Données!I$46*1E-24*H63+Données!F$46)*M63+Données!H$45*1E-24*H63*K63</f>
        <v>7.3579979610025896E-7</v>
      </c>
      <c r="O63" s="42">
        <f t="shared" si="29"/>
        <v>187.08862768072316</v>
      </c>
      <c r="P63" s="23">
        <f>-(Données!I$47*1E-24*H63+Données!F$47)*O63+(Données!H$46*1E-24*H63)*M63</f>
        <v>-3.841607198948725E-8</v>
      </c>
      <c r="Q63" s="40">
        <f t="shared" si="30"/>
        <v>100.36806016793524</v>
      </c>
      <c r="R63" s="43">
        <f>-(Données!I$48*1E-24*H63+Données!F$48)*Q63+Données!H$47*1E-24*H63*O63+(Données!I$49*1E-24*H63*S63)*0.85*0.16</f>
        <v>7.0549920680668219E-8</v>
      </c>
      <c r="S63" s="42">
        <f t="shared" si="31"/>
        <v>49.963825083921904</v>
      </c>
      <c r="T63" s="22">
        <f>-(Données!I$49*1E-24*H63+Données!F$49)*S63+Données!F$47*O63</f>
        <v>-2.685680806770221E-8</v>
      </c>
      <c r="U63" s="28">
        <f t="shared" si="32"/>
        <v>4781.381150343278</v>
      </c>
      <c r="V63" s="19"/>
      <c r="W63" s="40">
        <f t="shared" si="33"/>
        <v>42.485754798910243</v>
      </c>
      <c r="X63" s="21">
        <f>-(Données!I$50*1E-24*H63+Données!F$50)*W63+Données!F$45*K63</f>
        <v>-3.0996346457797052E-7</v>
      </c>
      <c r="Y63" s="42">
        <f t="shared" si="34"/>
        <v>22713.194769465612</v>
      </c>
      <c r="Z63" s="23">
        <f>-(Données!I$51*1E-24*H63+Données!F$51)*Y63+Données!F$48*Q63</f>
        <v>-2.2281264137643983E-5</v>
      </c>
      <c r="AA63" s="15">
        <f t="shared" si="35"/>
        <v>22755.68052426452</v>
      </c>
      <c r="AC63" s="19"/>
    </row>
    <row r="64" spans="5:29" ht="15" thickBot="1">
      <c r="E64" s="20">
        <v>62</v>
      </c>
      <c r="F64" s="27">
        <f t="shared" si="24"/>
        <v>5.166666666666667</v>
      </c>
      <c r="G64" s="18">
        <f t="shared" si="25"/>
        <v>162936000</v>
      </c>
      <c r="H64" s="75">
        <f>IF(F64&lt;Données!C$26/365,Données!C$30,0)</f>
        <v>3125923379334265</v>
      </c>
      <c r="I64" s="40">
        <f t="shared" si="26"/>
        <v>7.416300745464854</v>
      </c>
      <c r="J64" s="21">
        <f>-(Données!I$44*1E-24*H64+Données!F$44)*I64</f>
        <v>-4.2595251471882263E-8</v>
      </c>
      <c r="K64" s="42">
        <f t="shared" si="27"/>
        <v>3072.1056742507303</v>
      </c>
      <c r="L64" s="23">
        <f>-(Données!I$45*1E-24*H64+Données!F$45)*K64+(I64*Données!H$44*1E-24*H64)+(Données!H$51*1E-24*H64)*Y64</f>
        <v>-2.5808452785498142E-6</v>
      </c>
      <c r="M64" s="40">
        <f t="shared" si="28"/>
        <v>1359.4802621359365</v>
      </c>
      <c r="N64" s="21">
        <f>-(Données!I$46*1E-24*H64+Données!F$46)*M64+Données!H$45*1E-24*H64*K64</f>
        <v>7.2079316889292068E-7</v>
      </c>
      <c r="O64" s="42">
        <f t="shared" si="29"/>
        <v>186.98767024353478</v>
      </c>
      <c r="P64" s="23">
        <f>-(Données!I$47*1E-24*H64+Données!F$47)*O64+(Données!H$46*1E-24*H64)*M64</f>
        <v>-3.4590401257645684E-8</v>
      </c>
      <c r="Q64" s="40">
        <f t="shared" si="30"/>
        <v>100.55346535948404</v>
      </c>
      <c r="R64" s="43">
        <f>-(Données!I$48*1E-24*H64+Données!F$48)*Q64+Données!H$47*1E-24*H64*O64+(Données!I$49*1E-24*H64*S64)*0.85*0.16</f>
        <v>6.9914738423384102E-8</v>
      </c>
      <c r="S64" s="42">
        <f t="shared" si="31"/>
        <v>49.893245392319983</v>
      </c>
      <c r="T64" s="22">
        <f>-(Données!I$49*1E-24*H64+Données!F$49)*S64+Données!F$47*O64</f>
        <v>-2.6568269170999832E-8</v>
      </c>
      <c r="U64" s="28">
        <f t="shared" si="32"/>
        <v>4776.4366181274709</v>
      </c>
      <c r="V64" s="19"/>
      <c r="W64" s="40">
        <f t="shared" si="33"/>
        <v>41.671170813999339</v>
      </c>
      <c r="X64" s="21">
        <f>-(Données!I$50*1E-24*H64+Données!F$50)*W64+Données!F$45*K64</f>
        <v>-3.0397286539526835E-7</v>
      </c>
      <c r="Y64" s="42">
        <f t="shared" si="34"/>
        <v>22654.639607311885</v>
      </c>
      <c r="Z64" s="23">
        <f>-(Données!I$51*1E-24*H64+Données!F$51)*Y64+Données!F$48*Q64</f>
        <v>-2.2223822477009988E-5</v>
      </c>
      <c r="AA64" s="15">
        <f t="shared" si="35"/>
        <v>22696.310778125884</v>
      </c>
      <c r="AC64" s="19"/>
    </row>
    <row r="65" spans="1:29" ht="15" thickBot="1">
      <c r="E65" s="20">
        <v>63</v>
      </c>
      <c r="F65" s="27">
        <f t="shared" si="24"/>
        <v>5.25</v>
      </c>
      <c r="G65" s="18">
        <f t="shared" si="25"/>
        <v>165564000</v>
      </c>
      <c r="H65" s="75">
        <f>IF(F65&lt;Données!C$26/365,Données!C$30,0)</f>
        <v>3125923379334265</v>
      </c>
      <c r="I65" s="40">
        <f t="shared" si="26"/>
        <v>7.3043604245967471</v>
      </c>
      <c r="J65" s="21">
        <f>-(Données!I$44*1E-24*H65+Données!F$44)*I65</f>
        <v>-4.1952326342378051E-8</v>
      </c>
      <c r="K65" s="42">
        <f t="shared" si="27"/>
        <v>3065.3232128587015</v>
      </c>
      <c r="L65" s="23">
        <f>-(Données!I$45*1E-24*H65+Données!F$45)*K65+(I65*Données!H$44*1E-24*H65)+(Données!H$51*1E-24*H65)*Y65</f>
        <v>-2.5822253415544677E-6</v>
      </c>
      <c r="M65" s="40">
        <f t="shared" si="28"/>
        <v>1361.374506583787</v>
      </c>
      <c r="N65" s="21">
        <f>-(Données!I$46*1E-24*H65+Données!F$46)*M65+Données!H$45*1E-24*H65*K65</f>
        <v>7.0588799005978755E-7</v>
      </c>
      <c r="O65" s="42">
        <f t="shared" si="29"/>
        <v>186.89676666902969</v>
      </c>
      <c r="P65" s="23">
        <f>-(Données!I$47*1E-24*H65+Données!F$47)*O65+(Données!H$46*1E-24*H65)*M65</f>
        <v>-3.0927184131456895E-8</v>
      </c>
      <c r="Q65" s="40">
        <f t="shared" si="30"/>
        <v>100.73720129206069</v>
      </c>
      <c r="R65" s="43">
        <f>-(Données!I$48*1E-24*H65+Données!F$48)*Q65+Données!H$47*1E-24*H65*O65+(Données!I$49*1E-24*H65*S65)*0.85*0.16</f>
        <v>6.9298228549438241E-8</v>
      </c>
      <c r="S65" s="42">
        <f t="shared" si="31"/>
        <v>49.823423980938593</v>
      </c>
      <c r="T65" s="22">
        <f>-(Données!I$49*1E-24*H65+Données!F$49)*S65+Données!F$47*O65</f>
        <v>-2.6269068311996318E-8</v>
      </c>
      <c r="U65" s="28">
        <f t="shared" si="32"/>
        <v>4771.4594718091139</v>
      </c>
      <c r="V65" s="19"/>
      <c r="W65" s="40">
        <f t="shared" si="33"/>
        <v>40.872330123740575</v>
      </c>
      <c r="X65" s="21">
        <f>-(Données!I$50*1E-24*H65+Données!F$50)*W65+Données!F$45*K65</f>
        <v>-2.9809816838023153E-7</v>
      </c>
      <c r="Y65" s="42">
        <f t="shared" si="34"/>
        <v>22596.235401842303</v>
      </c>
      <c r="Z65" s="23">
        <f>-(Données!I$51*1E-24*H65+Données!F$51)*Y65+Données!F$48*Q65</f>
        <v>-2.2166528902494972E-5</v>
      </c>
      <c r="AA65" s="15">
        <f t="shared" si="35"/>
        <v>22637.107731966044</v>
      </c>
      <c r="AC65" s="19"/>
    </row>
    <row r="66" spans="1:29" ht="15" thickBot="1">
      <c r="E66" s="20">
        <v>64</v>
      </c>
      <c r="F66" s="27">
        <f t="shared" si="24"/>
        <v>5.333333333333333</v>
      </c>
      <c r="G66" s="18">
        <f t="shared" si="25"/>
        <v>168192000</v>
      </c>
      <c r="H66" s="75">
        <f>IF(F66&lt;Données!C$26/365,Données!C$30,0)</f>
        <v>3125923379334265</v>
      </c>
      <c r="I66" s="40">
        <f t="shared" si="26"/>
        <v>7.1941097109689771</v>
      </c>
      <c r="J66" s="21">
        <f>-(Données!I$44*1E-24*H66+Données!F$44)*I66</f>
        <v>-4.1319105410122697E-8</v>
      </c>
      <c r="K66" s="42">
        <f t="shared" si="27"/>
        <v>3058.5371246610962</v>
      </c>
      <c r="L66" s="23">
        <f>-(Données!I$45*1E-24*H66+Données!F$45)*K66+(I66*Données!H$44*1E-24*H66)+(Données!H$51*1E-24*H66)*Y66</f>
        <v>-2.5834532456783027E-6</v>
      </c>
      <c r="M66" s="40">
        <f t="shared" si="28"/>
        <v>1363.229580221664</v>
      </c>
      <c r="N66" s="21">
        <f>-(Données!I$46*1E-24*H66+Données!F$46)*M66+Données!H$45*1E-24*H66*K66</f>
        <v>6.9108412167625367E-7</v>
      </c>
      <c r="O66" s="42">
        <f t="shared" si="29"/>
        <v>186.81549002913221</v>
      </c>
      <c r="P66" s="23">
        <f>-(Données!I$47*1E-24*H66+Données!F$47)*O66+(Données!H$46*1E-24*H66)*M66</f>
        <v>-2.7421531589072251E-8</v>
      </c>
      <c r="Q66" s="40">
        <f t="shared" si="30"/>
        <v>100.91931703668861</v>
      </c>
      <c r="R66" s="43">
        <f>-(Données!I$48*1E-24*H66+Données!F$48)*Q66+Données!H$47*1E-24*H66*O66+(Données!I$49*1E-24*H66*S66)*0.85*0.16</f>
        <v>6.8699700193741313E-8</v>
      </c>
      <c r="S66" s="42">
        <f t="shared" si="31"/>
        <v>49.754388869414669</v>
      </c>
      <c r="T66" s="22">
        <f>-(Données!I$49*1E-24*H66+Données!F$49)*S66+Données!F$47*O66</f>
        <v>-2.5960036591133203E-8</v>
      </c>
      <c r="U66" s="28">
        <f t="shared" si="32"/>
        <v>4766.4500105289644</v>
      </c>
      <c r="V66" s="19"/>
      <c r="W66" s="40">
        <f t="shared" si="33"/>
        <v>40.088928137237325</v>
      </c>
      <c r="X66" s="21">
        <f>-(Données!I$50*1E-24*H66+Données!F$50)*W66+Données!F$45*K66</f>
        <v>-2.923371308330316E-7</v>
      </c>
      <c r="Y66" s="42">
        <f t="shared" si="34"/>
        <v>22537.981763886546</v>
      </c>
      <c r="Z66" s="23">
        <f>-(Données!I$51*1E-24*H66+Données!F$51)*Y66+Données!F$48*Q66</f>
        <v>-2.2109383032326388E-5</v>
      </c>
      <c r="AA66" s="15">
        <f t="shared" si="35"/>
        <v>22578.070692023783</v>
      </c>
      <c r="AC66" s="19"/>
    </row>
    <row r="67" spans="1:29" ht="15" thickBot="1">
      <c r="E67" s="20">
        <v>65</v>
      </c>
      <c r="F67" s="27">
        <f t="shared" si="24"/>
        <v>5.416666666666667</v>
      </c>
      <c r="G67" s="18">
        <f t="shared" si="25"/>
        <v>170820000</v>
      </c>
      <c r="H67" s="75">
        <f>IF(F67&lt;Données!C$26/365,Données!C$30,0)</f>
        <v>3125923379334265</v>
      </c>
      <c r="I67" s="40">
        <f t="shared" si="26"/>
        <v>7.0855231019511749</v>
      </c>
      <c r="J67" s="21">
        <f>-(Données!I$44*1E-24*H67+Données!F$44)*I67</f>
        <v>-4.0695442201693523E-8</v>
      </c>
      <c r="K67" s="42">
        <f t="shared" si="27"/>
        <v>3051.7478095314536</v>
      </c>
      <c r="L67" s="23">
        <f>-(Données!I$45*1E-24*H67+Données!F$45)*K67+(I67*Données!H$44*1E-24*H67)+(Données!H$51*1E-24*H67)*Y67</f>
        <v>-2.5845321244993247E-6</v>
      </c>
      <c r="M67" s="40">
        <f t="shared" si="28"/>
        <v>1365.0457492934293</v>
      </c>
      <c r="N67" s="21">
        <f>-(Données!I$46*1E-24*H67+Données!F$46)*M67+Données!H$45*1E-24*H67*K67</f>
        <v>6.7638141473540853E-7</v>
      </c>
      <c r="O67" s="42">
        <f t="shared" si="29"/>
        <v>186.74342624411614</v>
      </c>
      <c r="P67" s="23">
        <f>-(Données!I$47*1E-24*H67+Données!F$47)*O67+(Données!H$46*1E-24*H67)*M67</f>
        <v>-2.4068690810299288E-8</v>
      </c>
      <c r="Q67" s="40">
        <f t="shared" si="30"/>
        <v>101.09985984879776</v>
      </c>
      <c r="R67" s="43">
        <f>-(Données!I$48*1E-24*H67+Données!F$48)*Q67+Données!H$47*1E-24*H67*O67+(Données!I$49*1E-24*H67*S67)*0.85*0.16</f>
        <v>6.8118482938409369E-8</v>
      </c>
      <c r="S67" s="42">
        <f t="shared" si="31"/>
        <v>49.686165893253168</v>
      </c>
      <c r="T67" s="22">
        <f>-(Données!I$49*1E-24*H67+Données!F$49)*S67+Données!F$47*O67</f>
        <v>-2.5641971672384295E-8</v>
      </c>
      <c r="U67" s="28">
        <f t="shared" si="32"/>
        <v>4761.4085339130015</v>
      </c>
      <c r="V67" s="19"/>
      <c r="W67" s="40">
        <f t="shared" si="33"/>
        <v>39.32066615740812</v>
      </c>
      <c r="X67" s="21">
        <f>-(Données!I$50*1E-24*H67+Données!F$50)*W67+Données!F$45*K67</f>
        <v>-2.8668755345039246E-7</v>
      </c>
      <c r="Y67" s="42">
        <f t="shared" si="34"/>
        <v>22479.878305277591</v>
      </c>
      <c r="Z67" s="23">
        <f>-(Données!I$51*1E-24*H67+Données!F$51)*Y67+Données!F$48*Q67</f>
        <v>-2.2052384485716006E-5</v>
      </c>
      <c r="AA67" s="15">
        <f t="shared" si="35"/>
        <v>22519.198971434998</v>
      </c>
      <c r="AC67" s="19"/>
    </row>
    <row r="68" spans="1:29" ht="15" thickBot="1">
      <c r="E68" s="20">
        <v>66</v>
      </c>
      <c r="F68" s="27">
        <f t="shared" si="24"/>
        <v>5.5</v>
      </c>
      <c r="G68" s="18">
        <f t="shared" si="25"/>
        <v>173448000</v>
      </c>
      <c r="H68" s="75">
        <f>IF(F68&lt;Données!C$26/365,Données!C$30,0)</f>
        <v>3125923379334265</v>
      </c>
      <c r="I68" s="40">
        <f t="shared" si="26"/>
        <v>6.9785754798451247</v>
      </c>
      <c r="J68" s="21">
        <f>-(Données!I$44*1E-24*H68+Données!F$44)*I68</f>
        <v>-4.0081192454511581E-8</v>
      </c>
      <c r="K68" s="42">
        <f t="shared" si="27"/>
        <v>3044.9556591082696</v>
      </c>
      <c r="L68" s="23">
        <f>-(Données!I$45*1E-24*H68+Données!F$45)*K68+(I68*Données!H$44*1E-24*H68)+(Données!H$51*1E-24*H68)*Y68</f>
        <v>-2.5854650530577459E-6</v>
      </c>
      <c r="M68" s="40">
        <f t="shared" si="28"/>
        <v>1366.8232796513539</v>
      </c>
      <c r="N68" s="21">
        <f>-(Données!I$46*1E-24*H68+Données!F$46)*M68+Données!H$45*1E-24*H68*K68</f>
        <v>6.6177970945262152E-7</v>
      </c>
      <c r="O68" s="42">
        <f t="shared" si="29"/>
        <v>186.68017372466667</v>
      </c>
      <c r="P68" s="23">
        <f>-(Données!I$47*1E-24*H68+Données!F$47)*O68+(Données!H$46*1E-24*H68)*M68</f>
        <v>-2.0864041438179445E-8</v>
      </c>
      <c r="Q68" s="40">
        <f t="shared" si="30"/>
        <v>101.27887522195991</v>
      </c>
      <c r="R68" s="43">
        <f>-(Données!I$48*1E-24*H68+Données!F$48)*Q68+Données!H$47*1E-24*H68*O68+(Données!I$49*1E-24*H68*S68)*0.85*0.16</f>
        <v>6.7553926258658934E-8</v>
      </c>
      <c r="S68" s="42">
        <f t="shared" si="31"/>
        <v>49.618778791698141</v>
      </c>
      <c r="T68" s="22">
        <f>-(Données!I$49*1E-24*H68+Données!F$49)*S68+Données!F$47*O68</f>
        <v>-2.5315638884540437E-8</v>
      </c>
      <c r="U68" s="28">
        <f t="shared" si="32"/>
        <v>4756.3353419777941</v>
      </c>
      <c r="V68" s="19"/>
      <c r="W68" s="40">
        <f t="shared" si="33"/>
        <v>38.567251266940488</v>
      </c>
      <c r="X68" s="21">
        <f>-(Données!I$50*1E-24*H68+Données!F$50)*W68+Données!F$45*K68</f>
        <v>-2.8114727948586623E-7</v>
      </c>
      <c r="Y68" s="42">
        <f t="shared" si="34"/>
        <v>22421.92463884913</v>
      </c>
      <c r="Z68" s="23">
        <f>-(Données!I$51*1E-24*H68+Données!F$51)*Y68+Données!F$48*Q68</f>
        <v>-2.1995532882857386E-5</v>
      </c>
      <c r="AA68" s="15">
        <f t="shared" si="35"/>
        <v>22460.491890116071</v>
      </c>
      <c r="AC68" s="19"/>
    </row>
    <row r="69" spans="1:29" ht="15" thickBot="1">
      <c r="E69" s="20">
        <v>67</v>
      </c>
      <c r="F69" s="27">
        <f t="shared" si="24"/>
        <v>5.583333333333333</v>
      </c>
      <c r="G69" s="18">
        <f t="shared" si="25"/>
        <v>176076000</v>
      </c>
      <c r="H69" s="75">
        <f>IF(F69&lt;Données!C$26/365,Données!C$30,0)</f>
        <v>3125923379334265</v>
      </c>
      <c r="I69" s="40">
        <f t="shared" si="26"/>
        <v>6.8732421060746685</v>
      </c>
      <c r="J69" s="21">
        <f>-(Données!I$44*1E-24*H69+Données!F$44)*I69</f>
        <v>-3.9476214083471541E-8</v>
      </c>
      <c r="K69" s="42">
        <f t="shared" si="27"/>
        <v>3038.1610569488339</v>
      </c>
      <c r="L69" s="23">
        <f>-(Données!I$45*1E-24*H69+Données!F$45)*K69+(I69*Données!H$44*1E-24*H69)+(Données!H$51*1E-24*H69)*Y69</f>
        <v>-2.5862550489340653E-6</v>
      </c>
      <c r="M69" s="40">
        <f t="shared" si="28"/>
        <v>1368.5624367277953</v>
      </c>
      <c r="N69" s="21">
        <f>-(Données!I$46*1E-24*H69+Données!F$46)*M69+Données!H$45*1E-24*H69*K69</f>
        <v>6.4727883556380262E-7</v>
      </c>
      <c r="O69" s="42">
        <f t="shared" si="29"/>
        <v>186.62534302376713</v>
      </c>
      <c r="P69" s="23">
        <f>-(Données!I$47*1E-24*H69+Données!F$47)*O69+(Données!H$46*1E-24*H69)*M69</f>
        <v>-1.7803091943171561E-8</v>
      </c>
      <c r="Q69" s="40">
        <f t="shared" si="30"/>
        <v>101.45640694016767</v>
      </c>
      <c r="R69" s="43">
        <f>-(Données!I$48*1E-24*H69+Données!F$48)*Q69+Données!H$47*1E-24*H69*O69+(Données!I$49*1E-24*H69*S69)*0.85*0.16</f>
        <v>6.7005398983458322E-8</v>
      </c>
      <c r="S69" s="42">
        <f t="shared" si="31"/>
        <v>49.552249292709568</v>
      </c>
      <c r="T69" s="22">
        <f>-(Données!I$49*1E-24*H69+Données!F$49)*S69+Données!F$47*O69</f>
        <v>-2.4981772289234777E-8</v>
      </c>
      <c r="U69" s="28">
        <f t="shared" si="32"/>
        <v>4751.2307350393485</v>
      </c>
      <c r="V69" s="19"/>
      <c r="W69" s="40">
        <f t="shared" si="33"/>
        <v>37.82839621645163</v>
      </c>
      <c r="X69" s="21">
        <f>-(Données!I$50*1E-24*H69+Données!F$50)*W69+Données!F$45*K69</f>
        <v>-2.7571419392635778E-7</v>
      </c>
      <c r="Y69" s="42">
        <f t="shared" si="34"/>
        <v>22364.120378432981</v>
      </c>
      <c r="Z69" s="23">
        <f>-(Données!I$51*1E-24*H69+Données!F$51)*Y69+Données!F$48*Q69</f>
        <v>-2.1938827844923335E-5</v>
      </c>
      <c r="AA69" s="15">
        <f t="shared" si="35"/>
        <v>22401.948774649434</v>
      </c>
      <c r="AC69" s="19"/>
    </row>
    <row r="70" spans="1:29" ht="15" thickBot="1">
      <c r="E70" s="20">
        <v>68</v>
      </c>
      <c r="F70" s="27">
        <f t="shared" si="24"/>
        <v>5.666666666666667</v>
      </c>
      <c r="G70" s="18">
        <f t="shared" si="25"/>
        <v>178704000</v>
      </c>
      <c r="H70" s="75">
        <f>IF(F70&lt;Données!C$26/365,Données!C$30,0)</f>
        <v>3125923379334265</v>
      </c>
      <c r="I70" s="40">
        <f t="shared" si="26"/>
        <v>6.7694986154633057</v>
      </c>
      <c r="J70" s="21">
        <f>-(Données!I$44*1E-24*H70+Données!F$44)*I70</f>
        <v>-3.8880367148075338E-8</v>
      </c>
      <c r="K70" s="42">
        <f t="shared" si="27"/>
        <v>3031.3643786802354</v>
      </c>
      <c r="L70" s="23">
        <f>-(Données!I$45*1E-24*H70+Données!F$45)*K70+(I70*Données!H$44*1E-24*H70)+(Données!H$51*1E-24*H70)*Y70</f>
        <v>-2.5869050733073246E-6</v>
      </c>
      <c r="M70" s="40">
        <f t="shared" si="28"/>
        <v>1370.2634855076569</v>
      </c>
      <c r="N70" s="21">
        <f>-(Données!I$46*1E-24*H70+Données!F$46)*M70+Données!H$45*1E-24*H70*K70</f>
        <v>6.3287861261745127E-7</v>
      </c>
      <c r="O70" s="42">
        <f t="shared" si="29"/>
        <v>186.57855649814047</v>
      </c>
      <c r="P70" s="23">
        <f>-(Données!I$47*1E-24*H70+Données!F$47)*O70+(Données!H$46*1E-24*H70)*M70</f>
        <v>-1.4881476087124319E-8</v>
      </c>
      <c r="Q70" s="40">
        <f t="shared" si="30"/>
        <v>101.6324971286962</v>
      </c>
      <c r="R70" s="43">
        <f>-(Données!I$48*1E-24*H70+Données!F$48)*Q70+Données!H$47*1E-24*H70*O70+(Données!I$49*1E-24*H70*S70)*0.85*0.16</f>
        <v>6.6472288770540023E-8</v>
      </c>
      <c r="S70" s="42">
        <f t="shared" si="31"/>
        <v>49.486597195133463</v>
      </c>
      <c r="T70" s="22">
        <f>-(Données!I$49*1E-24*H70+Données!F$49)*S70+Données!F$47*O70</f>
        <v>-2.4641075716673435E-8</v>
      </c>
      <c r="U70" s="28">
        <f t="shared" si="32"/>
        <v>4746.095013625325</v>
      </c>
      <c r="V70" s="19"/>
      <c r="W70" s="40">
        <f t="shared" si="33"/>
        <v>37.103819314813158</v>
      </c>
      <c r="X70" s="21">
        <f>-(Données!I$50*1E-24*H70+Données!F$50)*W70+Données!F$45*K70</f>
        <v>-2.7038622268458302E-7</v>
      </c>
      <c r="Y70" s="42">
        <f t="shared" si="34"/>
        <v>22306.465138856522</v>
      </c>
      <c r="Z70" s="23">
        <f>-(Données!I$51*1E-24*H70+Données!F$51)*Y70+Données!F$48*Q70</f>
        <v>-2.1882268994063387E-5</v>
      </c>
      <c r="AA70" s="15">
        <f t="shared" si="35"/>
        <v>22343.568958171334</v>
      </c>
      <c r="AC70" s="19"/>
    </row>
    <row r="71" spans="1:29" ht="15" thickBot="1">
      <c r="E71" s="20">
        <v>69</v>
      </c>
      <c r="F71" s="27">
        <f t="shared" si="24"/>
        <v>5.75</v>
      </c>
      <c r="G71" s="18">
        <f t="shared" si="25"/>
        <v>181332000</v>
      </c>
      <c r="H71" s="75">
        <f>IF(F71&lt;Données!C$26/365,Données!C$30,0)</f>
        <v>3125923379334265</v>
      </c>
      <c r="I71" s="40">
        <f t="shared" si="26"/>
        <v>6.6673210105981635</v>
      </c>
      <c r="J71" s="21">
        <f>-(Données!I$44*1E-24*H71+Données!F$44)*I71</f>
        <v>-3.8293513820061796E-8</v>
      </c>
      <c r="K71" s="42">
        <f t="shared" si="27"/>
        <v>3024.5659921475835</v>
      </c>
      <c r="L71" s="23">
        <f>-(Données!I$45*1E-24*H71+Données!F$45)*K71+(I71*Données!H$44*1E-24*H71)+(Données!H$51*1E-24*H71)*Y71</f>
        <v>-2.58741803199396E-6</v>
      </c>
      <c r="M71" s="40">
        <f t="shared" si="28"/>
        <v>1371.9266905016157</v>
      </c>
      <c r="N71" s="21">
        <f>-(Données!I$46*1E-24*H71+Données!F$46)*M71+Données!H$45*1E-24*H71*K71</f>
        <v>6.1857885026062233E-7</v>
      </c>
      <c r="O71" s="42">
        <f t="shared" si="29"/>
        <v>186.5394479789835</v>
      </c>
      <c r="P71" s="23">
        <f>-(Données!I$47*1E-24*H71+Données!F$47)*O71+(Données!H$46*1E-24*H71)*M71</f>
        <v>-1.2094949484286062E-8</v>
      </c>
      <c r="Q71" s="40">
        <f t="shared" si="30"/>
        <v>101.80718630358518</v>
      </c>
      <c r="R71" s="43">
        <f>-(Données!I$48*1E-24*H71+Données!F$48)*Q71+Données!H$47*1E-24*H71*O71+(Données!I$49*1E-24*H71*S71)*0.85*0.16</f>
        <v>6.5954001595389027E-8</v>
      </c>
      <c r="S71" s="42">
        <f t="shared" si="31"/>
        <v>49.421840448150043</v>
      </c>
      <c r="T71" s="22">
        <f>-(Données!I$49*1E-24*H71+Données!F$49)*S71+Données!F$47*O71</f>
        <v>-2.429422377000714E-8</v>
      </c>
      <c r="U71" s="28">
        <f t="shared" si="32"/>
        <v>4740.9284783905159</v>
      </c>
      <c r="V71" s="19"/>
      <c r="W71" s="40">
        <f t="shared" si="33"/>
        <v>36.393244321598075</v>
      </c>
      <c r="X71" s="21">
        <f>-(Données!I$50*1E-24*H71+Données!F$50)*W71+Données!F$45*K71</f>
        <v>-2.6516133180715356E-7</v>
      </c>
      <c r="Y71" s="42">
        <f t="shared" si="34"/>
        <v>22248.958535940124</v>
      </c>
      <c r="Z71" s="23">
        <f>-(Données!I$51*1E-24*H71+Données!F$51)*Y71+Données!F$48*Q71</f>
        <v>-2.1825855953401282E-5</v>
      </c>
      <c r="AA71" s="15">
        <f t="shared" si="35"/>
        <v>22285.351780261721</v>
      </c>
      <c r="AC71" s="19"/>
    </row>
    <row r="72" spans="1:29" ht="15" thickBot="1">
      <c r="E72" s="20">
        <v>70</v>
      </c>
      <c r="F72" s="27">
        <f t="shared" si="24"/>
        <v>5.833333333333333</v>
      </c>
      <c r="G72" s="18">
        <f t="shared" si="25"/>
        <v>183960000</v>
      </c>
      <c r="H72" s="75">
        <f>IF(F72&lt;Données!C$26/365,Données!C$30,0)</f>
        <v>3125923379334265</v>
      </c>
      <c r="I72" s="40">
        <f t="shared" si="26"/>
        <v>6.5666856562790414</v>
      </c>
      <c r="J72" s="21">
        <f>-(Données!I$44*1E-24*H72+Données!F$44)*I72</f>
        <v>-3.771551835152497E-8</v>
      </c>
      <c r="K72" s="42">
        <f t="shared" si="27"/>
        <v>3017.7662575595036</v>
      </c>
      <c r="L72" s="23">
        <f>-(Données!I$45*1E-24*H72+Données!F$45)*K72+(I72*Données!H$44*1E-24*H72)+(Données!H$51*1E-24*H72)*Y72</f>
        <v>-2.5877967764675963E-6</v>
      </c>
      <c r="M72" s="40">
        <f t="shared" si="28"/>
        <v>1373.5523157201005</v>
      </c>
      <c r="N72" s="21">
        <f>-(Données!I$46*1E-24*H72+Données!F$46)*M72+Données!H$45*1E-24*H72*K72</f>
        <v>6.0437934851892556E-7</v>
      </c>
      <c r="O72" s="42">
        <f t="shared" si="29"/>
        <v>186.50766245173881</v>
      </c>
      <c r="P72" s="23">
        <f>-(Données!I$47*1E-24*H72+Données!F$47)*O72+(Données!H$46*1E-24*H72)*M72</f>
        <v>-9.4393862566863532E-9</v>
      </c>
      <c r="Q72" s="40">
        <f t="shared" si="30"/>
        <v>101.98051341977786</v>
      </c>
      <c r="R72" s="43">
        <f>-(Données!I$48*1E-24*H72+Données!F$48)*Q72+Données!H$47*1E-24*H72*O72+(Données!I$49*1E-24*H72*S72)*0.85*0.16</f>
        <v>6.5449961253832823E-8</v>
      </c>
      <c r="S72" s="42">
        <f t="shared" si="31"/>
        <v>49.357995228082466</v>
      </c>
      <c r="T72" s="22">
        <f>-(Données!I$49*1E-24*H72+Données!F$49)*S72+Données!F$47*O72</f>
        <v>-2.3941862799251467E-8</v>
      </c>
      <c r="U72" s="28">
        <f t="shared" si="32"/>
        <v>4735.7314300354819</v>
      </c>
      <c r="V72" s="19"/>
      <c r="W72" s="40">
        <f t="shared" si="33"/>
        <v>35.696400341608879</v>
      </c>
      <c r="X72" s="21">
        <f>-(Données!I$50*1E-24*H72+Données!F$50)*W72+Données!F$45*K72</f>
        <v>-2.6003752669798433E-7</v>
      </c>
      <c r="Y72" s="42">
        <f t="shared" si="34"/>
        <v>22191.600186494587</v>
      </c>
      <c r="Z72" s="23">
        <f>-(Données!I$51*1E-24*H72+Données!F$51)*Y72+Données!F$48*Q72</f>
        <v>-2.1769588347032434E-5</v>
      </c>
      <c r="AA72" s="15">
        <f t="shared" si="35"/>
        <v>22227.296586836197</v>
      </c>
      <c r="AC72" s="19"/>
    </row>
    <row r="73" spans="1:29" ht="15" thickBot="1">
      <c r="D73" s="24"/>
      <c r="E73" s="20">
        <v>71</v>
      </c>
      <c r="F73" s="27">
        <f t="shared" si="24"/>
        <v>5.916666666666667</v>
      </c>
      <c r="G73" s="18">
        <f t="shared" si="25"/>
        <v>186588000</v>
      </c>
      <c r="H73" s="75">
        <f>IF(F73&lt;Données!C$26/365,Données!C$30,0)</f>
        <v>3125923379334265</v>
      </c>
      <c r="I73" s="40">
        <f t="shared" si="26"/>
        <v>6.4675692740512334</v>
      </c>
      <c r="J73" s="21">
        <f>-(Données!I$44*1E-24*H73+Données!F$44)*I73</f>
        <v>-3.7146247043513568E-8</v>
      </c>
      <c r="K73" s="42">
        <f t="shared" si="27"/>
        <v>3010.9655276309468</v>
      </c>
      <c r="L73" s="23">
        <f>-(Données!I$45*1E-24*H73+Données!F$45)*K73+(I73*Données!H$44*1E-24*H73)+(Données!H$51*1E-24*H73)*Y73</f>
        <v>-2.5880441048600768E-6</v>
      </c>
      <c r="M73" s="40">
        <f t="shared" si="28"/>
        <v>1375.1406246480083</v>
      </c>
      <c r="N73" s="21">
        <f>-(Données!I$46*1E-24*H73+Données!F$46)*M73+Données!H$45*1E-24*H73*K73</f>
        <v>5.9027989807065929E-7</v>
      </c>
      <c r="O73" s="42">
        <f t="shared" si="29"/>
        <v>186.48285574465623</v>
      </c>
      <c r="P73" s="23">
        <f>-(Données!I$47*1E-24*H73+Données!F$47)*O73+(Données!H$46*1E-24*H73)*M73</f>
        <v>-6.9107757812872086E-9</v>
      </c>
      <c r="Q73" s="40">
        <f t="shared" si="30"/>
        <v>102.15251591795294</v>
      </c>
      <c r="R73" s="43">
        <f>-(Données!I$48*1E-24*H73+Données!F$48)*Q73+Données!H$47*1E-24*H73*O73+(Données!I$49*1E-24*H73*S73)*0.85*0.16</f>
        <v>6.4959608877868945E-8</v>
      </c>
      <c r="S73" s="42">
        <f t="shared" si="31"/>
        <v>49.295076012646035</v>
      </c>
      <c r="T73" s="22">
        <f>-(Données!I$49*1E-24*H73+Données!F$49)*S73+Données!F$47*O73</f>
        <v>-2.3584611845640638E-8</v>
      </c>
      <c r="U73" s="28">
        <f t="shared" si="32"/>
        <v>4730.5041692282612</v>
      </c>
      <c r="V73" s="19"/>
      <c r="W73" s="40">
        <f t="shared" si="33"/>
        <v>35.013021721446577</v>
      </c>
      <c r="X73" s="21">
        <f>-(Données!I$50*1E-24*H73+Données!F$50)*W73+Données!F$45*K73</f>
        <v>-2.5501285135672832E-7</v>
      </c>
      <c r="Y73" s="42">
        <f t="shared" si="34"/>
        <v>22134.389708318584</v>
      </c>
      <c r="Z73" s="23">
        <f>-(Données!I$51*1E-24*H73+Données!F$51)*Y73+Données!F$48*Q73</f>
        <v>-2.1713465800021442E-5</v>
      </c>
      <c r="AA73" s="15">
        <f t="shared" si="35"/>
        <v>22169.40273004003</v>
      </c>
      <c r="AC73" s="19"/>
    </row>
    <row r="74" spans="1:29" ht="15" thickBot="1">
      <c r="E74" s="20">
        <v>72</v>
      </c>
      <c r="F74" s="27">
        <f t="shared" si="24"/>
        <v>6</v>
      </c>
      <c r="G74" s="18">
        <f t="shared" si="25"/>
        <v>189216000</v>
      </c>
      <c r="H74" s="75">
        <f>IF(F74&lt;Données!C$26/365,Données!C$30,0)</f>
        <v>3125923379334265</v>
      </c>
      <c r="I74" s="40">
        <f t="shared" si="26"/>
        <v>6.3699489368208795</v>
      </c>
      <c r="J74" s="21">
        <f>-(Données!I$44*1E-24*H74+Données!F$44)*I74</f>
        <v>-3.6585568215104456E-8</v>
      </c>
      <c r="K74" s="42">
        <f t="shared" si="27"/>
        <v>3004.1641477233743</v>
      </c>
      <c r="L74" s="23">
        <f>-(Données!I$45*1E-24*H74+Données!F$45)*K74+(I74*Données!H$44*1E-24*H74)+(Données!H$51*1E-24*H74)*Y74</f>
        <v>-2.5881627629441574E-6</v>
      </c>
      <c r="M74" s="40">
        <f t="shared" si="28"/>
        <v>1376.691880220138</v>
      </c>
      <c r="N74" s="21">
        <f>-(Données!I$46*1E-24*H74+Données!F$46)*M74+Données!H$45*1E-24*H74*K74</f>
        <v>5.7628028051521322E-7</v>
      </c>
      <c r="O74" s="42">
        <f t="shared" si="29"/>
        <v>186.464694225903</v>
      </c>
      <c r="P74" s="23">
        <f>-(Données!I$47*1E-24*H74+Données!F$47)*O74+(Données!H$46*1E-24*H74)*M74</f>
        <v>-4.5052195263823782E-9</v>
      </c>
      <c r="Q74" s="40">
        <f t="shared" si="30"/>
        <v>102.32322977008398</v>
      </c>
      <c r="R74" s="43">
        <f>-(Données!I$48*1E-24*H74+Données!F$48)*Q74+Données!H$47*1E-24*H74*O74+(Données!I$49*1E-24*H74*S74)*0.85*0.16</f>
        <v>6.4482402464375633E-8</v>
      </c>
      <c r="S74" s="42">
        <f t="shared" si="31"/>
        <v>49.23309565271569</v>
      </c>
      <c r="T74" s="22">
        <f>-(Données!I$49*1E-24*H74+Données!F$49)*S74+Données!F$47*O74</f>
        <v>-2.3223063557271618E-8</v>
      </c>
      <c r="U74" s="28">
        <f t="shared" si="32"/>
        <v>4725.2469965290366</v>
      </c>
      <c r="V74" s="19"/>
      <c r="W74" s="40">
        <f t="shared" si="33"/>
        <v>34.342847948081094</v>
      </c>
      <c r="X74" s="21">
        <f>-(Données!I$50*1E-24*H74+Données!F$50)*W74+Données!F$45*K74</f>
        <v>-2.5008538763194781E-7</v>
      </c>
      <c r="Y74" s="42">
        <f t="shared" si="34"/>
        <v>22077.326720196128</v>
      </c>
      <c r="Z74" s="23">
        <f>-(Données!I$51*1E-24*H74+Données!F$51)*Y74+Données!F$48*Q74</f>
        <v>-2.1657487938399601E-5</v>
      </c>
      <c r="AA74" s="15">
        <f t="shared" si="35"/>
        <v>22111.669568144211</v>
      </c>
      <c r="AC74" s="19"/>
    </row>
    <row r="75" spans="1:29" ht="15" thickBot="1">
      <c r="E75" s="20">
        <v>73</v>
      </c>
      <c r="F75" s="27">
        <f t="shared" si="24"/>
        <v>6.083333333333333</v>
      </c>
      <c r="G75" s="18">
        <f t="shared" si="25"/>
        <v>191844000</v>
      </c>
      <c r="H75" s="75">
        <f>IF(F75&lt;Données!C$26/365,Données!C$30,0)</f>
        <v>3125923379334265</v>
      </c>
      <c r="I75" s="40">
        <f t="shared" si="26"/>
        <v>6.2738020635515852</v>
      </c>
      <c r="J75" s="21">
        <f>-(Données!I$44*1E-24*H75+Données!F$44)*I75</f>
        <v>-3.6033352172942848E-8</v>
      </c>
      <c r="K75" s="42">
        <f t="shared" si="27"/>
        <v>2997.362455982357</v>
      </c>
      <c r="L75" s="23">
        <f>-(Données!I$45*1E-24*H75+Données!F$45)*K75+(I75*Données!H$44*1E-24*H75)+(Données!H$51*1E-24*H75)*Y75</f>
        <v>-2.5881554450981484E-6</v>
      </c>
      <c r="M75" s="40">
        <f t="shared" si="28"/>
        <v>1378.2063447973321</v>
      </c>
      <c r="N75" s="21">
        <f>-(Données!I$46*1E-24*H75+Données!F$46)*M75+Données!H$45*1E-24*H75*K75</f>
        <v>5.6238026863583196E-7</v>
      </c>
      <c r="O75" s="42">
        <f t="shared" si="29"/>
        <v>186.45285450898766</v>
      </c>
      <c r="P75" s="23">
        <f>-(Données!I$47*1E-24*H75+Données!F$47)*O75+(Données!H$46*1E-24*H75)*M75</f>
        <v>-2.2189279747946339E-9</v>
      </c>
      <c r="Q75" s="40">
        <f t="shared" si="30"/>
        <v>102.49268952376036</v>
      </c>
      <c r="R75" s="43">
        <f>-(Données!I$48*1E-24*H75+Données!F$48)*Q75+Données!H$47*1E-24*H75*O75+(Données!I$49*1E-24*H75*S75)*0.85*0.16</f>
        <v>6.4017816416361327E-8</v>
      </c>
      <c r="S75" s="42">
        <f t="shared" si="31"/>
        <v>49.172065441687181</v>
      </c>
      <c r="T75" s="22">
        <f>-(Données!I$49*1E-24*H75+Données!F$49)*S75+Données!F$47*O75</f>
        <v>-2.2857785076874268E-8</v>
      </c>
      <c r="U75" s="28">
        <f t="shared" si="32"/>
        <v>4719.9602123176755</v>
      </c>
      <c r="V75" s="19"/>
      <c r="W75" s="40">
        <f t="shared" si="33"/>
        <v>33.685623549384331</v>
      </c>
      <c r="X75" s="21">
        <f>-(Données!I$50*1E-24*H75+Données!F$50)*W75+Données!F$45*K75</f>
        <v>-2.4525325448873626E-7</v>
      </c>
      <c r="Y75" s="42">
        <f t="shared" si="34"/>
        <v>22020.410841894012</v>
      </c>
      <c r="Z75" s="23">
        <f>-(Données!I$51*1E-24*H75+Données!F$51)*Y75+Données!F$48*Q75</f>
        <v>-2.1601654389162363E-5</v>
      </c>
      <c r="AA75" s="15">
        <f t="shared" si="35"/>
        <v>22054.096465443396</v>
      </c>
      <c r="AC75" s="19"/>
    </row>
    <row r="76" spans="1:29" ht="15" thickBot="1">
      <c r="E76" s="20">
        <v>74</v>
      </c>
      <c r="F76" s="27">
        <f t="shared" si="24"/>
        <v>6.166666666666667</v>
      </c>
      <c r="G76" s="18">
        <f t="shared" si="25"/>
        <v>194472000</v>
      </c>
      <c r="H76" s="75">
        <f>IF(F76&lt;Données!C$26/365,Données!C$30,0)</f>
        <v>3125923379334265</v>
      </c>
      <c r="I76" s="40">
        <f t="shared" si="26"/>
        <v>6.1791064140410912</v>
      </c>
      <c r="J76" s="21">
        <f>-(Données!I$44*1E-24*H76+Données!F$44)*I76</f>
        <v>-3.5489471181242329E-8</v>
      </c>
      <c r="K76" s="42">
        <f t="shared" si="27"/>
        <v>2990.5607834726393</v>
      </c>
      <c r="L76" s="23">
        <f>-(Données!I$45*1E-24*H76+Données!F$45)*K76+(I76*Données!H$44*1E-24*H76)+(Données!H$51*1E-24*H76)*Y76</f>
        <v>-2.5880247952528087E-6</v>
      </c>
      <c r="M76" s="40">
        <f t="shared" si="28"/>
        <v>1379.684280143307</v>
      </c>
      <c r="N76" s="21">
        <f>-(Données!I$46*1E-24*H76+Données!F$46)*M76+Données!H$45*1E-24*H76*K76</f>
        <v>5.4857962665685936E-7</v>
      </c>
      <c r="O76" s="42">
        <f t="shared" si="29"/>
        <v>186.4470231662699</v>
      </c>
      <c r="P76" s="23">
        <f>-(Données!I$47*1E-24*H76+Données!F$47)*O76+(Données!H$46*1E-24*H76)*M76</f>
        <v>-4.821763147142119E-11</v>
      </c>
      <c r="Q76" s="40">
        <f t="shared" si="30"/>
        <v>102.66092834530257</v>
      </c>
      <c r="R76" s="43">
        <f>-(Données!I$48*1E-24*H76+Données!F$48)*Q76+Données!H$47*1E-24*H76*O76+(Données!I$49*1E-24*H76*S76)*0.85*0.16</f>
        <v>6.3565341096415927E-8</v>
      </c>
      <c r="S76" s="42">
        <f t="shared" si="31"/>
        <v>49.111995182505154</v>
      </c>
      <c r="T76" s="22">
        <f>-(Données!I$49*1E-24*H76+Données!F$49)*S76+Données!F$47*O76</f>
        <v>-2.2489318902515457E-8</v>
      </c>
      <c r="U76" s="28">
        <f t="shared" si="32"/>
        <v>4714.6441167240646</v>
      </c>
      <c r="V76" s="19"/>
      <c r="W76" s="40">
        <f t="shared" si="33"/>
        <v>33.041097996587929</v>
      </c>
      <c r="X76" s="21">
        <f>-(Données!I$50*1E-24*H76+Données!F$50)*W76+Données!F$45*K76</f>
        <v>-2.4051460729051166E-7</v>
      </c>
      <c r="Y76" s="42">
        <f t="shared" si="34"/>
        <v>21963.641694159294</v>
      </c>
      <c r="Z76" s="23">
        <f>-(Données!I$51*1E-24*H76+Données!F$51)*Y76+Données!F$48*Q76</f>
        <v>-2.1545964780266895E-5</v>
      </c>
      <c r="AA76" s="15">
        <f t="shared" si="35"/>
        <v>21996.682792155883</v>
      </c>
      <c r="AC76" s="19"/>
    </row>
    <row r="77" spans="1:29" ht="15" thickBot="1">
      <c r="E77" s="20">
        <v>75</v>
      </c>
      <c r="F77" s="27">
        <f t="shared" si="24"/>
        <v>6.25</v>
      </c>
      <c r="G77" s="18">
        <f t="shared" si="25"/>
        <v>197100000</v>
      </c>
      <c r="H77" s="75">
        <f>IF(F77&lt;Données!C$26/365,Données!C$30,0)</f>
        <v>3125923379334265</v>
      </c>
      <c r="I77" s="40">
        <f t="shared" si="26"/>
        <v>6.0858400837767865</v>
      </c>
      <c r="J77" s="21">
        <f>-(Données!I$44*1E-24*H77+Données!F$44)*I77</f>
        <v>-3.4953799432237672E-8</v>
      </c>
      <c r="K77" s="42">
        <f t="shared" si="27"/>
        <v>2983.7594543107148</v>
      </c>
      <c r="L77" s="23">
        <f>-(Données!I$45*1E-24*H77+Données!F$45)*K77+(I77*Données!H$44*1E-24*H77)+(Données!H$51*1E-24*H77)*Y77</f>
        <v>-2.5877734078209145E-6</v>
      </c>
      <c r="M77" s="40">
        <f t="shared" si="28"/>
        <v>1381.1259474021613</v>
      </c>
      <c r="N77" s="21">
        <f>-(Données!I$46*1E-24*H77+Données!F$46)*M77+Données!H$45*1E-24*H77*K77</f>
        <v>5.3487811049555764E-7</v>
      </c>
      <c r="O77" s="42">
        <f t="shared" si="29"/>
        <v>186.44689645033441</v>
      </c>
      <c r="P77" s="23">
        <f>-(Données!I$47*1E-24*H77+Données!F$47)*O77+(Données!H$46*1E-24*H77)*M77</f>
        <v>2.0104918868373387E-9</v>
      </c>
      <c r="Q77" s="40">
        <f t="shared" si="30"/>
        <v>102.82797806170394</v>
      </c>
      <c r="R77" s="43">
        <f>-(Données!I$48*1E-24*H77+Données!F$48)*Q77+Données!H$47*1E-24*H77*O77+(Données!I$49*1E-24*H77*S77)*0.85*0.16</f>
        <v>6.3124482392039874E-8</v>
      </c>
      <c r="S77" s="42">
        <f t="shared" si="31"/>
        <v>49.052893252429342</v>
      </c>
      <c r="T77" s="22">
        <f>-(Données!I$49*1E-24*H77+Données!F$49)*S77+Données!F$47*O77</f>
        <v>-2.2118183722026464E-8</v>
      </c>
      <c r="U77" s="28">
        <f t="shared" si="32"/>
        <v>4709.2990095611203</v>
      </c>
      <c r="V77" s="19"/>
      <c r="W77" s="40">
        <f t="shared" si="33"/>
        <v>32.409025608628461</v>
      </c>
      <c r="X77" s="21">
        <f>-(Données!I$50*1E-24*H77+Données!F$50)*W77+Données!F$45*K77</f>
        <v>-2.3586763709470745E-7</v>
      </c>
      <c r="Y77" s="42">
        <f t="shared" si="34"/>
        <v>21907.018898716753</v>
      </c>
      <c r="Z77" s="23">
        <f>-(Données!I$51*1E-24*H77+Données!F$51)*Y77+Données!F$48*Q77</f>
        <v>-2.1490418740629569E-5</v>
      </c>
      <c r="AA77" s="15">
        <f t="shared" si="35"/>
        <v>21939.42792432538</v>
      </c>
      <c r="AC77" s="19"/>
    </row>
    <row r="78" spans="1:29" ht="15" thickBot="1">
      <c r="A78" s="4"/>
      <c r="B78" s="4"/>
      <c r="D78" s="4"/>
      <c r="E78" s="20">
        <v>76</v>
      </c>
      <c r="F78" s="27">
        <f t="shared" si="24"/>
        <v>6.333333333333333</v>
      </c>
      <c r="G78" s="18">
        <f t="shared" si="25"/>
        <v>199728000</v>
      </c>
      <c r="H78" s="75">
        <f>IF(F78&lt;Données!C$26/365,Données!C$30,0)</f>
        <v>3125923379334265</v>
      </c>
      <c r="I78" s="40">
        <f t="shared" si="26"/>
        <v>5.993981498868866</v>
      </c>
      <c r="J78" s="21">
        <f>-(Données!I$44*1E-24*H78+Données!F$44)*I78</f>
        <v>-3.4426213017083621E-8</v>
      </c>
      <c r="K78" s="42">
        <f t="shared" si="27"/>
        <v>2976.9587857949614</v>
      </c>
      <c r="L78" s="23">
        <f>-(Données!I$45*1E-24*H78+Données!F$45)*K78+(I78*Données!H$44*1E-24*H78)+(Données!H$51*1E-24*H78)*Y78</f>
        <v>-2.5874038286097095E-6</v>
      </c>
      <c r="M78" s="40">
        <f t="shared" si="28"/>
        <v>1382.5316070765437</v>
      </c>
      <c r="N78" s="21">
        <f>-(Données!I$46*1E-24*H78+Données!F$46)*M78+Données!H$45*1E-24*H78*K78</f>
        <v>5.2127546800862824E-7</v>
      </c>
      <c r="O78" s="42">
        <f t="shared" si="29"/>
        <v>186.45218002301303</v>
      </c>
      <c r="P78" s="23">
        <f>-(Données!I$47*1E-24*H78+Données!F$47)*O78+(Données!H$46*1E-24*H78)*M78</f>
        <v>3.9606806820694381E-9</v>
      </c>
      <c r="Q78" s="40">
        <f t="shared" si="30"/>
        <v>102.99386920143023</v>
      </c>
      <c r="R78" s="43">
        <f>-(Données!I$48*1E-24*H78+Données!F$48)*Q78+Données!H$47*1E-24*H78*O78+(Données!I$49*1E-24*H78*S78)*0.85*0.16</f>
        <v>6.2694761292531298E-8</v>
      </c>
      <c r="S78" s="42">
        <f t="shared" si="31"/>
        <v>48.994766665607855</v>
      </c>
      <c r="T78" s="22">
        <f>-(Données!I$49*1E-24*H78+Données!F$49)*S78+Données!F$47*O78</f>
        <v>-2.1744875221917534E-8</v>
      </c>
      <c r="U78" s="28">
        <f t="shared" si="32"/>
        <v>4703.9251902604256</v>
      </c>
      <c r="V78" s="19"/>
      <c r="W78" s="40">
        <f t="shared" si="33"/>
        <v>31.789165458343572</v>
      </c>
      <c r="X78" s="21">
        <f>-(Données!I$50*1E-24*H78+Données!F$50)*W78+Données!F$45*K78</f>
        <v>-2.3131056996209131E-7</v>
      </c>
      <c r="Y78" s="42">
        <f t="shared" si="34"/>
        <v>21850.542078266379</v>
      </c>
      <c r="Z78" s="23">
        <f>-(Données!I$51*1E-24*H78+Données!F$51)*Y78+Données!F$48*Q78</f>
        <v>-2.1435015900123507E-5</v>
      </c>
      <c r="AA78" s="15">
        <f t="shared" si="35"/>
        <v>21882.331243724722</v>
      </c>
      <c r="AC78" s="19"/>
    </row>
    <row r="79" spans="1:29" ht="15" thickBot="1">
      <c r="A79" s="4"/>
      <c r="B79" s="4"/>
      <c r="D79" s="4"/>
      <c r="E79" s="20">
        <v>77</v>
      </c>
      <c r="F79" s="27">
        <f t="shared" si="24"/>
        <v>6.416666666666667</v>
      </c>
      <c r="G79" s="18">
        <f t="shared" si="25"/>
        <v>202356000</v>
      </c>
      <c r="H79" s="75">
        <f>IF(F79&lt;Données!C$26/365,Données!C$30,0)</f>
        <v>3125923379334265</v>
      </c>
      <c r="I79" s="40">
        <f t="shared" si="26"/>
        <v>5.9035094110599706</v>
      </c>
      <c r="J79" s="21">
        <f>-(Données!I$44*1E-24*H79+Données!F$44)*I79</f>
        <v>-3.3906589897192933E-8</v>
      </c>
      <c r="K79" s="42">
        <f t="shared" si="27"/>
        <v>2970.1590885333749</v>
      </c>
      <c r="L79" s="23">
        <f>-(Données!I$45*1E-24*H79+Données!F$45)*K79+(I79*Données!H$44*1E-24*H79)+(Données!H$51*1E-24*H79)*Y79</f>
        <v>-2.5869185557166291E-6</v>
      </c>
      <c r="M79" s="40">
        <f t="shared" si="28"/>
        <v>1383.9015190064704</v>
      </c>
      <c r="N79" s="21">
        <f>-(Données!I$46*1E-24*H79+Données!F$46)*M79+Données!H$45*1E-24*H79*K79</f>
        <v>5.0777143923350653E-7</v>
      </c>
      <c r="O79" s="42">
        <f t="shared" si="29"/>
        <v>186.4625886918455</v>
      </c>
      <c r="P79" s="23">
        <f>-(Données!I$47*1E-24*H79+Données!F$47)*O79+(Données!H$46*1E-24*H79)*M79</f>
        <v>5.8057313277172023E-9</v>
      </c>
      <c r="Q79" s="40">
        <f t="shared" si="30"/>
        <v>103.158631034107</v>
      </c>
      <c r="R79" s="43">
        <f>-(Données!I$48*1E-24*H79+Données!F$48)*Q79+Données!H$47*1E-24*H79*O79+(Données!I$49*1E-24*H79*S79)*0.85*0.16</f>
        <v>6.2275713477123851E-8</v>
      </c>
      <c r="S79" s="42">
        <f t="shared" si="31"/>
        <v>48.937621133524658</v>
      </c>
      <c r="T79" s="22">
        <f>-(Données!I$49*1E-24*H79+Données!F$49)*S79+Données!F$47*O79</f>
        <v>-2.1369866871522287E-8</v>
      </c>
      <c r="U79" s="28">
        <f t="shared" si="32"/>
        <v>4698.5229578103826</v>
      </c>
      <c r="V79" s="19"/>
      <c r="W79" s="40">
        <f t="shared" si="33"/>
        <v>31.181281280483194</v>
      </c>
      <c r="X79" s="21">
        <f>-(Données!I$50*1E-24*H79+Données!F$50)*W79+Données!F$45*K79</f>
        <v>-2.2684166627944879E-7</v>
      </c>
      <c r="Y79" s="42">
        <f t="shared" si="34"/>
        <v>21794.210856480855</v>
      </c>
      <c r="Z79" s="23">
        <f>-(Données!I$51*1E-24*H79+Données!F$51)*Y79+Données!F$48*Q79</f>
        <v>-2.1379755889576083E-5</v>
      </c>
      <c r="AA79" s="15">
        <f t="shared" si="35"/>
        <v>21825.392137761337</v>
      </c>
      <c r="AC79" s="19"/>
    </row>
    <row r="80" spans="1:29" ht="15" thickBot="1">
      <c r="A80" s="4"/>
      <c r="B80" s="4"/>
      <c r="D80" s="4"/>
      <c r="E80" s="20">
        <v>78</v>
      </c>
      <c r="F80" s="27">
        <f t="shared" si="24"/>
        <v>6.5</v>
      </c>
      <c r="G80" s="18">
        <f t="shared" si="25"/>
        <v>204984000</v>
      </c>
      <c r="H80" s="75">
        <f>IF(F80&lt;Données!C$26/365,Données!C$30,0)</f>
        <v>3125923379334265</v>
      </c>
      <c r="I80" s="40">
        <f t="shared" si="26"/>
        <v>5.8144028928101479</v>
      </c>
      <c r="J80" s="21">
        <f>-(Données!I$44*1E-24*H80+Données!F$44)*I80</f>
        <v>-3.3394809876007024E-8</v>
      </c>
      <c r="K80" s="42">
        <f t="shared" si="27"/>
        <v>2963.3606665689517</v>
      </c>
      <c r="L80" s="23">
        <f>-(Données!I$45*1E-24*H80+Données!F$45)*K80+(I80*Données!H$44*1E-24*H80)+(Données!H$51*1E-24*H80)*Y80</f>
        <v>-2.5863200404085748E-6</v>
      </c>
      <c r="M80" s="40">
        <f t="shared" si="28"/>
        <v>1385.235942348776</v>
      </c>
      <c r="N80" s="21">
        <f>-(Données!I$46*1E-24*H80+Données!F$46)*M80+Données!H$45*1E-24*H80*K80</f>
        <v>4.9436575662455864E-7</v>
      </c>
      <c r="O80" s="42">
        <f t="shared" si="29"/>
        <v>186.47784615377475</v>
      </c>
      <c r="P80" s="23">
        <f>-(Données!I$47*1E-24*H80+Données!F$47)*O80+(Données!H$46*1E-24*H80)*M80</f>
        <v>7.548931546194027E-9</v>
      </c>
      <c r="Q80" s="40">
        <f t="shared" si="30"/>
        <v>103.32229160912489</v>
      </c>
      <c r="R80" s="43">
        <f>-(Données!I$48*1E-24*H80+Données!F$48)*Q80+Données!H$47*1E-24*H80*O80+(Données!I$49*1E-24*H80*S80)*0.85*0.16</f>
        <v>6.1866888914073433E-8</v>
      </c>
      <c r="S80" s="42">
        <f t="shared" si="31"/>
        <v>48.881461123386295</v>
      </c>
      <c r="T80" s="22">
        <f>-(Données!I$49*1E-24*H80+Données!F$49)*S80+Données!F$47*O80</f>
        <v>-2.0993610683094906E-8</v>
      </c>
      <c r="U80" s="28">
        <f t="shared" si="32"/>
        <v>4693.0926106968236</v>
      </c>
      <c r="V80" s="19"/>
      <c r="W80" s="40">
        <f t="shared" si="33"/>
        <v>30.585141381500804</v>
      </c>
      <c r="X80" s="21">
        <f>-(Données!I$50*1E-24*H80+Données!F$50)*W80+Données!F$45*K80</f>
        <v>-2.2245922009537292E-7</v>
      </c>
      <c r="Y80" s="42">
        <f t="shared" si="34"/>
        <v>21738.024858003049</v>
      </c>
      <c r="Z80" s="23">
        <f>-(Données!I$51*1E-24*H80+Données!F$51)*Y80+Données!F$48*Q80</f>
        <v>-2.1324638340766494E-5</v>
      </c>
      <c r="AA80" s="15">
        <f t="shared" si="35"/>
        <v>21768.609999384549</v>
      </c>
      <c r="AC80" s="19"/>
    </row>
    <row r="81" spans="1:29" ht="15" thickBot="1">
      <c r="A81" s="4"/>
      <c r="B81" s="4"/>
      <c r="D81" s="4"/>
      <c r="E81" s="20">
        <v>79</v>
      </c>
      <c r="F81" s="27">
        <f t="shared" si="24"/>
        <v>6.583333333333333</v>
      </c>
      <c r="G81" s="18">
        <f t="shared" si="25"/>
        <v>207612000</v>
      </c>
      <c r="H81" s="75">
        <f>IF(F81&lt;Données!C$26/365,Données!C$30,0)</f>
        <v>3125923379334265</v>
      </c>
      <c r="I81" s="40">
        <f t="shared" si="26"/>
        <v>5.7266413324560013</v>
      </c>
      <c r="J81" s="21">
        <f>-(Données!I$44*1E-24*H81+Données!F$44)*I81</f>
        <v>-3.2890754571192745E-8</v>
      </c>
      <c r="K81" s="42">
        <f t="shared" si="27"/>
        <v>2956.563817502758</v>
      </c>
      <c r="L81" s="23">
        <f>-(Données!I$45*1E-24*H81+Données!F$45)*K81+(I81*Données!H$44*1E-24*H81)+(Données!H$51*1E-24*H81)*Y81</f>
        <v>-2.5856106879850068E-6</v>
      </c>
      <c r="M81" s="40">
        <f t="shared" si="28"/>
        <v>1386.5351355571854</v>
      </c>
      <c r="N81" s="21">
        <f>-(Données!I$46*1E-24*H81+Données!F$46)*M81+Données!H$45*1E-24*H81*K81</f>
        <v>4.8105814528425922E-7</v>
      </c>
      <c r="O81" s="42">
        <f t="shared" si="29"/>
        <v>186.49768474587816</v>
      </c>
      <c r="P81" s="23">
        <f>-(Données!I$47*1E-24*H81+Données!F$47)*O81+(Données!H$46*1E-24*H81)*M81</f>
        <v>9.1934768127873005E-9</v>
      </c>
      <c r="Q81" s="40">
        <f t="shared" si="30"/>
        <v>103.48487779319107</v>
      </c>
      <c r="R81" s="43">
        <f>-(Données!I$48*1E-24*H81+Données!F$48)*Q81+Données!H$47*1E-24*H81*O81+(Données!I$49*1E-24*H81*S81)*0.85*0.16</f>
        <v>6.146785147040215E-8</v>
      </c>
      <c r="S81" s="42">
        <f t="shared" si="31"/>
        <v>48.826289914511122</v>
      </c>
      <c r="T81" s="22">
        <f>-(Données!I$49*1E-24*H81+Données!F$49)*S81+Données!F$47*O81</f>
        <v>-2.0616537948561512E-8</v>
      </c>
      <c r="U81" s="28">
        <f t="shared" si="32"/>
        <v>4687.6344468459802</v>
      </c>
      <c r="V81" s="19"/>
      <c r="W81" s="40">
        <f t="shared" si="33"/>
        <v>30.000518551090163</v>
      </c>
      <c r="X81" s="21">
        <f>-(Données!I$50*1E-24*H81+Données!F$50)*W81+Données!F$45*K81</f>
        <v>-2.1816155846890625E-7</v>
      </c>
      <c r="Y81" s="42">
        <f t="shared" si="34"/>
        <v>21681.983708443517</v>
      </c>
      <c r="Z81" s="23">
        <f>-(Données!I$51*1E-24*H81+Données!F$51)*Y81+Données!F$48*Q81</f>
        <v>-2.1269662886423279E-5</v>
      </c>
      <c r="AA81" s="15">
        <f t="shared" si="35"/>
        <v>21711.984226994606</v>
      </c>
      <c r="AC81" s="19"/>
    </row>
    <row r="82" spans="1:29" ht="15" thickBot="1">
      <c r="A82" s="4"/>
      <c r="B82" s="4"/>
      <c r="D82" s="4"/>
      <c r="E82" s="20">
        <v>80</v>
      </c>
      <c r="F82" s="27">
        <f t="shared" si="24"/>
        <v>6.666666666666667</v>
      </c>
      <c r="G82" s="18">
        <f t="shared" si="25"/>
        <v>210240000</v>
      </c>
      <c r="H82" s="75">
        <f>IF(F82&lt;Données!C$26/365,Données!C$30,0)</f>
        <v>3125923379334265</v>
      </c>
      <c r="I82" s="40">
        <f t="shared" si="26"/>
        <v>5.6402044294429068</v>
      </c>
      <c r="J82" s="21">
        <f>-(Données!I$44*1E-24*H82+Données!F$44)*I82</f>
        <v>-3.2394307387258772E-8</v>
      </c>
      <c r="K82" s="42">
        <f t="shared" si="27"/>
        <v>2949.7688326147336</v>
      </c>
      <c r="L82" s="23">
        <f>-(Données!I$45*1E-24*H82+Données!F$45)*K82+(I82*Données!H$44*1E-24*H82)+(Données!H$51*1E-24*H82)*Y82</f>
        <v>-2.5847928586252547E-6</v>
      </c>
      <c r="M82" s="40">
        <f t="shared" si="28"/>
        <v>1387.7993563629925</v>
      </c>
      <c r="N82" s="21">
        <f>-(Données!I$46*1E-24*H82+Données!F$46)*M82+Données!H$45*1E-24*H82*K82</f>
        <v>4.6784832318946142E-7</v>
      </c>
      <c r="O82" s="42">
        <f t="shared" si="29"/>
        <v>186.52184520294216</v>
      </c>
      <c r="P82" s="23">
        <f>-(Données!I$47*1E-24*H82+Données!F$47)*O82+(Données!H$46*1E-24*H82)*M82</f>
        <v>1.0742472888208565E-8</v>
      </c>
      <c r="Q82" s="40">
        <f t="shared" si="30"/>
        <v>103.64641530685529</v>
      </c>
      <c r="R82" s="43">
        <f>-(Données!I$48*1E-24*H82+Données!F$48)*Q82+Données!H$47*1E-24*H82*O82+(Données!I$49*1E-24*H82*S82)*0.85*0.16</f>
        <v>6.1078178532014667E-8</v>
      </c>
      <c r="S82" s="42">
        <f t="shared" si="31"/>
        <v>48.772109652782305</v>
      </c>
      <c r="T82" s="22">
        <f>-(Données!I$49*1E-24*H82+Données!F$49)*S82+Données!F$47*O82</f>
        <v>-2.023905995360637E-8</v>
      </c>
      <c r="U82" s="28">
        <f t="shared" si="32"/>
        <v>4682.1487635697486</v>
      </c>
      <c r="V82" s="19"/>
      <c r="W82" s="40">
        <f t="shared" si="33"/>
        <v>29.427189975433876</v>
      </c>
      <c r="X82" s="21">
        <f>-(Données!I$50*1E-24*H82+Données!F$50)*W82+Données!F$45*K82</f>
        <v>-2.1394704083078639E-7</v>
      </c>
      <c r="Y82" s="42">
        <f t="shared" si="34"/>
        <v>21626.087034377997</v>
      </c>
      <c r="Z82" s="23">
        <f>-(Données!I$51*1E-24*H82+Données!F$51)*Y82+Données!F$48*Q82</f>
        <v>-2.1214829160221888E-5</v>
      </c>
      <c r="AA82" s="15">
        <f t="shared" si="35"/>
        <v>21655.514224353432</v>
      </c>
      <c r="AC82" s="19"/>
    </row>
    <row r="83" spans="1:29" ht="15" thickBot="1">
      <c r="A83" s="4"/>
      <c r="B83" s="4"/>
      <c r="D83" s="4"/>
      <c r="E83" s="20">
        <v>81</v>
      </c>
      <c r="F83" s="27">
        <f t="shared" si="24"/>
        <v>6.75</v>
      </c>
      <c r="G83" s="18">
        <f t="shared" si="25"/>
        <v>212868000</v>
      </c>
      <c r="H83" s="75">
        <f>IF(F83&lt;Données!C$26/365,Données!C$30,0)</f>
        <v>3125923379334265</v>
      </c>
      <c r="I83" s="40">
        <f t="shared" si="26"/>
        <v>5.5550721896291906</v>
      </c>
      <c r="J83" s="21">
        <f>-(Données!I$44*1E-24*H83+Données!F$44)*I83</f>
        <v>-3.1905353488585323E-8</v>
      </c>
      <c r="K83" s="42">
        <f t="shared" si="27"/>
        <v>2942.9759969822662</v>
      </c>
      <c r="L83" s="23">
        <f>-(Données!I$45*1E-24*H83+Données!F$45)*K83+(I83*Données!H$44*1E-24*H83)+(Données!H$51*1E-24*H83)*Y83</f>
        <v>-2.5838688682201922E-6</v>
      </c>
      <c r="M83" s="40">
        <f t="shared" si="28"/>
        <v>1389.0288617563344</v>
      </c>
      <c r="N83" s="21">
        <f>-(Données!I$46*1E-24*H83+Données!F$46)*M83+Données!H$45*1E-24*H83*K83</f>
        <v>4.5473600141284143E-7</v>
      </c>
      <c r="O83" s="42">
        <f t="shared" si="29"/>
        <v>186.55007642169238</v>
      </c>
      <c r="P83" s="23">
        <f>-(Données!I$47*1E-24*H83+Données!F$47)*O83+(Données!H$46*1E-24*H83)*M83</f>
        <v>1.2198938281703917E-8</v>
      </c>
      <c r="Q83" s="40">
        <f t="shared" si="30"/>
        <v>103.80692876003742</v>
      </c>
      <c r="R83" s="43">
        <f>-(Données!I$48*1E-24*H83+Données!F$48)*Q83+Données!H$47*1E-24*H83*O83+(Données!I$49*1E-24*H83*S83)*0.85*0.16</f>
        <v>6.0697460633909563E-8</v>
      </c>
      <c r="S83" s="42">
        <f t="shared" si="31"/>
        <v>48.718921403224229</v>
      </c>
      <c r="T83" s="22">
        <f>-(Données!I$49*1E-24*H83+Données!F$49)*S83+Données!F$47*O83</f>
        <v>-1.9861568669755718E-8</v>
      </c>
      <c r="U83" s="28">
        <f t="shared" si="32"/>
        <v>4676.6358575131835</v>
      </c>
      <c r="V83" s="19"/>
      <c r="W83" s="40">
        <f t="shared" si="33"/>
        <v>28.864937152130569</v>
      </c>
      <c r="X83" s="21">
        <f>-(Données!I$50*1E-24*H83+Données!F$50)*W83+Données!F$45*K83</f>
        <v>-2.0981405835705181E-7</v>
      </c>
      <c r="Y83" s="42">
        <f t="shared" si="34"/>
        <v>21570.334463344934</v>
      </c>
      <c r="Z83" s="23">
        <f>-(Données!I$51*1E-24*H83+Données!F$51)*Y83+Données!F$48*Q83</f>
        <v>-2.1160136796782226E-5</v>
      </c>
      <c r="AA83" s="15">
        <f t="shared" si="35"/>
        <v>21599.199400497066</v>
      </c>
      <c r="AC83" s="19"/>
    </row>
    <row r="84" spans="1:29" ht="15" thickBot="1">
      <c r="A84" s="4"/>
      <c r="B84" s="4"/>
      <c r="D84" s="4"/>
      <c r="E84" s="20">
        <v>82</v>
      </c>
      <c r="F84" s="27">
        <f t="shared" si="24"/>
        <v>6.833333333333333</v>
      </c>
      <c r="G84" s="18">
        <f t="shared" si="25"/>
        <v>215496000</v>
      </c>
      <c r="H84" s="75">
        <f>IF(F84&lt;Données!C$26/365,Données!C$30,0)</f>
        <v>3125923379334265</v>
      </c>
      <c r="I84" s="40">
        <f t="shared" si="26"/>
        <v>5.4712249206611885</v>
      </c>
      <c r="J84" s="21">
        <f>-(Données!I$44*1E-24*H84+Données!F$44)*I84</f>
        <v>-3.1423779772860995E-8</v>
      </c>
      <c r="K84" s="42">
        <f t="shared" si="27"/>
        <v>2936.1855895965837</v>
      </c>
      <c r="L84" s="23">
        <f>-(Données!I$45*1E-24*H84+Données!F$45)*K84+(I84*Données!H$44*1E-24*H84)+(Données!H$51*1E-24*H84)*Y84</f>
        <v>-2.5828409891887092E-6</v>
      </c>
      <c r="M84" s="40">
        <f t="shared" si="28"/>
        <v>1390.2239079680473</v>
      </c>
      <c r="N84" s="21">
        <f>-(Données!I$46*1E-24*H84+Données!F$46)*M84+Données!H$45*1E-24*H84*K84</f>
        <v>4.4172088433962325E-7</v>
      </c>
      <c r="O84" s="42">
        <f t="shared" si="29"/>
        <v>186.58213523149669</v>
      </c>
      <c r="P84" s="23">
        <f>-(Données!I$47*1E-24*H84+Données!F$47)*O84+(Données!H$46*1E-24*H84)*M84</f>
        <v>1.3565806646643178E-8</v>
      </c>
      <c r="Q84" s="40">
        <f t="shared" si="30"/>
        <v>103.96644168658334</v>
      </c>
      <c r="R84" s="43">
        <f>-(Données!I$48*1E-24*H84+Données!F$48)*Q84+Données!H$47*1E-24*H84*O84+(Données!I$49*1E-24*H84*S84)*0.85*0.16</f>
        <v>6.0325301100217338E-8</v>
      </c>
      <c r="S84" s="42">
        <f t="shared" si="31"/>
        <v>48.666725200760112</v>
      </c>
      <c r="T84" s="22">
        <f>-(Données!I$49*1E-24*H84+Données!F$49)*S84+Données!F$47*O84</f>
        <v>-1.9484437425103034E-8</v>
      </c>
      <c r="U84" s="28">
        <f t="shared" si="32"/>
        <v>4671.0960246041332</v>
      </c>
      <c r="V84" s="19"/>
      <c r="W84" s="40">
        <f t="shared" si="33"/>
        <v>28.313545806768236</v>
      </c>
      <c r="X84" s="21">
        <f>-(Données!I$50*1E-24*H84+Données!F$50)*W84+Données!F$45*K84</f>
        <v>-2.0576103335476778E-7</v>
      </c>
      <c r="Y84" s="42">
        <f t="shared" si="34"/>
        <v>21514.725623842991</v>
      </c>
      <c r="Z84" s="23">
        <f>-(Données!I$51*1E-24*H84+Données!F$51)*Y84+Données!F$48*Q84</f>
        <v>-2.1105585431666214E-5</v>
      </c>
      <c r="AA84" s="15">
        <f t="shared" si="35"/>
        <v>21543.039169649761</v>
      </c>
    </row>
    <row r="85" spans="1:29" ht="15" thickBot="1">
      <c r="A85" s="4"/>
      <c r="B85" s="4"/>
      <c r="D85" s="4"/>
      <c r="E85" s="20">
        <v>83</v>
      </c>
      <c r="F85" s="27">
        <f t="shared" si="24"/>
        <v>6.916666666666667</v>
      </c>
      <c r="G85" s="18">
        <f t="shared" si="25"/>
        <v>218124000</v>
      </c>
      <c r="H85" s="75">
        <f>IF(F85&lt;Données!C$26/365,Données!C$30,0)</f>
        <v>3125923379334265</v>
      </c>
      <c r="I85" s="40">
        <f t="shared" si="26"/>
        <v>5.3886432274181102</v>
      </c>
      <c r="J85" s="21">
        <f>-(Données!I$44*1E-24*H85+Données!F$44)*I85</f>
        <v>-3.09494748449205E-8</v>
      </c>
      <c r="K85" s="42">
        <f t="shared" si="27"/>
        <v>2929.397883476996</v>
      </c>
      <c r="L85" s="23">
        <f>-(Données!I$45*1E-24*H85+Données!F$45)*K85+(I85*Données!H$44*1E-24*H85)+(Données!H$51*1E-24*H85)*Y85</f>
        <v>-2.5817114512791333E-6</v>
      </c>
      <c r="M85" s="40">
        <f t="shared" si="28"/>
        <v>1391.3847504520918</v>
      </c>
      <c r="N85" s="21">
        <f>-(Données!I$46*1E-24*H85+Données!F$46)*M85+Données!H$45*1E-24*H85*K85</f>
        <v>4.2880266987966645E-7</v>
      </c>
      <c r="O85" s="42">
        <f t="shared" si="29"/>
        <v>186.61778617136406</v>
      </c>
      <c r="P85" s="23">
        <f>-(Données!I$47*1E-24*H85+Données!F$47)*O85+(Données!H$46*1E-24*H85)*M85</f>
        <v>1.4845929110432668E-8</v>
      </c>
      <c r="Q85" s="40">
        <f t="shared" si="30"/>
        <v>104.1249765778747</v>
      </c>
      <c r="R85" s="43">
        <f>-(Données!I$48*1E-24*H85+Données!F$48)*Q85+Données!H$47*1E-24*H85*O85+(Données!I$49*1E-24*H85*S85)*0.85*0.16</f>
        <v>5.9961315693801611E-8</v>
      </c>
      <c r="S85" s="42">
        <f t="shared" si="31"/>
        <v>48.61552009920694</v>
      </c>
      <c r="T85" s="22">
        <f>-(Données!I$49*1E-24*H85+Données!F$49)*S85+Données!F$47*O85</f>
        <v>-1.9108021554298928E-8</v>
      </c>
      <c r="U85" s="28">
        <f t="shared" si="32"/>
        <v>4665.5295600049512</v>
      </c>
      <c r="V85" s="19"/>
      <c r="W85" s="40">
        <f t="shared" si="33"/>
        <v>27.772805811111905</v>
      </c>
      <c r="X85" s="21">
        <f>-(Données!I$50*1E-24*H85+Données!F$50)*W85+Données!F$45*K85</f>
        <v>-2.0178641865963899E-7</v>
      </c>
      <c r="Y85" s="42">
        <f t="shared" si="34"/>
        <v>21459.260145328572</v>
      </c>
      <c r="Z85" s="23">
        <f>-(Données!I$51*1E-24*H85+Données!F$51)*Y85+Données!F$48*Q85</f>
        <v>-2.1051174701375371E-5</v>
      </c>
      <c r="AA85" s="15">
        <f t="shared" si="35"/>
        <v>21487.032951139685</v>
      </c>
    </row>
    <row r="86" spans="1:29" ht="15" thickBot="1">
      <c r="A86" s="4"/>
      <c r="B86" s="4"/>
      <c r="D86" s="4"/>
      <c r="E86" s="20">
        <v>84</v>
      </c>
      <c r="F86" s="27">
        <f t="shared" si="24"/>
        <v>7</v>
      </c>
      <c r="G86" s="18">
        <f t="shared" si="25"/>
        <v>220752000</v>
      </c>
      <c r="H86" s="75">
        <f>IF(F86&lt;Données!C$26/365,Données!C$30,0)</f>
        <v>3125923379334265</v>
      </c>
      <c r="I86" s="40">
        <f t="shared" si="26"/>
        <v>5.3073080075256591</v>
      </c>
      <c r="J86" s="21">
        <f>-(Données!I$44*1E-24*H86+Données!F$44)*I86</f>
        <v>-3.0482328990977296E-8</v>
      </c>
      <c r="K86" s="42">
        <f t="shared" si="27"/>
        <v>2922.6131457830343</v>
      </c>
      <c r="L86" s="23">
        <f>-(Données!I$45*1E-24*H86+Données!F$45)*K86+(I86*Données!H$44*1E-24*H86)+(Données!H$51*1E-24*H86)*Y86</f>
        <v>-2.5804824423559509E-6</v>
      </c>
      <c r="M86" s="40">
        <f t="shared" si="28"/>
        <v>1392.5116438685357</v>
      </c>
      <c r="N86" s="21">
        <f>-(Données!I$46*1E-24*H86+Données!F$46)*M86+Données!H$45*1E-24*H86*K86</f>
        <v>4.1598104967500404E-7</v>
      </c>
      <c r="O86" s="42">
        <f t="shared" si="29"/>
        <v>186.65680127306626</v>
      </c>
      <c r="P86" s="23">
        <f>-(Données!I$47*1E-24*H86+Données!F$47)*O86+(Données!H$46*1E-24*H86)*M86</f>
        <v>1.6042076540561276E-8</v>
      </c>
      <c r="Q86" s="40">
        <f t="shared" si="30"/>
        <v>104.28255491551802</v>
      </c>
      <c r="R86" s="43">
        <f>-(Données!I$48*1E-24*H86+Données!F$48)*Q86+Données!H$47*1E-24*H86*O86+(Données!I$49*1E-24*H86*S86)*0.85*0.16</f>
        <v>5.9605132275169624E-8</v>
      </c>
      <c r="S86" s="42">
        <f t="shared" si="31"/>
        <v>48.56530421856224</v>
      </c>
      <c r="T86" s="22">
        <f>-(Données!I$49*1E-24*H86+Données!F$49)*S86+Données!F$47*O86</f>
        <v>-1.8732659028415117E-8</v>
      </c>
      <c r="U86" s="28">
        <f t="shared" si="32"/>
        <v>4659.9367580662411</v>
      </c>
      <c r="V86" s="19"/>
      <c r="W86" s="40">
        <f t="shared" si="33"/>
        <v>27.242511102874374</v>
      </c>
      <c r="X86" s="21">
        <f>-(Données!I$50*1E-24*H86+Données!F$50)*W86+Données!F$45*K86</f>
        <v>-1.9788869704527782E-7</v>
      </c>
      <c r="Y86" s="42">
        <f t="shared" si="34"/>
        <v>21403.937658213355</v>
      </c>
      <c r="Z86" s="23">
        <f>-(Données!I$51*1E-24*H86+Données!F$51)*Y86+Données!F$48*Q86</f>
        <v>-2.0996904243348381E-5</v>
      </c>
      <c r="AA86" s="15">
        <f t="shared" si="35"/>
        <v>21431.180169316231</v>
      </c>
    </row>
    <row r="87" spans="1:29" ht="15" thickBot="1">
      <c r="A87" s="4"/>
      <c r="B87" s="4"/>
      <c r="D87" s="4"/>
      <c r="E87" s="20">
        <v>85</v>
      </c>
      <c r="F87" s="27">
        <f t="shared" si="24"/>
        <v>7.083333333333333</v>
      </c>
      <c r="G87" s="18">
        <f t="shared" si="25"/>
        <v>223380000</v>
      </c>
      <c r="H87" s="75">
        <f>IF(F87&lt;Données!C$26/365,Données!C$30,0)</f>
        <v>3125923379334265</v>
      </c>
      <c r="I87" s="40">
        <f t="shared" si="26"/>
        <v>5.2272004469373705</v>
      </c>
      <c r="J87" s="21">
        <f>-(Données!I$44*1E-24*H87+Données!F$44)*I87</f>
        <v>-3.0022234153245185E-8</v>
      </c>
      <c r="K87" s="42">
        <f t="shared" si="27"/>
        <v>2915.831637924523</v>
      </c>
      <c r="L87" s="23">
        <f>-(Données!I$45*1E-24*H87+Données!F$45)*K87+(I87*Données!H$44*1E-24*H87)+(Données!H$51*1E-24*H87)*Y87</f>
        <v>-2.5791561091721016E-6</v>
      </c>
      <c r="M87" s="40">
        <f t="shared" si="28"/>
        <v>1393.6048420670816</v>
      </c>
      <c r="N87" s="21">
        <f>-(Données!I$46*1E-24*H87+Données!F$46)*M87+Données!H$45*1E-24*H87*K87</f>
        <v>4.0325570930293643E-7</v>
      </c>
      <c r="O87" s="42">
        <f t="shared" si="29"/>
        <v>186.69895985021486</v>
      </c>
      <c r="P87" s="23">
        <f>-(Données!I$47*1E-24*H87+Données!F$47)*O87+(Données!H$46*1E-24*H87)*M87</f>
        <v>1.7156941748537412E-8</v>
      </c>
      <c r="Q87" s="40">
        <f t="shared" si="30"/>
        <v>104.43919720313717</v>
      </c>
      <c r="R87" s="43">
        <f>-(Données!I$48*1E-24*H87+Données!F$48)*Q87+Données!H$47*1E-24*H87*O87+(Données!I$49*1E-24*H87*S87)*0.85*0.16</f>
        <v>5.9256390470442916E-8</v>
      </c>
      <c r="S87" s="42">
        <f t="shared" si="31"/>
        <v>48.516074790635564</v>
      </c>
      <c r="T87" s="22">
        <f>-(Données!I$49*1E-24*H87+Données!F$49)*S87+Données!F$47*O87</f>
        <v>-1.8358671065270357E-8</v>
      </c>
      <c r="U87" s="28">
        <f t="shared" si="32"/>
        <v>4654.3179122825295</v>
      </c>
      <c r="V87" s="19"/>
      <c r="W87" s="40">
        <f t="shared" si="33"/>
        <v>26.722459607039383</v>
      </c>
      <c r="X87" s="21">
        <f>-(Données!I$50*1E-24*H87+Données!F$50)*W87+Données!F$45*K87</f>
        <v>-1.9406638064390361E-7</v>
      </c>
      <c r="Y87" s="42">
        <f t="shared" si="34"/>
        <v>21348.757793861834</v>
      </c>
      <c r="Z87" s="23">
        <f>-(Données!I$51*1E-24*H87+Données!F$51)*Y87+Données!F$48*Q87</f>
        <v>-2.0942773695958683E-5</v>
      </c>
      <c r="AA87" s="15">
        <f t="shared" si="35"/>
        <v>21375.480253468875</v>
      </c>
    </row>
    <row r="88" spans="1:29" ht="15" thickBot="1">
      <c r="A88" s="4"/>
      <c r="B88" s="4"/>
      <c r="D88" s="4"/>
      <c r="E88" s="20">
        <v>86</v>
      </c>
      <c r="F88" s="27">
        <f t="shared" si="24"/>
        <v>7.166666666666667</v>
      </c>
      <c r="G88" s="18">
        <f t="shared" si="25"/>
        <v>226008000</v>
      </c>
      <c r="H88" s="75">
        <f>IF(F88&lt;Données!C$26/365,Données!C$30,0)</f>
        <v>3125923379334265</v>
      </c>
      <c r="I88" s="40">
        <f t="shared" si="26"/>
        <v>5.148302015582642</v>
      </c>
      <c r="J88" s="21">
        <f>-(Données!I$44*1E-24*H88+Données!F$44)*I88</f>
        <v>-2.9569083904942917E-8</v>
      </c>
      <c r="K88" s="42">
        <f t="shared" si="27"/>
        <v>2909.0536156696185</v>
      </c>
      <c r="L88" s="23">
        <f>-(Données!I$45*1E-24*H88+Données!F$45)*K88+(I88*Données!H$44*1E-24*H88)+(Données!H$51*1E-24*H88)*Y88</f>
        <v>-2.577734558127072E-6</v>
      </c>
      <c r="M88" s="40">
        <f t="shared" si="28"/>
        <v>1394.6645980711296</v>
      </c>
      <c r="N88" s="21">
        <f>-(Données!I$46*1E-24*H88+Données!F$46)*M88+Données!H$45*1E-24*H88*K88</f>
        <v>3.9062632847473901E-7</v>
      </c>
      <c r="O88" s="42">
        <f t="shared" si="29"/>
        <v>186.74404829313002</v>
      </c>
      <c r="P88" s="23">
        <f>-(Données!I$47*1E-24*H88+Données!F$47)*O88+(Données!H$46*1E-24*H88)*M88</f>
        <v>1.819314163342277E-8</v>
      </c>
      <c r="Q88" s="40">
        <f t="shared" si="30"/>
        <v>104.59492299729349</v>
      </c>
      <c r="R88" s="43">
        <f>-(Données!I$48*1E-24*H88+Données!F$48)*Q88+Données!H$47*1E-24*H88*O88+(Données!I$49*1E-24*H88*S88)*0.85*0.16</f>
        <v>5.8914741348147491E-8</v>
      </c>
      <c r="S88" s="42">
        <f t="shared" si="31"/>
        <v>48.467828203076031</v>
      </c>
      <c r="T88" s="22">
        <f>-(Données!I$49*1E-24*H88+Données!F$49)*S88+Données!F$47*O88</f>
        <v>-1.7986362720792642E-8</v>
      </c>
      <c r="U88" s="28">
        <f t="shared" si="32"/>
        <v>4648.67331524983</v>
      </c>
      <c r="V88" s="19"/>
      <c r="W88" s="40">
        <f t="shared" si="33"/>
        <v>26.212453158707206</v>
      </c>
      <c r="X88" s="21">
        <f>-(Données!I$50*1E-24*H88+Données!F$50)*W88+Données!F$45*K88</f>
        <v>-1.9031801037825115E-7</v>
      </c>
      <c r="Y88" s="42">
        <f t="shared" si="34"/>
        <v>21293.720184588856</v>
      </c>
      <c r="Z88" s="23">
        <f>-(Données!I$51*1E-24*H88+Données!F$51)*Y88+Données!F$48*Q88</f>
        <v>-2.0888782698512049E-5</v>
      </c>
      <c r="AA88" s="15">
        <f t="shared" si="35"/>
        <v>21319.932637747563</v>
      </c>
    </row>
    <row r="89" spans="1:29" ht="15" thickBot="1">
      <c r="A89" s="4"/>
      <c r="B89" s="4"/>
      <c r="D89" s="4"/>
      <c r="E89" s="20">
        <v>87</v>
      </c>
      <c r="F89" s="27">
        <f t="shared" si="24"/>
        <v>7.25</v>
      </c>
      <c r="G89" s="18">
        <f t="shared" si="25"/>
        <v>228636000</v>
      </c>
      <c r="H89" s="75">
        <f>IF(F89&lt;Données!C$26/365,Données!C$30,0)</f>
        <v>3125923379334265</v>
      </c>
      <c r="I89" s="40">
        <f t="shared" si="26"/>
        <v>5.070594463080452</v>
      </c>
      <c r="J89" s="21">
        <f>-(Données!I$44*1E-24*H89+Données!F$44)*I89</f>
        <v>-2.9122773425676099E-8</v>
      </c>
      <c r="K89" s="42">
        <f t="shared" si="27"/>
        <v>2902.2793292508604</v>
      </c>
      <c r="L89" s="23">
        <f>-(Données!I$45*1E-24*H89+Données!F$45)*K89+(I89*Données!H$44*1E-24*H89)+(Données!H$51*1E-24*H89)*Y89</f>
        <v>-2.576219856011025E-6</v>
      </c>
      <c r="M89" s="40">
        <f t="shared" si="28"/>
        <v>1395.6911640623612</v>
      </c>
      <c r="N89" s="21">
        <f>-(Données!I$46*1E-24*H89+Données!F$46)*M89+Données!H$45*1E-24*H89*K89</f>
        <v>3.7809258123009979E-7</v>
      </c>
      <c r="O89" s="42">
        <f t="shared" si="29"/>
        <v>186.79185986934266</v>
      </c>
      <c r="P89" s="23">
        <f>-(Données!I$47*1E-24*H89+Données!F$47)*O89+(Données!H$46*1E-24*H89)*M89</f>
        <v>1.91532192666197E-8</v>
      </c>
      <c r="Q89" s="40">
        <f t="shared" si="30"/>
        <v>104.74975093755643</v>
      </c>
      <c r="R89" s="43">
        <f>-(Données!I$48*1E-24*H89+Données!F$48)*Q89+Données!H$47*1E-24*H89*O89+(Données!I$49*1E-24*H89*S89)*0.85*0.16</f>
        <v>5.8579847104587241E-8</v>
      </c>
      <c r="S89" s="42">
        <f t="shared" si="31"/>
        <v>48.420560041845789</v>
      </c>
      <c r="T89" s="22">
        <f>-(Données!I$49*1E-24*H89+Données!F$49)*S89+Données!F$47*O89</f>
        <v>-1.7616023461973617E-8</v>
      </c>
      <c r="U89" s="28">
        <f t="shared" si="32"/>
        <v>4643.0032586250463</v>
      </c>
      <c r="V89" s="19"/>
      <c r="W89" s="40">
        <f t="shared" si="33"/>
        <v>25.71229742743316</v>
      </c>
      <c r="X89" s="21">
        <f>-(Données!I$50*1E-24*H89+Données!F$50)*W89+Données!F$45*K89</f>
        <v>-1.8664215540447178E-7</v>
      </c>
      <c r="Y89" s="42">
        <f t="shared" si="34"/>
        <v>21238.824463657165</v>
      </c>
      <c r="Z89" s="23">
        <f>-(Données!I$51*1E-24*H89+Données!F$51)*Y89+Données!F$48*Q89</f>
        <v>-2.0834930891244179E-5</v>
      </c>
      <c r="AA89" s="15">
        <f t="shared" si="35"/>
        <v>21264.536761084597</v>
      </c>
    </row>
    <row r="90" spans="1:29" ht="15" thickBot="1">
      <c r="A90" s="4"/>
      <c r="B90" s="4"/>
      <c r="D90" s="4"/>
      <c r="E90" s="20">
        <v>88</v>
      </c>
      <c r="F90" s="27">
        <f t="shared" si="24"/>
        <v>7.333333333333333</v>
      </c>
      <c r="G90" s="18">
        <f t="shared" si="25"/>
        <v>231264000</v>
      </c>
      <c r="H90" s="75">
        <f>IF(F90&lt;Données!C$26/365,Données!C$30,0)</f>
        <v>3125923379334265</v>
      </c>
      <c r="I90" s="40">
        <f t="shared" si="26"/>
        <v>4.994059814517775</v>
      </c>
      <c r="J90" s="21">
        <f>-(Données!I$44*1E-24*H90+Données!F$44)*I90</f>
        <v>-2.8683199477190678E-8</v>
      </c>
      <c r="K90" s="42">
        <f t="shared" si="27"/>
        <v>2895.5090234692634</v>
      </c>
      <c r="L90" s="23">
        <f>-(Données!I$45*1E-24*H90+Données!F$45)*K90+(I90*Données!H$44*1E-24*H90)+(Données!H$51*1E-24*H90)*Y90</f>
        <v>-2.574614030735345E-6</v>
      </c>
      <c r="M90" s="40">
        <f t="shared" si="28"/>
        <v>1396.6847913658339</v>
      </c>
      <c r="N90" s="21">
        <f>-(Données!I$46*1E-24*H90+Données!F$46)*M90+Données!H$45*1E-24*H90*K90</f>
        <v>3.6565413612734528E-7</v>
      </c>
      <c r="O90" s="42">
        <f t="shared" si="29"/>
        <v>186.84219452957532</v>
      </c>
      <c r="P90" s="23">
        <f>-(Données!I$47*1E-24*H90+Données!F$47)*O90+(Données!H$46*1E-24*H90)*M90</f>
        <v>2.0039645919532134E-8</v>
      </c>
      <c r="Q90" s="40">
        <f t="shared" si="30"/>
        <v>104.90369877574729</v>
      </c>
      <c r="R90" s="43">
        <f>-(Données!I$48*1E-24*H90+Données!F$48)*Q90+Données!H$47*1E-24*H90*O90+(Données!I$49*1E-24*H90*S90)*0.85*0.16</f>
        <v>5.8251380757573727E-8</v>
      </c>
      <c r="S90" s="42">
        <f t="shared" si="31"/>
        <v>48.374265132187723</v>
      </c>
      <c r="T90" s="22">
        <f>-(Données!I$49*1E-24*H90+Données!F$49)*S90+Données!F$47*O90</f>
        <v>-1.7247927721956432E-8</v>
      </c>
      <c r="U90" s="28">
        <f t="shared" si="32"/>
        <v>4637.3080330871253</v>
      </c>
      <c r="V90" s="19"/>
      <c r="W90" s="40">
        <f t="shared" si="33"/>
        <v>25.22180184303021</v>
      </c>
      <c r="X90" s="21">
        <f>-(Données!I$50*1E-24*H90+Données!F$50)*W90+Données!F$45*K90</f>
        <v>-1.8303741256581426E-7</v>
      </c>
      <c r="Y90" s="42">
        <f t="shared" si="34"/>
        <v>21184.070265274975</v>
      </c>
      <c r="Z90" s="23">
        <f>-(Données!I$51*1E-24*H90+Données!F$51)*Y90+Données!F$48*Q90</f>
        <v>-2.0781217915318314E-5</v>
      </c>
      <c r="AA90" s="15">
        <f t="shared" si="35"/>
        <v>21209.292067118004</v>
      </c>
    </row>
    <row r="91" spans="1:29" ht="15" thickBot="1">
      <c r="A91" s="4"/>
      <c r="B91" s="4"/>
      <c r="D91" s="4"/>
      <c r="E91" s="20">
        <v>89</v>
      </c>
      <c r="F91" s="27">
        <f t="shared" si="24"/>
        <v>7.416666666666667</v>
      </c>
      <c r="G91" s="18">
        <f t="shared" si="25"/>
        <v>233892000</v>
      </c>
      <c r="H91" s="75">
        <f>IF(F91&lt;Données!C$26/365,Données!C$30,0)</f>
        <v>3125923379334265</v>
      </c>
      <c r="I91" s="40">
        <f t="shared" si="26"/>
        <v>4.918680366291718</v>
      </c>
      <c r="J91" s="21">
        <f>-(Données!I$44*1E-24*H91+Données!F$44)*I91</f>
        <v>-2.8250260379492398E-8</v>
      </c>
      <c r="K91" s="42">
        <f t="shared" si="27"/>
        <v>2888.7429377964909</v>
      </c>
      <c r="L91" s="23">
        <f>-(Données!I$45*1E-24*H91+Données!F$45)*K91+(I91*Données!H$44*1E-24*H91)+(Données!H$51*1E-24*H91)*Y91</f>
        <v>-2.5729190720496989E-6</v>
      </c>
      <c r="M91" s="40">
        <f t="shared" si="28"/>
        <v>1397.6457304355765</v>
      </c>
      <c r="N91" s="21">
        <f>-(Données!I$46*1E-24*H91+Données!F$46)*M91+Données!H$45*1E-24*H91*K91</f>
        <v>3.5331065642954923E-7</v>
      </c>
      <c r="O91" s="42">
        <f t="shared" si="29"/>
        <v>186.89485871905185</v>
      </c>
      <c r="P91" s="23">
        <f>-(Données!I$47*1E-24*H91+Données!F$47)*O91+(Données!H$46*1E-24*H91)*M91</f>
        <v>2.0854823035660302E-8</v>
      </c>
      <c r="Q91" s="40">
        <f t="shared" si="30"/>
        <v>105.05678340437819</v>
      </c>
      <c r="R91" s="43">
        <f>-(Données!I$48*1E-24*H91+Données!F$48)*Q91+Données!H$47*1E-24*H91*O91+(Données!I$49*1E-24*H91*S91)*0.85*0.16</f>
        <v>5.7929025848288389E-8</v>
      </c>
      <c r="S91" s="42">
        <f t="shared" si="31"/>
        <v>48.328937578134422</v>
      </c>
      <c r="T91" s="22">
        <f>-(Données!I$49*1E-24*H91+Données!F$49)*S91+Données!F$47*O91</f>
        <v>-1.6882335437782338E-8</v>
      </c>
      <c r="U91" s="28">
        <f t="shared" si="32"/>
        <v>4631.587928299924</v>
      </c>
      <c r="V91" s="19"/>
      <c r="W91" s="40">
        <f t="shared" si="33"/>
        <v>24.740779522807252</v>
      </c>
      <c r="X91" s="21">
        <f>-(Données!I$50*1E-24*H91+Données!F$50)*W91+Données!F$45*K91</f>
        <v>-1.795024058568768E-7</v>
      </c>
      <c r="Y91" s="42">
        <f t="shared" si="34"/>
        <v>21129.45722459352</v>
      </c>
      <c r="Z91" s="23">
        <f>-(Données!I$51*1E-24*H91+Données!F$51)*Y91+Données!F$48*Q91</f>
        <v>-2.0727643412822831E-5</v>
      </c>
      <c r="AA91" s="15">
        <f t="shared" si="35"/>
        <v>21154.198004116326</v>
      </c>
    </row>
    <row r="92" spans="1:29" ht="15" thickBot="1">
      <c r="A92" s="4"/>
      <c r="B92" s="4"/>
      <c r="D92" s="4"/>
      <c r="E92" s="20">
        <v>90</v>
      </c>
      <c r="F92" s="27">
        <f t="shared" si="24"/>
        <v>7.5</v>
      </c>
      <c r="G92" s="18">
        <f t="shared" si="25"/>
        <v>236520000</v>
      </c>
      <c r="H92" s="75">
        <f>IF(F92&lt;Données!C$26/365,Données!C$30,0)</f>
        <v>3125923379334265</v>
      </c>
      <c r="I92" s="40">
        <f t="shared" si="26"/>
        <v>4.8444386820144123</v>
      </c>
      <c r="J92" s="21">
        <f>-(Données!I$44*1E-24*H92+Données!F$44)*I92</f>
        <v>-2.7823855987326705E-8</v>
      </c>
      <c r="K92" s="42">
        <f t="shared" si="27"/>
        <v>2881.9813064751443</v>
      </c>
      <c r="L92" s="23">
        <f>-(Données!I$45*1E-24*H92+Données!F$45)*K92+(I92*Données!H$44*1E-24*H92)+(Données!H$51*1E-24*H92)*Y92</f>
        <v>-2.5711369322459237E-6</v>
      </c>
      <c r="M92" s="40">
        <f t="shared" si="28"/>
        <v>1398.5742308406734</v>
      </c>
      <c r="N92" s="21">
        <f>-(Données!I$46*1E-24*H92+Données!F$46)*M92+Données!H$45*1E-24*H92*K92</f>
        <v>3.4106180028660284E-7</v>
      </c>
      <c r="O92" s="42">
        <f t="shared" si="29"/>
        <v>186.94966519398957</v>
      </c>
      <c r="P92" s="23">
        <f>-(Données!I$47*1E-24*H92+Données!F$47)*O92+(Données!H$46*1E-24*H92)*M92</f>
        <v>2.1601084148671272E-8</v>
      </c>
      <c r="Q92" s="40">
        <f t="shared" si="30"/>
        <v>105.20902088430749</v>
      </c>
      <c r="R92" s="43">
        <f>-(Données!I$48*1E-24*H92+Données!F$48)*Q92+Données!H$47*1E-24*H92*O92+(Données!I$49*1E-24*H92*S92)*0.85*0.16</f>
        <v>5.7612476151060894E-8</v>
      </c>
      <c r="S92" s="42">
        <f t="shared" si="31"/>
        <v>48.28457080060393</v>
      </c>
      <c r="T92" s="22">
        <f>-(Données!I$49*1E-24*H92+Données!F$49)*S92+Données!F$47*O92</f>
        <v>-1.6519492571306096E-8</v>
      </c>
      <c r="U92" s="28">
        <f t="shared" si="32"/>
        <v>4625.843232876734</v>
      </c>
      <c r="V92" s="19"/>
      <c r="W92" s="40">
        <f t="shared" si="33"/>
        <v>24.269047200215379</v>
      </c>
      <c r="X92" s="21">
        <f>-(Données!I$50*1E-24*H92+Données!F$50)*W92+Données!F$45*K92</f>
        <v>-1.7603578589822615E-7</v>
      </c>
      <c r="Y92" s="42">
        <f t="shared" si="34"/>
        <v>21074.984977704622</v>
      </c>
      <c r="Z92" s="23">
        <f>-(Données!I$51*1E-24*H92+Données!F$51)*Y92+Données!F$48*Q92</f>
        <v>-2.0674207026768865E-5</v>
      </c>
      <c r="AA92" s="15">
        <f t="shared" si="35"/>
        <v>21099.254024904836</v>
      </c>
    </row>
    <row r="93" spans="1:29" ht="15" thickBot="1">
      <c r="A93" s="4"/>
      <c r="B93" s="4"/>
      <c r="D93" s="4"/>
      <c r="E93" s="20">
        <v>91</v>
      </c>
      <c r="F93" s="27">
        <f t="shared" si="24"/>
        <v>7.583333333333333</v>
      </c>
      <c r="G93" s="18">
        <f t="shared" si="25"/>
        <v>239148000</v>
      </c>
      <c r="H93" s="75">
        <f>IF(F93&lt;Données!C$26/365,Données!C$30,0)</f>
        <v>3125923379334265</v>
      </c>
      <c r="I93" s="40">
        <f t="shared" si="26"/>
        <v>4.7713175884797181</v>
      </c>
      <c r="J93" s="21">
        <f>-(Données!I$44*1E-24*H93+Données!F$44)*I93</f>
        <v>-2.7403887667013649E-8</v>
      </c>
      <c r="K93" s="42">
        <f t="shared" si="27"/>
        <v>2875.2243586172021</v>
      </c>
      <c r="L93" s="23">
        <f>-(Données!I$45*1E-24*H93+Données!F$45)*K93+(I93*Données!H$44*1E-24*H93)+(Données!H$51*1E-24*H93)*Y93</f>
        <v>-2.5692695268490429E-6</v>
      </c>
      <c r="M93" s="40">
        <f t="shared" si="28"/>
        <v>1399.4705412518265</v>
      </c>
      <c r="N93" s="21">
        <f>-(Données!I$46*1E-24*H93+Données!F$46)*M93+Données!H$45*1E-24*H93*K93</f>
        <v>3.2890722091331907E-7</v>
      </c>
      <c r="O93" s="42">
        <f t="shared" si="29"/>
        <v>187.00643284313227</v>
      </c>
      <c r="P93" s="23">
        <f>-(Données!I$47*1E-24*H93+Données!F$47)*O93+(Données!H$46*1E-24*H93)*M93</f>
        <v>2.2280696747912353E-8</v>
      </c>
      <c r="Q93" s="40">
        <f t="shared" si="30"/>
        <v>105.36042647163248</v>
      </c>
      <c r="R93" s="43">
        <f>-(Données!I$48*1E-24*H93+Données!F$48)*Q93+Données!H$47*1E-24*H93*O93+(Données!I$49*1E-24*H93*S93)*0.85*0.16</f>
        <v>5.7301435390853647E-8</v>
      </c>
      <c r="S93" s="42">
        <f t="shared" si="31"/>
        <v>48.241157574126539</v>
      </c>
      <c r="T93" s="22">
        <f>-(Données!I$49*1E-24*H93+Données!F$49)*S93+Données!F$47*O93</f>
        <v>-1.6159631613776477E-8</v>
      </c>
      <c r="U93" s="28">
        <f t="shared" si="32"/>
        <v>4620.074234346399</v>
      </c>
      <c r="V93" s="19"/>
      <c r="W93" s="40">
        <f t="shared" si="33"/>
        <v>23.806425154874841</v>
      </c>
      <c r="X93" s="21">
        <f>-(Données!I$50*1E-24*H93+Données!F$50)*W93+Données!F$45*K93</f>
        <v>-1.7263622942118215E-7</v>
      </c>
      <c r="Y93" s="42">
        <f t="shared" si="34"/>
        <v>21020.653161638274</v>
      </c>
      <c r="Z93" s="23">
        <f>-(Données!I$51*1E-24*H93+Données!F$51)*Y93+Données!F$48*Q93</f>
        <v>-2.0620908401087915E-5</v>
      </c>
      <c r="AA93" s="15">
        <f t="shared" si="35"/>
        <v>21044.459586793149</v>
      </c>
    </row>
    <row r="94" spans="1:29" ht="15" thickBot="1">
      <c r="A94" s="4"/>
      <c r="B94" s="4"/>
      <c r="D94" s="4"/>
      <c r="E94" s="20">
        <v>92</v>
      </c>
      <c r="F94" s="27">
        <f t="shared" si="24"/>
        <v>7.666666666666667</v>
      </c>
      <c r="G94" s="18">
        <f t="shared" si="25"/>
        <v>241776000</v>
      </c>
      <c r="H94" s="75">
        <f>IF(F94&lt;Données!C$26/365,Données!C$30,0)</f>
        <v>3125923379334265</v>
      </c>
      <c r="I94" s="40">
        <f t="shared" si="26"/>
        <v>4.6993001716908065</v>
      </c>
      <c r="J94" s="21">
        <f>-(Données!I$44*1E-24*H94+Données!F$44)*I94</f>
        <v>-2.6990258273632467E-8</v>
      </c>
      <c r="K94" s="42">
        <f t="shared" si="27"/>
        <v>2868.4723183006427</v>
      </c>
      <c r="L94" s="23">
        <f>-(Données!I$45*1E-24*H94+Données!F$45)*K94+(I94*Données!H$44*1E-24*H94)+(Données!H$51*1E-24*H94)*Y94</f>
        <v>-2.5673187352955263E-6</v>
      </c>
      <c r="M94" s="40">
        <f t="shared" si="28"/>
        <v>1400.3349094283867</v>
      </c>
      <c r="N94" s="21">
        <f>-(Données!I$46*1E-24*H94+Données!F$46)*M94+Données!H$45*1E-24*H94*K94</f>
        <v>3.1684656676365507E-7</v>
      </c>
      <c r="O94" s="42">
        <f t="shared" si="29"/>
        <v>187.06498651418579</v>
      </c>
      <c r="P94" s="23">
        <f>-(Données!I$47*1E-24*H94+Données!F$47)*O94+(Données!H$46*1E-24*H94)*M94</f>
        <v>2.2895864092823857E-8</v>
      </c>
      <c r="Q94" s="40">
        <f t="shared" si="30"/>
        <v>105.51101464383964</v>
      </c>
      <c r="R94" s="43">
        <f>-(Données!I$48*1E-24*H94+Données!F$48)*Q94+Données!H$47*1E-24*H94*O94+(Données!I$49*1E-24*H94*S94)*0.85*0.16</f>
        <v>5.6995616968246816E-8</v>
      </c>
      <c r="S94" s="42">
        <f t="shared" si="31"/>
        <v>48.198690062245532</v>
      </c>
      <c r="T94" s="22">
        <f>-(Données!I$49*1E-24*H94+Données!F$49)*S94+Données!F$47*O94</f>
        <v>-1.580297207456262E-8</v>
      </c>
      <c r="U94" s="28">
        <f t="shared" si="32"/>
        <v>4614.2812191209905</v>
      </c>
      <c r="V94" s="19"/>
      <c r="W94" s="40">
        <f t="shared" si="33"/>
        <v>23.352737143955974</v>
      </c>
      <c r="X94" s="21">
        <f>-(Données!I$50*1E-24*H94+Données!F$50)*W94+Données!F$45*K94</f>
        <v>-1.693024387625724E-7</v>
      </c>
      <c r="Y94" s="42">
        <f t="shared" si="34"/>
        <v>20966.461414360216</v>
      </c>
      <c r="Z94" s="23">
        <f>-(Données!I$51*1E-24*H94+Données!F$51)*Y94+Données!F$48*Q94</f>
        <v>-2.0567747180629486E-5</v>
      </c>
      <c r="AA94" s="15">
        <f t="shared" si="35"/>
        <v>20989.814151504172</v>
      </c>
    </row>
    <row r="95" spans="1:29" s="4" customFormat="1" ht="15" thickBot="1">
      <c r="C95" s="2"/>
      <c r="E95" s="20">
        <v>93</v>
      </c>
      <c r="F95" s="27">
        <f t="shared" ref="F95:F136" si="36">G95/(3600*365*24)</f>
        <v>7.75</v>
      </c>
      <c r="G95" s="18">
        <f t="shared" ref="G95:G136" si="37">E95*D$5</f>
        <v>244404000</v>
      </c>
      <c r="H95" s="75">
        <f>IF(F95&lt;Données!C$26/365,Données!C$30,0)</f>
        <v>3125923379334265</v>
      </c>
      <c r="I95" s="40">
        <f t="shared" ref="I95:I136" si="38">I94+J94*D$5</f>
        <v>4.6283697729477007</v>
      </c>
      <c r="J95" s="21">
        <f>-(Données!I$44*1E-24*H95+Données!F$44)*I95</f>
        <v>-2.6582872128550497E-8</v>
      </c>
      <c r="K95" s="42">
        <f t="shared" ref="K95:K136" si="39">K94+L94*D$5</f>
        <v>2861.7254046642861</v>
      </c>
      <c r="L95" s="23">
        <f>-(Données!I$45*1E-24*H95+Données!F$45)*K95+(I95*Données!H$44*1E-24*H95)+(Données!H$51*1E-24*H95)*Y95</f>
        <v>-2.565286401599119E-6</v>
      </c>
      <c r="M95" s="40">
        <f t="shared" ref="M95:M136" si="40">M94+N94*D$5</f>
        <v>1401.1675822058417</v>
      </c>
      <c r="N95" s="21">
        <f>-(Données!I$46*1E-24*H95+Données!F$46)*M95+Données!H$45*1E-24*H95*K95</f>
        <v>3.0487948170113135E-7</v>
      </c>
      <c r="O95" s="42">
        <f t="shared" ref="O95:O136" si="41">O94+P94*D$5</f>
        <v>187.12515684502173</v>
      </c>
      <c r="P95" s="23">
        <f>-(Données!I$47*1E-24*H95+Données!F$47)*O95+(Données!H$46*1E-24*H95)*M95</f>
        <v>2.3448726977647544E-8</v>
      </c>
      <c r="Q95" s="40">
        <f t="shared" ref="Q95:Q136" si="42">Q94+R94*D$5</f>
        <v>105.6607991252322</v>
      </c>
      <c r="R95" s="43">
        <f>-(Données!I$48*1E-24*H95+Données!F$48)*Q95+Données!H$47*1E-24*H95*O95+(Données!I$49*1E-24*H95*S95)*0.85*0.16</f>
        <v>5.6694743691724248E-8</v>
      </c>
      <c r="S95" s="42">
        <f t="shared" ref="S95:S136" si="43">S94+T94*D$5</f>
        <v>48.15715985163358</v>
      </c>
      <c r="T95" s="22">
        <f>-(Données!I$49*1E-24*H95+Données!F$49)*S95+Données!F$47*O95</f>
        <v>-1.5449720954495739E-8</v>
      </c>
      <c r="U95" s="28">
        <f t="shared" ref="U95:U136" si="44">I95+K95+M95+O95+Q95+S95</f>
        <v>4608.4644724649634</v>
      </c>
      <c r="V95" s="19"/>
      <c r="W95" s="40">
        <f t="shared" ref="W95:W136" si="45">W94+X94*D$5</f>
        <v>22.907810334887934</v>
      </c>
      <c r="X95" s="21">
        <f>-(Données!I$50*1E-24*H95+Données!F$50)*W95+Données!F$45*K95</f>
        <v>-1.6603314136926261E-7</v>
      </c>
      <c r="Y95" s="42">
        <f t="shared" ref="Y95:Y136" si="46">Y94+Z94*D$5</f>
        <v>20912.409374769522</v>
      </c>
      <c r="Z95" s="23">
        <f>-(Données!I$51*1E-24*H95+Données!F$51)*Y95+Données!F$48*Q95</f>
        <v>-2.0514723011158722E-5</v>
      </c>
      <c r="AA95" s="15">
        <f t="shared" ref="AA95:AA136" si="47">W95+Y95</f>
        <v>20935.31718510441</v>
      </c>
    </row>
    <row r="96" spans="1:29" s="4" customFormat="1" ht="15" thickBot="1">
      <c r="C96" s="2"/>
      <c r="E96" s="20">
        <v>94</v>
      </c>
      <c r="F96" s="27">
        <f t="shared" si="36"/>
        <v>7.833333333333333</v>
      </c>
      <c r="G96" s="18">
        <f t="shared" si="37"/>
        <v>247032000</v>
      </c>
      <c r="H96" s="75">
        <f>IF(F96&lt;Données!C$26/365,Données!C$30,0)</f>
        <v>3125923379334265</v>
      </c>
      <c r="I96" s="40">
        <f t="shared" si="38"/>
        <v>4.5585099849938704</v>
      </c>
      <c r="J96" s="21">
        <f>-(Données!I$44*1E-24*H96+Données!F$44)*I96</f>
        <v>-2.6181634997291296E-8</v>
      </c>
      <c r="K96" s="42">
        <f t="shared" si="39"/>
        <v>2854.9838320008835</v>
      </c>
      <c r="L96" s="23">
        <f>-(Données!I$45*1E-24*H96+Données!F$45)*K96+(I96*Données!H$44*1E-24*H96)+(Données!H$51*1E-24*H96)*Y96</f>
        <v>-2.563174335004419E-6</v>
      </c>
      <c r="M96" s="40">
        <f t="shared" si="40"/>
        <v>1401.9688054837522</v>
      </c>
      <c r="N96" s="21">
        <f>-(Données!I$46*1E-24*H96+Données!F$46)*M96+Données!H$45*1E-24*H96*K96</f>
        <v>2.9300560516550462E-7</v>
      </c>
      <c r="O96" s="42">
        <f t="shared" si="41"/>
        <v>187.18678009951898</v>
      </c>
      <c r="P96" s="23">
        <f>-(Données!I$47*1E-24*H96+Données!F$47)*O96+(Données!H$46*1E-24*H96)*M96</f>
        <v>2.3941365447798701E-8</v>
      </c>
      <c r="Q96" s="40">
        <f t="shared" si="42"/>
        <v>105.80979291165406</v>
      </c>
      <c r="R96" s="43">
        <f>-(Données!I$48*1E-24*H96+Données!F$48)*Q96+Données!H$47*1E-24*H96*O96+(Données!I$49*1E-24*H96*S96)*0.85*0.16</f>
        <v>5.6398547517067258E-8</v>
      </c>
      <c r="S96" s="42">
        <f t="shared" si="43"/>
        <v>48.116557984965162</v>
      </c>
      <c r="T96" s="22">
        <f>-(Données!I$49*1E-24*H96+Données!F$49)*S96+Données!F$47*O96</f>
        <v>-1.5100073204278218E-8</v>
      </c>
      <c r="U96" s="28">
        <f t="shared" si="44"/>
        <v>4602.624278465767</v>
      </c>
      <c r="V96" s="19"/>
      <c r="W96" s="40">
        <f t="shared" si="45"/>
        <v>22.471475239369511</v>
      </c>
      <c r="X96" s="21">
        <f>-(Données!I$50*1E-24*H96+Données!F$50)*W96+Données!F$45*K96</f>
        <v>-1.6282708931227504E-7</v>
      </c>
      <c r="Y96" s="42">
        <f t="shared" si="46"/>
        <v>20858.496682696197</v>
      </c>
      <c r="Z96" s="23">
        <f>-(Données!I$51*1E-24*H96+Données!F$51)*Y96+Données!F$48*Q96</f>
        <v>-2.0461835539354016E-5</v>
      </c>
      <c r="AA96" s="15">
        <f t="shared" si="47"/>
        <v>20880.968157935567</v>
      </c>
    </row>
    <row r="97" spans="3:27" s="4" customFormat="1" ht="15" thickBot="1">
      <c r="C97" s="2"/>
      <c r="E97" s="20">
        <v>95</v>
      </c>
      <c r="F97" s="27">
        <f t="shared" si="36"/>
        <v>7.916666666666667</v>
      </c>
      <c r="G97" s="18">
        <f t="shared" si="37"/>
        <v>249660000</v>
      </c>
      <c r="H97" s="75">
        <f>IF(F97&lt;Données!C$26/365,Données!C$30,0)</f>
        <v>3125923379334265</v>
      </c>
      <c r="I97" s="40">
        <f t="shared" si="38"/>
        <v>4.4897046482209886</v>
      </c>
      <c r="J97" s="21">
        <f>-(Données!I$44*1E-24*H97+Données!F$44)*I97</f>
        <v>-2.5786454067736807E-8</v>
      </c>
      <c r="K97" s="42">
        <f t="shared" si="39"/>
        <v>2848.2478098484917</v>
      </c>
      <c r="L97" s="23">
        <f>-(Données!I$45*1E-24*H97+Données!F$45)*K97+(I97*Données!H$44*1E-24*H97)+(Données!H$51*1E-24*H97)*Y97</f>
        <v>-2.5609843106284838E-6</v>
      </c>
      <c r="M97" s="40">
        <f t="shared" si="40"/>
        <v>1402.7388242141271</v>
      </c>
      <c r="N97" s="21">
        <f>-(Données!I$46*1E-24*H97+Données!F$46)*M97+Données!H$45*1E-24*H97*K97</f>
        <v>2.8122457233579069E-7</v>
      </c>
      <c r="O97" s="42">
        <f t="shared" si="41"/>
        <v>187.24969800791581</v>
      </c>
      <c r="P97" s="23">
        <f>-(Données!I$47*1E-24*H97+Données!F$47)*O97+(Données!H$46*1E-24*H97)*M97</f>
        <v>2.4375800469232557E-8</v>
      </c>
      <c r="Q97" s="40">
        <f t="shared" si="42"/>
        <v>105.95800829452891</v>
      </c>
      <c r="R97" s="43">
        <f>-(Données!I$48*1E-24*H97+Données!F$48)*Q97+Données!H$47*1E-24*H97*O97+(Données!I$49*1E-24*H97*S97)*0.85*0.16</f>
        <v>5.6106769293665585E-8</v>
      </c>
      <c r="S97" s="42">
        <f t="shared" si="43"/>
        <v>48.076874992584322</v>
      </c>
      <c r="T97" s="22">
        <f>-(Données!I$49*1E-24*H97+Données!F$49)*S97+Données!F$47*O97</f>
        <v>-1.4754212168403678E-8</v>
      </c>
      <c r="U97" s="28">
        <f t="shared" si="44"/>
        <v>4596.7609200058687</v>
      </c>
      <c r="V97" s="19"/>
      <c r="W97" s="40">
        <f t="shared" si="45"/>
        <v>22.043565648656852</v>
      </c>
      <c r="X97" s="21">
        <f>-(Données!I$50*1E-24*H97+Données!F$50)*W97+Données!F$45*K97</f>
        <v>-1.5968305881030818E-7</v>
      </c>
      <c r="Y97" s="42">
        <f t="shared" si="46"/>
        <v>20804.722978898775</v>
      </c>
      <c r="Z97" s="23">
        <f>-(Données!I$51*1E-24*H97+Données!F$51)*Y97+Données!F$48*Q97</f>
        <v>-2.0409084412804689E-5</v>
      </c>
      <c r="AA97" s="15">
        <f t="shared" si="47"/>
        <v>20826.76654454743</v>
      </c>
    </row>
    <row r="98" spans="3:27" s="4" customFormat="1" ht="15" thickBot="1">
      <c r="C98" s="2"/>
      <c r="E98" s="20">
        <v>96</v>
      </c>
      <c r="F98" s="27">
        <f t="shared" si="36"/>
        <v>8</v>
      </c>
      <c r="G98" s="18">
        <f t="shared" si="37"/>
        <v>252288000</v>
      </c>
      <c r="H98" s="75">
        <f>IF(F98&lt;Données!C$26/365,Données!C$30,0)</f>
        <v>3125923379334265</v>
      </c>
      <c r="I98" s="40">
        <f t="shared" si="38"/>
        <v>4.4219378469309767</v>
      </c>
      <c r="J98" s="21">
        <f>-(Données!I$44*1E-24*H98+Données!F$44)*I98</f>
        <v>-2.5397237928658536E-8</v>
      </c>
      <c r="K98" s="42">
        <f t="shared" si="39"/>
        <v>2841.5175430801601</v>
      </c>
      <c r="L98" s="23">
        <f>-(Données!I$45*1E-24*H98+Données!F$45)*K98+(I98*Données!H$44*1E-24*H98)+(Données!H$51*1E-24*H98)*Y98</f>
        <v>-2.5587180700906133E-6</v>
      </c>
      <c r="M98" s="40">
        <f t="shared" si="40"/>
        <v>1403.4778823902257</v>
      </c>
      <c r="N98" s="21">
        <f>-(Données!I$46*1E-24*H98+Données!F$46)*M98+Données!H$45*1E-24*H98*K98</f>
        <v>2.6953601428969301E-7</v>
      </c>
      <c r="O98" s="42">
        <f t="shared" si="41"/>
        <v>187.31375761154897</v>
      </c>
      <c r="P98" s="23">
        <f>-(Données!I$47*1E-24*H98+Données!F$47)*O98+(Données!H$46*1E-24*H98)*M98</f>
        <v>2.4753995552086592E-8</v>
      </c>
      <c r="Q98" s="40">
        <f t="shared" si="42"/>
        <v>106.10545688423267</v>
      </c>
      <c r="R98" s="43">
        <f>-(Données!I$48*1E-24*H98+Données!F$48)*Q98+Données!H$47*1E-24*H98*O98+(Données!I$49*1E-24*H98*S98)*0.85*0.16</f>
        <v>5.5819158517563656E-8</v>
      </c>
      <c r="S98" s="42">
        <f t="shared" si="43"/>
        <v>48.038100923005757</v>
      </c>
      <c r="T98" s="22">
        <f>-(Données!I$49*1E-24*H98+Données!F$49)*S98+Données!F$47*O98</f>
        <v>-1.4412310015015985E-8</v>
      </c>
      <c r="U98" s="28">
        <f t="shared" si="44"/>
        <v>4590.8746787361042</v>
      </c>
      <c r="V98" s="19"/>
      <c r="W98" s="40">
        <f t="shared" si="45"/>
        <v>21.623918570103363</v>
      </c>
      <c r="X98" s="21">
        <f>-(Données!I$50*1E-24*H98+Données!F$50)*W98+Données!F$45*K98</f>
        <v>-1.565998497624765E-7</v>
      </c>
      <c r="Y98" s="42">
        <f t="shared" si="46"/>
        <v>20751.087905061926</v>
      </c>
      <c r="Z98" s="23">
        <f>-(Données!I$51*1E-24*H98+Données!F$51)*Y98+Données!F$48*Q98</f>
        <v>-2.0356469280008624E-5</v>
      </c>
      <c r="AA98" s="15">
        <f t="shared" si="47"/>
        <v>20772.711823632031</v>
      </c>
    </row>
    <row r="99" spans="3:27" s="4" customFormat="1" ht="15" thickBot="1">
      <c r="C99" s="2"/>
      <c r="E99" s="20">
        <v>97</v>
      </c>
      <c r="F99" s="27">
        <f t="shared" si="36"/>
        <v>8.0833333333333339</v>
      </c>
      <c r="G99" s="18">
        <f t="shared" si="37"/>
        <v>254916000</v>
      </c>
      <c r="H99" s="75">
        <f>IF(F99&lt;Données!C$26/365,Données!C$30,0)</f>
        <v>3125923379334265</v>
      </c>
      <c r="I99" s="40">
        <f t="shared" si="38"/>
        <v>4.3551939056544624</v>
      </c>
      <c r="J99" s="21">
        <f>-(Données!I$44*1E-24*H99+Données!F$44)*I99</f>
        <v>-2.501389654857276E-8</v>
      </c>
      <c r="K99" s="42">
        <f t="shared" si="39"/>
        <v>2834.7932319919619</v>
      </c>
      <c r="L99" s="23">
        <f>-(Données!I$45*1E-24*H99+Données!F$45)*K99+(I99*Données!H$44*1E-24*H99)+(Données!H$51*1E-24*H99)*Y99</f>
        <v>-2.5563773221305891E-6</v>
      </c>
      <c r="M99" s="40">
        <f t="shared" si="40"/>
        <v>1404.186223035779</v>
      </c>
      <c r="N99" s="21">
        <f>-(Données!I$46*1E-24*H99+Données!F$46)*M99+Données!H$45*1E-24*H99*K99</f>
        <v>2.5793955815950925E-7</v>
      </c>
      <c r="O99" s="42">
        <f t="shared" si="41"/>
        <v>187.37881111185985</v>
      </c>
      <c r="P99" s="23">
        <f>-(Données!I$47*1E-24*H99+Données!F$47)*O99+(Données!H$46*1E-24*H99)*M99</f>
        <v>2.5077858329864616E-8</v>
      </c>
      <c r="Q99" s="40">
        <f t="shared" si="42"/>
        <v>106.25214963281682</v>
      </c>
      <c r="R99" s="43">
        <f>-(Données!I$48*1E-24*H99+Données!F$48)*Q99+Données!H$47*1E-24*H99*O99+(Données!I$49*1E-24*H99*S99)*0.85*0.16</f>
        <v>5.5535473091061577E-8</v>
      </c>
      <c r="S99" s="42">
        <f t="shared" si="43"/>
        <v>48.000225372286295</v>
      </c>
      <c r="T99" s="22">
        <f>-(Données!I$49*1E-24*H99+Données!F$49)*S99+Données!F$47*O99</f>
        <v>-1.4074528152123074E-8</v>
      </c>
      <c r="U99" s="28">
        <f t="shared" si="44"/>
        <v>4584.9658350503587</v>
      </c>
      <c r="V99" s="19"/>
      <c r="W99" s="40">
        <f t="shared" si="45"/>
        <v>21.212374164927574</v>
      </c>
      <c r="X99" s="21">
        <f>-(Données!I$50*1E-24*H99+Données!F$50)*W99+Données!F$45*K99</f>
        <v>-1.5357628529009161E-7</v>
      </c>
      <c r="Y99" s="42">
        <f t="shared" si="46"/>
        <v>20697.591103794064</v>
      </c>
      <c r="Z99" s="23">
        <f>-(Données!I$51*1E-24*H99+Données!F$51)*Y99+Données!F$48*Q99</f>
        <v>-2.0303989790369917E-5</v>
      </c>
      <c r="AA99" s="15">
        <f t="shared" si="47"/>
        <v>20718.803477958991</v>
      </c>
    </row>
    <row r="100" spans="3:27" s="4" customFormat="1" ht="15" thickBot="1">
      <c r="C100" s="2"/>
      <c r="E100" s="20">
        <v>98</v>
      </c>
      <c r="F100" s="27">
        <f t="shared" si="36"/>
        <v>8.1666666666666661</v>
      </c>
      <c r="G100" s="18">
        <f t="shared" si="37"/>
        <v>257544000</v>
      </c>
      <c r="H100" s="75">
        <f>IF(F100&lt;Données!C$26/365,Données!C$30,0)</f>
        <v>3125923379334265</v>
      </c>
      <c r="I100" s="40">
        <f t="shared" si="38"/>
        <v>4.2894573855248135</v>
      </c>
      <c r="J100" s="21">
        <f>-(Données!I$44*1E-24*H100+Données!F$44)*I100</f>
        <v>-2.4636341254914922E-8</v>
      </c>
      <c r="K100" s="42">
        <f t="shared" si="39"/>
        <v>2828.0750723894025</v>
      </c>
      <c r="L100" s="23">
        <f>-(Données!I$45*1E-24*H100+Données!F$45)*K100+(I100*Données!H$44*1E-24*H100)+(Données!H$51*1E-24*H100)*Y100</f>
        <v>-2.5539637432155122E-6</v>
      </c>
      <c r="M100" s="40">
        <f t="shared" si="40"/>
        <v>1404.8640881946221</v>
      </c>
      <c r="N100" s="21">
        <f>-(Données!I$46*1E-24*H100+Données!F$46)*M100+Données!H$45*1E-24*H100*K100</f>
        <v>2.4643482728459132E-7</v>
      </c>
      <c r="O100" s="42">
        <f t="shared" si="41"/>
        <v>187.44471572355073</v>
      </c>
      <c r="P100" s="23">
        <f>-(Données!I$47*1E-24*H100+Données!F$47)*O100+(Données!H$46*1E-24*H100)*M100</f>
        <v>2.5349242095376018E-8</v>
      </c>
      <c r="Q100" s="40">
        <f t="shared" si="42"/>
        <v>106.39809685610014</v>
      </c>
      <c r="R100" s="43">
        <f>-(Données!I$48*1E-24*H100+Données!F$48)*Q100+Données!H$47*1E-24*H100*O100+(Données!I$49*1E-24*H100*S100)*0.85*0.16</f>
        <v>5.5255479088697973E-8</v>
      </c>
      <c r="S100" s="42">
        <f t="shared" si="43"/>
        <v>47.963237512302513</v>
      </c>
      <c r="T100" s="22">
        <f>-(Données!I$49*1E-24*H100+Données!F$49)*S100+Données!F$47*O100</f>
        <v>-1.3741017630571718E-8</v>
      </c>
      <c r="U100" s="28">
        <f t="shared" si="44"/>
        <v>4579.034668061503</v>
      </c>
      <c r="V100" s="19"/>
      <c r="W100" s="40">
        <f t="shared" si="45"/>
        <v>20.808775687185214</v>
      </c>
      <c r="X100" s="21">
        <f>-(Données!I$50*1E-24*H100+Données!F$50)*W100+Données!F$45*K100</f>
        <v>-1.506112112873101E-7</v>
      </c>
      <c r="Y100" s="42">
        <f t="shared" si="46"/>
        <v>20644.232218624973</v>
      </c>
      <c r="Z100" s="23">
        <f>-(Données!I$51*1E-24*H100+Données!F$51)*Y100+Données!F$48*Q100</f>
        <v>-2.0251645594196558E-5</v>
      </c>
      <c r="AA100" s="15">
        <f t="shared" si="47"/>
        <v>20665.040994312159</v>
      </c>
    </row>
    <row r="101" spans="3:27" s="4" customFormat="1" ht="15" thickBot="1">
      <c r="C101" s="2"/>
      <c r="E101" s="20">
        <v>99</v>
      </c>
      <c r="F101" s="27">
        <f t="shared" si="36"/>
        <v>8.25</v>
      </c>
      <c r="G101" s="18">
        <f t="shared" si="37"/>
        <v>260172000</v>
      </c>
      <c r="H101" s="75">
        <f>IF(F101&lt;Données!C$26/365,Données!C$30,0)</f>
        <v>3125923379334265</v>
      </c>
      <c r="I101" s="40">
        <f t="shared" si="38"/>
        <v>4.2247130807068967</v>
      </c>
      <c r="J101" s="21">
        <f>-(Données!I$44*1E-24*H101+Données!F$44)*I101</f>
        <v>-2.4264484713528329E-8</v>
      </c>
      <c r="K101" s="42">
        <f t="shared" si="39"/>
        <v>2821.3632556722323</v>
      </c>
      <c r="L101" s="23">
        <f>-(Données!I$45*1E-24*H101+Données!F$45)*K101+(I101*Données!H$44*1E-24*H101)+(Données!H$51*1E-24*H101)*Y101</f>
        <v>-2.551478978135542E-6</v>
      </c>
      <c r="M101" s="40">
        <f t="shared" si="40"/>
        <v>1405.511718920726</v>
      </c>
      <c r="N101" s="21">
        <f>-(Données!I$46*1E-24*H101+Données!F$46)*M101+Données!H$45*1E-24*H101*K101</f>
        <v>2.3502144136041975E-7</v>
      </c>
      <c r="O101" s="42">
        <f t="shared" si="41"/>
        <v>187.51133353177738</v>
      </c>
      <c r="P101" s="23">
        <f>-(Données!I$47*1E-24*H101+Données!F$47)*O101+(Données!H$46*1E-24*H101)*M101</f>
        <v>2.5569947294621514E-8</v>
      </c>
      <c r="Q101" s="40">
        <f t="shared" si="42"/>
        <v>106.54330825514523</v>
      </c>
      <c r="R101" s="43">
        <f>-(Données!I$48*1E-24*H101+Données!F$48)*Q101+Données!H$47*1E-24*H101*O101+(Données!I$49*1E-24*H101*S101)*0.85*0.16</f>
        <v>5.4978950529444882E-8</v>
      </c>
      <c r="S101" s="42">
        <f t="shared" si="43"/>
        <v>47.927126117969372</v>
      </c>
      <c r="T101" s="22">
        <f>-(Données!I$49*1E-24*H101+Données!F$49)*S101+Données!F$47*O101</f>
        <v>-1.3411919534174749E-8</v>
      </c>
      <c r="U101" s="28">
        <f t="shared" si="44"/>
        <v>4573.0814555785573</v>
      </c>
      <c r="V101" s="19"/>
      <c r="W101" s="40">
        <f t="shared" si="45"/>
        <v>20.412969423922164</v>
      </c>
      <c r="X101" s="21">
        <f>-(Données!I$50*1E-24*H101+Données!F$50)*W101+Données!F$45*K101</f>
        <v>-1.4770349598047598E-7</v>
      </c>
      <c r="Y101" s="42">
        <f t="shared" si="46"/>
        <v>20591.010894003426</v>
      </c>
      <c r="Z101" s="23">
        <f>-(Données!I$51*1E-24*H101+Données!F$51)*Y101+Données!F$48*Q101</f>
        <v>-2.0199436342698069E-5</v>
      </c>
      <c r="AA101" s="15">
        <f t="shared" si="47"/>
        <v>20611.42386342735</v>
      </c>
    </row>
    <row r="102" spans="3:27" s="4" customFormat="1" ht="15" thickBot="1">
      <c r="C102" s="2"/>
      <c r="E102" s="20">
        <v>100</v>
      </c>
      <c r="F102" s="27">
        <f t="shared" si="36"/>
        <v>8.3333333333333339</v>
      </c>
      <c r="G102" s="18">
        <f t="shared" si="37"/>
        <v>262800000</v>
      </c>
      <c r="H102" s="75">
        <f>IF(F102&lt;Données!C$26/365,Données!C$30,0)</f>
        <v>3125923379334265</v>
      </c>
      <c r="I102" s="40">
        <f t="shared" si="38"/>
        <v>4.1609460148797446</v>
      </c>
      <c r="J102" s="21">
        <f>-(Données!I$44*1E-24*H102+Données!F$44)*I102</f>
        <v>-2.3898240908462497E-8</v>
      </c>
      <c r="K102" s="42">
        <f t="shared" si="39"/>
        <v>2814.657968917692</v>
      </c>
      <c r="L102" s="23">
        <f>-(Données!I$45*1E-24*H102+Données!F$45)*K102+(I102*Données!H$44*1E-24*H102)+(Données!H$51*1E-24*H102)*Y102</f>
        <v>-2.5489246405886505E-6</v>
      </c>
      <c r="M102" s="40">
        <f t="shared" si="40"/>
        <v>1406.1293552686211</v>
      </c>
      <c r="N102" s="21">
        <f>-(Données!I$46*1E-24*H102+Données!F$46)*M102+Données!H$45*1E-24*H102*K102</f>
        <v>2.2369901658436369E-7</v>
      </c>
      <c r="O102" s="42">
        <f t="shared" si="41"/>
        <v>187.57853135326764</v>
      </c>
      <c r="P102" s="23">
        <f>-(Données!I$47*1E-24*H102+Données!F$47)*O102+(Données!H$46*1E-24*H102)*M102</f>
        <v>2.5741722979779491E-8</v>
      </c>
      <c r="Q102" s="40">
        <f t="shared" si="42"/>
        <v>106.68779293713662</v>
      </c>
      <c r="R102" s="43">
        <f>-(Données!I$48*1E-24*H102+Données!F$48)*Q102+Données!H$47*1E-24*H102*O102+(Données!I$49*1E-24*H102*S102)*0.85*0.16</f>
        <v>5.4705669154949058E-8</v>
      </c>
      <c r="S102" s="42">
        <f t="shared" si="43"/>
        <v>47.891879593433558</v>
      </c>
      <c r="T102" s="22">
        <f>-(Données!I$49*1E-24*H102+Données!F$49)*S102+Données!F$47*O102</f>
        <v>-1.3087365357372773E-8</v>
      </c>
      <c r="U102" s="28">
        <f t="shared" si="44"/>
        <v>4567.1064740850306</v>
      </c>
      <c r="V102" s="19"/>
      <c r="W102" s="40">
        <f t="shared" si="45"/>
        <v>20.024804636485474</v>
      </c>
      <c r="X102" s="21">
        <f>-(Données!I$50*1E-24*H102+Données!F$50)*W102+Données!F$45*K102</f>
        <v>-1.4485202949599034E-7</v>
      </c>
      <c r="Y102" s="42">
        <f t="shared" si="46"/>
        <v>20537.926775294814</v>
      </c>
      <c r="Z102" s="23">
        <f>-(Données!I$51*1E-24*H102+Données!F$51)*Y102+Données!F$48*Q102</f>
        <v>-2.0147361687983216E-5</v>
      </c>
      <c r="AA102" s="15">
        <f t="shared" si="47"/>
        <v>20557.951579931301</v>
      </c>
    </row>
    <row r="103" spans="3:27" s="4" customFormat="1" ht="15" thickBot="1">
      <c r="C103" s="2"/>
      <c r="E103" s="20">
        <v>101</v>
      </c>
      <c r="F103" s="27">
        <f t="shared" si="36"/>
        <v>8.4166666666666661</v>
      </c>
      <c r="G103" s="18">
        <f t="shared" si="37"/>
        <v>265428000</v>
      </c>
      <c r="H103" s="75">
        <f>IF(F103&lt;Données!C$26/365,Données!C$30,0)</f>
        <v>3125923379334265</v>
      </c>
      <c r="I103" s="40">
        <f t="shared" si="38"/>
        <v>4.0981414377723056</v>
      </c>
      <c r="J103" s="21">
        <f>-(Données!I$44*1E-24*H103+Données!F$44)*I103</f>
        <v>-2.353752512207634E-8</v>
      </c>
      <c r="K103" s="42">
        <f t="shared" si="39"/>
        <v>2807.9593949622249</v>
      </c>
      <c r="L103" s="23">
        <f>-(Données!I$45*1E-24*H103+Données!F$45)*K103+(I103*Données!H$44*1E-24*H103)+(Données!H$51*1E-24*H103)*Y103</f>
        <v>-2.5463023137546495E-6</v>
      </c>
      <c r="M103" s="40">
        <f t="shared" si="40"/>
        <v>1406.7172362842048</v>
      </c>
      <c r="N103" s="21">
        <f>-(Données!I$46*1E-24*H103+Données!F$46)*M103+Données!H$45*1E-24*H103*K103</f>
        <v>2.1246716579818655E-7</v>
      </c>
      <c r="O103" s="42">
        <f t="shared" si="41"/>
        <v>187.64618060125849</v>
      </c>
      <c r="P103" s="23">
        <f>-(Données!I$47*1E-24*H103+Données!F$47)*O103+(Données!H$46*1E-24*H103)*M103</f>
        <v>2.5866268222410173E-8</v>
      </c>
      <c r="Q103" s="40">
        <f t="shared" si="42"/>
        <v>106.83155943567583</v>
      </c>
      <c r="R103" s="43">
        <f>-(Données!I$48*1E-24*H103+Données!F$48)*Q103+Données!H$47*1E-24*H103*O103+(Données!I$49*1E-24*H103*S103)*0.85*0.16</f>
        <v>5.4435424213661487E-8</v>
      </c>
      <c r="S103" s="42">
        <f t="shared" si="43"/>
        <v>47.857485997274381</v>
      </c>
      <c r="T103" s="22">
        <f>-(Données!I$49*1E-24*H103+Données!F$49)*S103+Données!F$47*O103</f>
        <v>-1.27674773708021E-8</v>
      </c>
      <c r="U103" s="28">
        <f t="shared" si="44"/>
        <v>4561.1099987184107</v>
      </c>
      <c r="V103" s="19"/>
      <c r="W103" s="40">
        <f t="shared" si="45"/>
        <v>19.644133502970011</v>
      </c>
      <c r="X103" s="21">
        <f>-(Données!I$50*1E-24*H103+Données!F$50)*W103+Données!F$45*K103</f>
        <v>-1.4205572343654211E-7</v>
      </c>
      <c r="Y103" s="42">
        <f t="shared" si="46"/>
        <v>20484.979508778793</v>
      </c>
      <c r="Z103" s="23">
        <f>-(Données!I$51*1E-24*H103+Données!F$51)*Y103+Données!F$48*Q103</f>
        <v>-2.009542128305766E-5</v>
      </c>
      <c r="AA103" s="15">
        <f t="shared" si="47"/>
        <v>20504.623642281764</v>
      </c>
    </row>
    <row r="104" spans="3:27" s="4" customFormat="1" ht="15" thickBot="1">
      <c r="C104" s="2"/>
      <c r="E104" s="20">
        <v>102</v>
      </c>
      <c r="F104" s="27">
        <f t="shared" si="36"/>
        <v>8.5</v>
      </c>
      <c r="G104" s="18">
        <f t="shared" si="37"/>
        <v>268056000</v>
      </c>
      <c r="H104" s="75">
        <f>IF(F104&lt;Données!C$26/365,Données!C$30,0)</f>
        <v>3125923379334265</v>
      </c>
      <c r="I104" s="40">
        <f t="shared" si="38"/>
        <v>4.0362848217514893</v>
      </c>
      <c r="J104" s="21">
        <f>-(Données!I$44*1E-24*H104+Données!F$44)*I104</f>
        <v>-2.3182253915441747E-8</v>
      </c>
      <c r="K104" s="42">
        <f t="shared" si="39"/>
        <v>2801.2677124816778</v>
      </c>
      <c r="L104" s="23">
        <f>-(Données!I$45*1E-24*H104+Données!F$45)*K104+(I104*Données!H$44*1E-24*H104)+(Données!H$51*1E-24*H104)*Y104</f>
        <v>-2.5436135508586812E-6</v>
      </c>
      <c r="M104" s="40">
        <f t="shared" si="40"/>
        <v>1407.2755999959224</v>
      </c>
      <c r="N104" s="21">
        <f>-(Données!I$46*1E-24*H104+Données!F$46)*M104+Données!H$45*1E-24*H104*K104</f>
        <v>2.0132549862736516E-7</v>
      </c>
      <c r="O104" s="42">
        <f t="shared" si="41"/>
        <v>187.71415715414699</v>
      </c>
      <c r="P104" s="23">
        <f>-(Données!I$47*1E-24*H104+Données!F$47)*O104+(Données!H$46*1E-24*H104)*M104</f>
        <v>2.5945233487978338E-8</v>
      </c>
      <c r="Q104" s="40">
        <f t="shared" si="42"/>
        <v>106.97461573050933</v>
      </c>
      <c r="R104" s="43">
        <f>-(Données!I$48*1E-24*H104+Données!F$48)*Q104+Données!H$47*1E-24*H104*O104+(Données!I$49*1E-24*H104*S104)*0.85*0.16</f>
        <v>5.4168012250695881E-8</v>
      </c>
      <c r="S104" s="42">
        <f t="shared" si="43"/>
        <v>47.823933066743912</v>
      </c>
      <c r="T104" s="22">
        <f>-(Données!I$49*1E-24*H104+Données!F$49)*S104+Données!F$47*O104</f>
        <v>-1.2452368975127513E-8</v>
      </c>
      <c r="U104" s="28">
        <f t="shared" si="44"/>
        <v>4555.0923032507517</v>
      </c>
      <c r="V104" s="19"/>
      <c r="W104" s="40">
        <f t="shared" si="45"/>
        <v>19.27081106177878</v>
      </c>
      <c r="X104" s="21">
        <f>-(Données!I$50*1E-24*H104+Données!F$50)*W104+Données!F$45*K104</f>
        <v>-1.3931351046553934E-7</v>
      </c>
      <c r="Y104" s="42">
        <f t="shared" si="46"/>
        <v>20432.168741646918</v>
      </c>
      <c r="Z104" s="23">
        <f>-(Données!I$51*1E-24*H104+Données!F$51)*Y104+Données!F$48*Q104</f>
        <v>-2.004361478182166E-5</v>
      </c>
      <c r="AA104" s="15">
        <f t="shared" si="47"/>
        <v>20451.439552708696</v>
      </c>
    </row>
    <row r="105" spans="3:27" s="4" customFormat="1" ht="15" thickBot="1">
      <c r="C105" s="2"/>
      <c r="E105" s="20">
        <v>103</v>
      </c>
      <c r="F105" s="27">
        <f t="shared" si="36"/>
        <v>8.5833333333333339</v>
      </c>
      <c r="G105" s="18">
        <f t="shared" si="37"/>
        <v>270684000</v>
      </c>
      <c r="H105" s="75">
        <f>IF(F105&lt;Données!C$26/365,Données!C$30,0)</f>
        <v>3125923379334265</v>
      </c>
      <c r="I105" s="40">
        <f t="shared" si="38"/>
        <v>3.9753618584617083</v>
      </c>
      <c r="J105" s="21">
        <f>-(Données!I$44*1E-24*H105+Données!F$44)*I105</f>
        <v>-2.2832345109042902E-8</v>
      </c>
      <c r="K105" s="42">
        <f t="shared" si="39"/>
        <v>2794.5830960700214</v>
      </c>
      <c r="L105" s="23">
        <f>-(Données!I$45*1E-24*H105+Données!F$45)*K105+(I105*Données!H$44*1E-24*H105)+(Données!H$51*1E-24*H105)*Y105</f>
        <v>-2.5408598757243003E-6</v>
      </c>
      <c r="M105" s="40">
        <f t="shared" si="40"/>
        <v>1407.8046834063152</v>
      </c>
      <c r="N105" s="21">
        <f>-(Données!I$46*1E-24*H105+Données!F$46)*M105+Données!H$45*1E-24*H105*K105</f>
        <v>1.902736216172791E-7</v>
      </c>
      <c r="O105" s="42">
        <f t="shared" si="41"/>
        <v>187.78234122775339</v>
      </c>
      <c r="P105" s="23">
        <f>-(Données!I$47*1E-24*H105+Données!F$47)*O105+(Données!H$46*1E-24*H105)*M105</f>
        <v>2.5980221972749557E-8</v>
      </c>
      <c r="Q105" s="40">
        <f t="shared" si="42"/>
        <v>107.11696926670416</v>
      </c>
      <c r="R105" s="43">
        <f>-(Données!I$48*1E-24*H105+Données!F$48)*Q105+Données!H$47*1E-24*H105*O105+(Données!I$49*1E-24*H105*S105)*0.85*0.16</f>
        <v>5.3903236903266782E-8</v>
      </c>
      <c r="S105" s="42">
        <f t="shared" si="43"/>
        <v>47.791208241077278</v>
      </c>
      <c r="T105" s="22">
        <f>-(Données!I$49*1E-24*H105+Données!F$49)*S105+Données!F$47*O105</f>
        <v>-1.2142145043490748E-8</v>
      </c>
      <c r="U105" s="28">
        <f t="shared" si="44"/>
        <v>4549.0536600703335</v>
      </c>
      <c r="V105" s="19"/>
      <c r="W105" s="40">
        <f t="shared" si="45"/>
        <v>18.904695156275341</v>
      </c>
      <c r="X105" s="21">
        <f>-(Données!I$50*1E-24*H105+Données!F$50)*W105+Données!F$45*K105</f>
        <v>-1.3662434389958122E-7</v>
      </c>
      <c r="Y105" s="42">
        <f t="shared" si="46"/>
        <v>20379.494122000291</v>
      </c>
      <c r="Z105" s="23">
        <f>-(Données!I$51*1E-24*H105+Données!F$51)*Y105+Données!F$48*Q105</f>
        <v>-1.9991941839067761E-5</v>
      </c>
      <c r="AA105" s="15">
        <f t="shared" si="47"/>
        <v>20398.398817156565</v>
      </c>
    </row>
    <row r="106" spans="3:27" s="4" customFormat="1" ht="15" thickBot="1">
      <c r="C106" s="2"/>
      <c r="E106" s="20">
        <v>104</v>
      </c>
      <c r="F106" s="27">
        <f t="shared" si="36"/>
        <v>8.6666666666666661</v>
      </c>
      <c r="G106" s="18">
        <f t="shared" si="37"/>
        <v>273312000</v>
      </c>
      <c r="H106" s="75">
        <f>IF(F106&lt;Données!C$26/365,Données!C$30,0)</f>
        <v>3125923379334265</v>
      </c>
      <c r="I106" s="40">
        <f t="shared" si="38"/>
        <v>3.9153584555151437</v>
      </c>
      <c r="J106" s="21">
        <f>-(Données!I$44*1E-24*H106+Données!F$44)*I106</f>
        <v>-2.2487717763766953E-8</v>
      </c>
      <c r="K106" s="42">
        <f t="shared" si="39"/>
        <v>2787.9057163166181</v>
      </c>
      <c r="L106" s="23">
        <f>-(Données!I$45*1E-24*H106+Données!F$45)*K106+(I106*Données!H$44*1E-24*H106)+(Données!H$51*1E-24*H106)*Y106</f>
        <v>-2.5380427833164828E-6</v>
      </c>
      <c r="M106" s="40">
        <f t="shared" si="40"/>
        <v>1408.3047224839254</v>
      </c>
      <c r="N106" s="21">
        <f>-(Données!I$46*1E-24*H106+Données!F$46)*M106+Données!H$45*1E-24*H106*K106</f>
        <v>1.7931113836635242E-7</v>
      </c>
      <c r="O106" s="42">
        <f t="shared" si="41"/>
        <v>187.85061725109779</v>
      </c>
      <c r="P106" s="23">
        <f>-(Données!I$47*1E-24*H106+Données!F$47)*O106+(Données!H$46*1E-24*H106)*M106</f>
        <v>2.5972790904093768E-8</v>
      </c>
      <c r="Q106" s="40">
        <f t="shared" si="42"/>
        <v>107.25862697328594</v>
      </c>
      <c r="R106" s="43">
        <f>-(Données!I$48*1E-24*H106+Données!F$48)*Q106+Données!H$47*1E-24*H106*O106+(Données!I$49*1E-24*H106*S106)*0.85*0.16</f>
        <v>5.3640908701558692E-8</v>
      </c>
      <c r="S106" s="42">
        <f t="shared" si="43"/>
        <v>47.759298683902983</v>
      </c>
      <c r="T106" s="22">
        <f>-(Données!I$49*1E-24*H106+Données!F$49)*S106+Données!F$47*O106</f>
        <v>-1.1836902252913679E-8</v>
      </c>
      <c r="U106" s="28">
        <f t="shared" si="44"/>
        <v>4542.994340164345</v>
      </c>
      <c r="V106" s="19"/>
      <c r="W106" s="40">
        <f t="shared" si="45"/>
        <v>18.545646380507243</v>
      </c>
      <c r="X106" s="21">
        <f>-(Données!I$50*1E-24*H106+Données!F$50)*W106+Données!F$45*K106</f>
        <v>-1.3398719730881619E-7</v>
      </c>
      <c r="Y106" s="42">
        <f t="shared" si="46"/>
        <v>20326.955298847221</v>
      </c>
      <c r="Z106" s="23">
        <f>-(Données!I$51*1E-24*H106+Données!F$51)*Y106+Données!F$48*Q106</f>
        <v>-1.9940402110478475E-5</v>
      </c>
      <c r="AA106" s="15">
        <f t="shared" si="47"/>
        <v>20345.500945227726</v>
      </c>
    </row>
    <row r="107" spans="3:27" s="4" customFormat="1" ht="15" thickBot="1">
      <c r="C107" s="2"/>
      <c r="E107" s="20">
        <v>105</v>
      </c>
      <c r="F107" s="27">
        <f t="shared" si="36"/>
        <v>8.75</v>
      </c>
      <c r="G107" s="18">
        <f t="shared" si="37"/>
        <v>275940000</v>
      </c>
      <c r="H107" s="75">
        <f>IF(F107&lt;Données!C$26/365,Données!C$30,0)</f>
        <v>3125923379334265</v>
      </c>
      <c r="I107" s="40">
        <f t="shared" si="38"/>
        <v>3.8562607332319643</v>
      </c>
      <c r="J107" s="21">
        <f>-(Données!I$44*1E-24*H107+Données!F$44)*I107</f>
        <v>-2.2148292162181575E-8</v>
      </c>
      <c r="K107" s="42">
        <f t="shared" si="39"/>
        <v>2781.2357398820623</v>
      </c>
      <c r="L107" s="23">
        <f>-(Données!I$45*1E-24*H107+Données!F$45)*K107+(I107*Données!H$44*1E-24*H107)+(Données!H$51*1E-24*H107)*Y107</f>
        <v>-2.5351637402745319E-6</v>
      </c>
      <c r="M107" s="40">
        <f t="shared" si="40"/>
        <v>1408.7759521555522</v>
      </c>
      <c r="N107" s="21">
        <f>-(Données!I$46*1E-24*H107+Données!F$46)*M107+Données!H$45*1E-24*H107*K107</f>
        <v>1.6843764965616216E-7</v>
      </c>
      <c r="O107" s="42">
        <f t="shared" si="41"/>
        <v>187.91887374559374</v>
      </c>
      <c r="P107" s="23">
        <f>-(Données!I$47*1E-24*H107+Données!F$47)*O107+(Données!H$46*1E-24*H107)*M107</f>
        <v>2.5924452805202873E-8</v>
      </c>
      <c r="Q107" s="40">
        <f t="shared" si="42"/>
        <v>107.39959528135364</v>
      </c>
      <c r="R107" s="43">
        <f>-(Données!I$48*1E-24*H107+Données!F$48)*Q107+Données!H$47*1E-24*H107*O107+(Données!I$49*1E-24*H107*S107)*0.85*0.16</f>
        <v>5.3380844874881091E-8</v>
      </c>
      <c r="S107" s="42">
        <f t="shared" si="43"/>
        <v>47.728191304782328</v>
      </c>
      <c r="T107" s="22">
        <f>-(Données!I$49*1E-24*H107+Données!F$49)*S107+Données!F$47*O107</f>
        <v>-1.1536729404986571E-8</v>
      </c>
      <c r="U107" s="28">
        <f t="shared" si="44"/>
        <v>4536.9146131025764</v>
      </c>
      <c r="V107" s="19"/>
      <c r="W107" s="40">
        <f t="shared" si="45"/>
        <v>18.193528025979674</v>
      </c>
      <c r="X107" s="21">
        <f>-(Données!I$50*1E-24*H107+Données!F$50)*W107+Données!F$45*K107</f>
        <v>-1.3140106412503267E-7</v>
      </c>
      <c r="Y107" s="42">
        <f t="shared" si="46"/>
        <v>20274.551922100884</v>
      </c>
      <c r="Z107" s="23">
        <f>-(Données!I$51*1E-24*H107+Données!F$51)*Y107+Données!F$48*Q107</f>
        <v>-1.9888995252624031E-5</v>
      </c>
      <c r="AA107" s="15">
        <f t="shared" si="47"/>
        <v>20292.745450126862</v>
      </c>
    </row>
    <row r="108" spans="3:27" s="4" customFormat="1" ht="15" thickBot="1">
      <c r="C108" s="2"/>
      <c r="E108" s="20">
        <v>106</v>
      </c>
      <c r="F108" s="27">
        <f t="shared" si="36"/>
        <v>8.8333333333333339</v>
      </c>
      <c r="G108" s="18">
        <f t="shared" si="37"/>
        <v>278568000</v>
      </c>
      <c r="H108" s="75">
        <f>IF(F108&lt;Données!C$26/365,Données!C$30,0)</f>
        <v>3125923379334265</v>
      </c>
      <c r="I108" s="40">
        <f t="shared" si="38"/>
        <v>3.798055021429751</v>
      </c>
      <c r="J108" s="21">
        <f>-(Données!I$44*1E-24*H108+Données!F$44)*I108</f>
        <v>-2.1813989790095157E-8</v>
      </c>
      <c r="K108" s="42">
        <f t="shared" si="39"/>
        <v>2774.5733295726209</v>
      </c>
      <c r="L108" s="23">
        <f>-(Données!I$45*1E-24*H108+Données!F$45)*K108+(I108*Données!H$44*1E-24*H108)+(Données!H$51*1E-24*H108)*Y108</f>
        <v>-2.5322241854353411E-6</v>
      </c>
      <c r="M108" s="40">
        <f t="shared" si="40"/>
        <v>1409.2186062988485</v>
      </c>
      <c r="N108" s="21">
        <f>-(Données!I$46*1E-24*H108+Données!F$46)*M108+Données!H$45*1E-24*H108*K108</f>
        <v>1.5765275357864062E-7</v>
      </c>
      <c r="O108" s="42">
        <f t="shared" si="41"/>
        <v>187.98700320756581</v>
      </c>
      <c r="P108" s="23">
        <f>-(Données!I$47*1E-24*H108+Données!F$47)*O108+(Données!H$46*1E-24*H108)*M108</f>
        <v>2.5836676725196454E-8</v>
      </c>
      <c r="Q108" s="40">
        <f t="shared" si="42"/>
        <v>107.53988014168483</v>
      </c>
      <c r="R108" s="43">
        <f>-(Données!I$48*1E-24*H108+Données!F$48)*Q108+Données!H$47*1E-24*H108*O108+(Données!I$49*1E-24*H108*S108)*0.85*0.16</f>
        <v>5.3122869162971839E-8</v>
      </c>
      <c r="S108" s="42">
        <f t="shared" si="43"/>
        <v>47.697872779906021</v>
      </c>
      <c r="T108" s="22">
        <f>-(Données!I$49*1E-24*H108+Données!F$49)*S108+Données!F$47*O108</f>
        <v>-1.1241707736161613E-8</v>
      </c>
      <c r="U108" s="28">
        <f t="shared" si="44"/>
        <v>4530.8147470220556</v>
      </c>
      <c r="V108" s="19"/>
      <c r="W108" s="40">
        <f t="shared" si="45"/>
        <v>17.848206029459089</v>
      </c>
      <c r="X108" s="21">
        <f>-(Données!I$50*1E-24*H108+Données!F$50)*W108+Données!F$45*K108</f>
        <v>-1.2886495725733365E-7</v>
      </c>
      <c r="Y108" s="42">
        <f t="shared" si="46"/>
        <v>20222.283642576989</v>
      </c>
      <c r="Z108" s="23">
        <f>-(Données!I$51*1E-24*H108+Données!F$51)*Y108+Données!F$48*Q108</f>
        <v>-1.9837720922960035E-5</v>
      </c>
      <c r="AA108" s="15">
        <f t="shared" si="47"/>
        <v>20240.131848606448</v>
      </c>
    </row>
    <row r="109" spans="3:27" s="4" customFormat="1" ht="15" thickBot="1">
      <c r="C109" s="2"/>
      <c r="E109" s="20">
        <v>107</v>
      </c>
      <c r="F109" s="27">
        <f t="shared" si="36"/>
        <v>8.9166666666666661</v>
      </c>
      <c r="G109" s="18">
        <f t="shared" si="37"/>
        <v>281196000</v>
      </c>
      <c r="H109" s="75">
        <f>IF(F109&lt;Données!C$26/365,Données!C$30,0)</f>
        <v>3125923379334265</v>
      </c>
      <c r="I109" s="40">
        <f t="shared" si="38"/>
        <v>3.740727856261381</v>
      </c>
      <c r="J109" s="21">
        <f>-(Données!I$44*1E-24*H109+Données!F$44)*I109</f>
        <v>-2.1484733318395292E-8</v>
      </c>
      <c r="K109" s="42">
        <f t="shared" si="39"/>
        <v>2767.918644413297</v>
      </c>
      <c r="L109" s="23">
        <f>-(Données!I$45*1E-24*H109+Données!F$45)*K109+(I109*Données!H$44*1E-24*H109)+(Données!H$51*1E-24*H109)*Y109</f>
        <v>-2.5292255303468756E-6</v>
      </c>
      <c r="M109" s="40">
        <f t="shared" si="40"/>
        <v>1409.6329177352532</v>
      </c>
      <c r="N109" s="21">
        <f>-(Données!I$46*1E-24*H109+Données!F$46)*M109+Données!H$45*1E-24*H109*K109</f>
        <v>1.4695604566035211E-7</v>
      </c>
      <c r="O109" s="42">
        <f t="shared" si="41"/>
        <v>188.05490199399964</v>
      </c>
      <c r="P109" s="23">
        <f>-(Données!I$47*1E-24*H109+Données!F$47)*O109+(Données!H$46*1E-24*H109)*M109</f>
        <v>2.5710889435563008E-8</v>
      </c>
      <c r="Q109" s="40">
        <f t="shared" si="42"/>
        <v>107.67948704184512</v>
      </c>
      <c r="R109" s="43">
        <f>-(Données!I$48*1E-24*H109+Données!F$48)*Q109+Données!H$47*1E-24*H109*O109+(Données!I$49*1E-24*H109*S109)*0.85*0.16</f>
        <v>5.2866811632309978E-8</v>
      </c>
      <c r="S109" s="42">
        <f t="shared" si="43"/>
        <v>47.668329571975391</v>
      </c>
      <c r="T109" s="22">
        <f>-(Données!I$49*1E-24*H109+Données!F$49)*S109+Données!F$47*O109</f>
        <v>-1.0951911217963043E-8</v>
      </c>
      <c r="U109" s="28">
        <f t="shared" si="44"/>
        <v>4524.6950086126326</v>
      </c>
      <c r="V109" s="19"/>
      <c r="W109" s="40">
        <f t="shared" si="45"/>
        <v>17.509548921786816</v>
      </c>
      <c r="X109" s="21">
        <f>-(Données!I$50*1E-24*H109+Données!F$50)*W109+Données!F$45*K109</f>
        <v>-1.2637790871524781E-7</v>
      </c>
      <c r="Y109" s="42">
        <f t="shared" si="46"/>
        <v>20170.15011199145</v>
      </c>
      <c r="Z109" s="23">
        <f>-(Données!I$51*1E-24*H109+Données!F$51)*Y109+Données!F$48*Q109</f>
        <v>-1.9786578779825214E-5</v>
      </c>
      <c r="AA109" s="15">
        <f t="shared" si="47"/>
        <v>20187.659660913236</v>
      </c>
    </row>
    <row r="110" spans="3:27" s="4" customFormat="1" ht="15" thickBot="1">
      <c r="C110" s="2"/>
      <c r="E110" s="20">
        <v>108</v>
      </c>
      <c r="F110" s="27">
        <f t="shared" si="36"/>
        <v>9</v>
      </c>
      <c r="G110" s="18">
        <f t="shared" si="37"/>
        <v>283824000</v>
      </c>
      <c r="H110" s="75">
        <f>IF(F110&lt;Données!C$26/365,Données!C$30,0)</f>
        <v>3125923379334265</v>
      </c>
      <c r="I110" s="40">
        <f t="shared" si="38"/>
        <v>3.6842659771006381</v>
      </c>
      <c r="J110" s="21">
        <f>-(Données!I$44*1E-24*H110+Données!F$44)*I110</f>
        <v>-2.1160446585161398E-8</v>
      </c>
      <c r="K110" s="42">
        <f t="shared" si="39"/>
        <v>2761.2718397195454</v>
      </c>
      <c r="L110" s="23">
        <f>-(Données!I$45*1E-24*H110+Données!F$45)*K110+(I110*Données!H$44*1E-24*H110)+(Données!H$51*1E-24*H110)*Y110</f>
        <v>-2.5261691597723806E-6</v>
      </c>
      <c r="M110" s="40">
        <f t="shared" si="40"/>
        <v>1410.0191182232486</v>
      </c>
      <c r="N110" s="21">
        <f>-(Données!I$46*1E-24*H110+Données!F$46)*M110+Données!H$45*1E-24*H110*K110</f>
        <v>1.3634711898397266E-7</v>
      </c>
      <c r="O110" s="42">
        <f t="shared" si="41"/>
        <v>188.12247021143631</v>
      </c>
      <c r="P110" s="23">
        <f>-(Données!I$47*1E-24*H110+Données!F$47)*O110+(Données!H$46*1E-24*H110)*M110</f>
        <v>2.5548476593865061E-8</v>
      </c>
      <c r="Q110" s="40">
        <f t="shared" si="42"/>
        <v>107.81842102281483</v>
      </c>
      <c r="R110" s="43">
        <f>-(Données!I$48*1E-24*H110+Données!F$48)*Q110+Données!H$47*1E-24*H110*O110+(Données!I$49*1E-24*H110*S110)*0.85*0.16</f>
        <v>5.2612508497307077E-8</v>
      </c>
      <c r="S110" s="42">
        <f t="shared" si="43"/>
        <v>47.639547949294581</v>
      </c>
      <c r="T110" s="22">
        <f>-(Données!I$49*1E-24*H110+Données!F$49)*S110+Données!F$47*O110</f>
        <v>-1.0667406847415584E-8</v>
      </c>
      <c r="U110" s="28">
        <f t="shared" si="44"/>
        <v>4518.5556631034397</v>
      </c>
      <c r="V110" s="19"/>
      <c r="W110" s="40">
        <f t="shared" si="45"/>
        <v>17.177427777683146</v>
      </c>
      <c r="X110" s="21">
        <f>-(Données!I$50*1E-24*H110+Données!F$50)*W110+Données!F$45*K110</f>
        <v>-1.2393896923913315E-7</v>
      </c>
      <c r="Y110" s="42">
        <f t="shared" si="46"/>
        <v>20118.150982958068</v>
      </c>
      <c r="Z110" s="23">
        <f>-(Données!I$51*1E-24*H110+Données!F$51)*Y110+Données!F$48*Q110</f>
        <v>-1.9735568482439128E-5</v>
      </c>
      <c r="AA110" s="15">
        <f t="shared" si="47"/>
        <v>20135.32841073575</v>
      </c>
    </row>
    <row r="111" spans="3:27" s="4" customFormat="1" ht="15" thickBot="1">
      <c r="C111" s="2"/>
      <c r="E111" s="20">
        <v>109</v>
      </c>
      <c r="F111" s="27">
        <f t="shared" si="36"/>
        <v>9.0833333333333339</v>
      </c>
      <c r="G111" s="18">
        <f t="shared" si="37"/>
        <v>286452000</v>
      </c>
      <c r="H111" s="75">
        <f>IF(F111&lt;Données!C$26/365,Données!C$30,0)</f>
        <v>3125923379334265</v>
      </c>
      <c r="I111" s="40">
        <f t="shared" si="38"/>
        <v>3.6286563234748339</v>
      </c>
      <c r="J111" s="21">
        <f>-(Données!I$44*1E-24*H111+Données!F$44)*I111</f>
        <v>-2.0841054578047356E-8</v>
      </c>
      <c r="K111" s="42">
        <f t="shared" si="39"/>
        <v>2754.6330671676637</v>
      </c>
      <c r="L111" s="23">
        <f>-(Données!I$45*1E-24*H111+Données!F$45)*K111+(I111*Données!H$44*1E-24*H111)+(Données!H$51*1E-24*H111)*Y111</f>
        <v>-2.5230564321851605E-6</v>
      </c>
      <c r="M111" s="40">
        <f t="shared" si="40"/>
        <v>1410.3774384519386</v>
      </c>
      <c r="N111" s="21">
        <f>-(Données!I$46*1E-24*H111+Données!F$46)*M111+Données!H$45*1E-24*H111*K111</f>
        <v>1.2582556430697883E-7</v>
      </c>
      <c r="O111" s="42">
        <f t="shared" si="41"/>
        <v>188.18961160792497</v>
      </c>
      <c r="P111" s="23">
        <f>-(Données!I$47*1E-24*H111+Données!F$47)*O111+(Données!H$46*1E-24*H111)*M111</f>
        <v>2.5350783875605149E-8</v>
      </c>
      <c r="Q111" s="40">
        <f t="shared" si="42"/>
        <v>107.95668669514575</v>
      </c>
      <c r="R111" s="43">
        <f>-(Données!I$48*1E-24*H111+Données!F$48)*Q111+Données!H$47*1E-24*H111*O111+(Données!I$49*1E-24*H111*S111)*0.85*0.16</f>
        <v>5.2359801946247544E-8</v>
      </c>
      <c r="S111" s="42">
        <f t="shared" si="43"/>
        <v>47.611514004099575</v>
      </c>
      <c r="T111" s="22">
        <f>-(Données!I$49*1E-24*H111+Données!F$49)*S111+Données!F$47*O111</f>
        <v>-1.0388254927986105E-8</v>
      </c>
      <c r="U111" s="28">
        <f t="shared" si="44"/>
        <v>4512.3969742502468</v>
      </c>
      <c r="V111" s="19"/>
      <c r="W111" s="40">
        <f t="shared" si="45"/>
        <v>16.851716166522703</v>
      </c>
      <c r="X111" s="21">
        <f>-(Données!I$50*1E-24*H111+Données!F$50)*W111+Données!F$45*K111</f>
        <v>-1.2154720793773292E-7</v>
      </c>
      <c r="Y111" s="42">
        <f t="shared" si="46"/>
        <v>20066.285908986218</v>
      </c>
      <c r="Z111" s="23">
        <f>-(Données!I$51*1E-24*H111+Données!F$51)*Y111+Données!F$48*Q111</f>
        <v>-1.9684689690899911E-5</v>
      </c>
      <c r="AA111" s="15">
        <f t="shared" si="47"/>
        <v>20083.13762515274</v>
      </c>
    </row>
    <row r="112" spans="3:27" s="4" customFormat="1" ht="15" thickBot="1">
      <c r="C112" s="2"/>
      <c r="E112" s="20">
        <v>110</v>
      </c>
      <c r="F112" s="27">
        <f t="shared" si="36"/>
        <v>9.1666666666666661</v>
      </c>
      <c r="G112" s="18">
        <f t="shared" si="37"/>
        <v>289080000</v>
      </c>
      <c r="H112" s="75">
        <f>IF(F112&lt;Données!C$26/365,Données!C$30,0)</f>
        <v>3125923379334265</v>
      </c>
      <c r="I112" s="40">
        <f t="shared" si="38"/>
        <v>3.5738860320437253</v>
      </c>
      <c r="J112" s="21">
        <f>-(Données!I$44*1E-24*H112+Données!F$44)*I112</f>
        <v>-2.0526483416930005E-8</v>
      </c>
      <c r="K112" s="42">
        <f t="shared" si="39"/>
        <v>2748.0024748638812</v>
      </c>
      <c r="L112" s="23">
        <f>-(Données!I$45*1E-24*H112+Données!F$45)*K112+(I112*Données!H$44*1E-24*H112)+(Données!H$51*1E-24*H112)*Y112</f>
        <v>-2.5198886802544129E-6</v>
      </c>
      <c r="M112" s="40">
        <f t="shared" si="40"/>
        <v>1410.7081080349374</v>
      </c>
      <c r="N112" s="21">
        <f>-(Données!I$46*1E-24*H112+Données!F$46)*M112+Données!H$45*1E-24*H112*K112</f>
        <v>1.1539097017762519E-7</v>
      </c>
      <c r="O112" s="42">
        <f t="shared" si="41"/>
        <v>188.25623346795007</v>
      </c>
      <c r="P112" s="23">
        <f>-(Données!I$47*1E-24*H112+Données!F$47)*O112+(Données!H$46*1E-24*H112)*M112</f>
        <v>2.5119118075119626E-8</v>
      </c>
      <c r="Q112" s="40">
        <f t="shared" si="42"/>
        <v>108.09428825466048</v>
      </c>
      <c r="R112" s="43">
        <f>-(Données!I$48*1E-24*H112+Données!F$48)*Q112+Données!H$47*1E-24*H112*O112+(Données!I$49*1E-24*H112*S112)*0.85*0.16</f>
        <v>5.2108539971852003E-8</v>
      </c>
      <c r="S112" s="42">
        <f t="shared" si="43"/>
        <v>47.584213670148827</v>
      </c>
      <c r="T112" s="22">
        <f>-(Données!I$49*1E-24*H112+Données!F$49)*S112+Données!F$47*O112</f>
        <v>-1.0114509341321112E-8</v>
      </c>
      <c r="U112" s="28">
        <f t="shared" si="44"/>
        <v>4506.2192043236209</v>
      </c>
      <c r="V112" s="19"/>
      <c r="W112" s="40">
        <f t="shared" si="45"/>
        <v>16.532290104062341</v>
      </c>
      <c r="X112" s="21">
        <f>-(Données!I$50*1E-24*H112+Données!F$50)*W112+Données!F$45*K112</f>
        <v>-1.1920171193274423E-7</v>
      </c>
      <c r="Y112" s="42">
        <f t="shared" si="46"/>
        <v>20014.554544478531</v>
      </c>
      <c r="Z112" s="23">
        <f>-(Données!I$51*1E-24*H112+Données!F$51)*Y112+Données!F$48*Q112</f>
        <v>-1.9633942066181994E-5</v>
      </c>
      <c r="AA112" s="15">
        <f t="shared" si="47"/>
        <v>20031.086834582595</v>
      </c>
    </row>
    <row r="113" spans="1:27" s="4" customFormat="1" ht="15" thickBot="1">
      <c r="C113" s="2"/>
      <c r="E113" s="20">
        <v>111</v>
      </c>
      <c r="F113" s="27">
        <f t="shared" si="36"/>
        <v>9.25</v>
      </c>
      <c r="G113" s="18">
        <f t="shared" si="37"/>
        <v>291708000</v>
      </c>
      <c r="H113" s="75">
        <f>IF(F113&lt;Données!C$26/365,Données!C$30,0)</f>
        <v>3125923379334265</v>
      </c>
      <c r="I113" s="40">
        <f t="shared" si="38"/>
        <v>3.5199424336240335</v>
      </c>
      <c r="J113" s="21">
        <f>-(Données!I$44*1E-24*H113+Données!F$44)*I113</f>
        <v>-2.02166603368196E-8</v>
      </c>
      <c r="K113" s="42">
        <f t="shared" si="39"/>
        <v>2741.3802074121727</v>
      </c>
      <c r="L113" s="23">
        <f>-(Données!I$45*1E-24*H113+Données!F$45)*K113+(I113*Données!H$44*1E-24*H113)+(Données!H$51*1E-24*H113)*Y113</f>
        <v>-2.5166672113220137E-6</v>
      </c>
      <c r="M113" s="40">
        <f t="shared" si="40"/>
        <v>1411.0113555045641</v>
      </c>
      <c r="N113" s="21">
        <f>-(Données!I$46*1E-24*H113+Données!F$46)*M113+Données!H$45*1E-24*H113*K113</f>
        <v>1.0504292304824849E-7</v>
      </c>
      <c r="O113" s="42">
        <f t="shared" si="41"/>
        <v>188.32224651025149</v>
      </c>
      <c r="P113" s="23">
        <f>-(Données!I$47*1E-24*H113+Données!F$47)*O113+(Données!H$46*1E-24*H113)*M113</f>
        <v>2.4854748176358327E-8</v>
      </c>
      <c r="Q113" s="40">
        <f t="shared" si="42"/>
        <v>108.23122949770651</v>
      </c>
      <c r="R113" s="43">
        <f>-(Données!I$48*1E-24*H113+Données!F$48)*Q113+Données!H$47*1E-24*H113*O113+(Données!I$49*1E-24*H113*S113)*0.85*0.16</f>
        <v>5.1858576206342049E-8</v>
      </c>
      <c r="S113" s="42">
        <f t="shared" si="43"/>
        <v>47.557632739599832</v>
      </c>
      <c r="T113" s="22">
        <f>-(Données!I$49*1E-24*H113+Données!F$49)*S113+Données!F$47*O113</f>
        <v>-9.8462178100598406E-9</v>
      </c>
      <c r="U113" s="28">
        <f t="shared" si="44"/>
        <v>4500.0226140979194</v>
      </c>
      <c r="V113" s="19"/>
      <c r="W113" s="40">
        <f t="shared" si="45"/>
        <v>16.219028005103088</v>
      </c>
      <c r="X113" s="21">
        <f>-(Données!I$50*1E-24*H113+Données!F$50)*W113+Données!F$45*K113</f>
        <v>-1.1690158601026468E-7</v>
      </c>
      <c r="Y113" s="42">
        <f t="shared" si="46"/>
        <v>19962.956544728604</v>
      </c>
      <c r="Z113" s="23">
        <f>-(Données!I$51*1E-24*H113+Données!F$51)*Y113+Données!F$48*Q113</f>
        <v>-1.9583325270133851E-5</v>
      </c>
      <c r="AA113" s="15">
        <f t="shared" si="47"/>
        <v>19979.175572733708</v>
      </c>
    </row>
    <row r="114" spans="1:27" s="4" customFormat="1" ht="15" thickBot="1">
      <c r="C114" s="2"/>
      <c r="E114" s="20">
        <v>112</v>
      </c>
      <c r="F114" s="27">
        <f t="shared" si="36"/>
        <v>9.3333333333333339</v>
      </c>
      <c r="G114" s="18">
        <f t="shared" si="37"/>
        <v>294336000</v>
      </c>
      <c r="H114" s="75">
        <f>IF(F114&lt;Données!C$26/365,Données!C$30,0)</f>
        <v>3125923379334265</v>
      </c>
      <c r="I114" s="40">
        <f t="shared" si="38"/>
        <v>3.4668130502588714</v>
      </c>
      <c r="J114" s="21">
        <f>-(Données!I$44*1E-24*H114+Données!F$44)*I114</f>
        <v>-1.991151367102817E-8</v>
      </c>
      <c r="K114" s="42">
        <f t="shared" si="39"/>
        <v>2734.7664059808185</v>
      </c>
      <c r="L114" s="23">
        <f>-(Données!I$45*1E-24*H114+Données!F$45)*K114+(I114*Données!H$44*1E-24*H114)+(Données!H$51*1E-24*H114)*Y114</f>
        <v>-2.5133933078706041E-6</v>
      </c>
      <c r="M114" s="40">
        <f t="shared" si="40"/>
        <v>1411.287408306335</v>
      </c>
      <c r="N114" s="21">
        <f>-(Données!I$46*1E-24*H114+Données!F$46)*M114+Données!H$45*1E-24*H114*K114</f>
        <v>9.4781007385969785E-8</v>
      </c>
      <c r="O114" s="42">
        <f t="shared" si="41"/>
        <v>188.38756478845895</v>
      </c>
      <c r="P114" s="23">
        <f>-(Données!I$47*1E-24*H114+Données!F$47)*O114+(Données!H$46*1E-24*H114)*M114</f>
        <v>2.4558906394372986E-8</v>
      </c>
      <c r="Q114" s="40">
        <f t="shared" si="42"/>
        <v>108.36751383597678</v>
      </c>
      <c r="R114" s="43">
        <f>-(Données!I$48*1E-24*H114+Données!F$48)*Q114+Données!H$47*1E-24*H114*O114+(Données!I$49*1E-24*H114*S114)*0.85*0.16</f>
        <v>5.1609769760886738E-8</v>
      </c>
      <c r="S114" s="42">
        <f t="shared" si="43"/>
        <v>47.531756879194994</v>
      </c>
      <c r="T114" s="22">
        <f>-(Données!I$49*1E-24*H114+Données!F$49)*S114+Données!F$47*O114</f>
        <v>-9.5834221519895102E-9</v>
      </c>
      <c r="U114" s="28">
        <f t="shared" si="44"/>
        <v>4493.8074628410432</v>
      </c>
      <c r="V114" s="19"/>
      <c r="W114" s="40">
        <f t="shared" si="45"/>
        <v>15.911810637068111</v>
      </c>
      <c r="X114" s="21">
        <f>-(Données!I$50*1E-24*H114+Données!F$50)*W114+Données!F$45*K114</f>
        <v>-1.1464595227898321E-7</v>
      </c>
      <c r="Y114" s="42">
        <f t="shared" si="46"/>
        <v>19911.491565918692</v>
      </c>
      <c r="Z114" s="23">
        <f>-(Données!I$51*1E-24*H114+Données!F$51)*Y114+Données!F$48*Q114</f>
        <v>-1.9532838965475727E-5</v>
      </c>
      <c r="AA114" s="15">
        <f t="shared" si="47"/>
        <v>19927.403376555761</v>
      </c>
    </row>
    <row r="115" spans="1:27" s="4" customFormat="1" ht="15" thickBot="1">
      <c r="C115" s="2"/>
      <c r="E115" s="20">
        <v>113</v>
      </c>
      <c r="F115" s="27">
        <f t="shared" si="36"/>
        <v>9.4166666666666661</v>
      </c>
      <c r="G115" s="18">
        <f t="shared" si="37"/>
        <v>296964000</v>
      </c>
      <c r="H115" s="75">
        <f>IF(F115&lt;Données!C$26/365,Données!C$30,0)</f>
        <v>3125923379334265</v>
      </c>
      <c r="I115" s="40">
        <f t="shared" si="38"/>
        <v>3.4144855923314092</v>
      </c>
      <c r="J115" s="21">
        <f>-(Données!I$44*1E-24*H115+Données!F$44)*I115</f>
        <v>-1.9610972834591946E-8</v>
      </c>
      <c r="K115" s="42">
        <f t="shared" si="39"/>
        <v>2728.1612083677346</v>
      </c>
      <c r="L115" s="23">
        <f>-(Données!I$45*1E-24*H115+Données!F$45)*K115+(I115*Données!H$44*1E-24*H115)+(Données!H$51*1E-24*H115)*Y115</f>
        <v>-2.5100682279830655E-6</v>
      </c>
      <c r="M115" s="40">
        <f t="shared" si="40"/>
        <v>1411.5364927937453</v>
      </c>
      <c r="N115" s="21">
        <f>-(Données!I$46*1E-24*H115+Données!F$46)*M115+Données!H$45*1E-24*H115*K115</f>
        <v>8.4604805780835168E-8</v>
      </c>
      <c r="O115" s="42">
        <f t="shared" si="41"/>
        <v>188.45210559446335</v>
      </c>
      <c r="P115" s="23">
        <f>-(Données!I$47*1E-24*H115+Données!F$47)*O115+(Données!H$46*1E-24*H115)*M115</f>
        <v>2.4232789188310623E-8</v>
      </c>
      <c r="Q115" s="40">
        <f t="shared" si="42"/>
        <v>108.5031443109084</v>
      </c>
      <c r="R115" s="43">
        <f>-(Données!I$48*1E-24*H115+Données!F$48)*Q115+Données!H$47*1E-24*H115*O115+(Données!I$49*1E-24*H115*S115)*0.85*0.16</f>
        <v>5.1361985069315378E-8</v>
      </c>
      <c r="S115" s="42">
        <f t="shared" si="43"/>
        <v>47.506571645779566</v>
      </c>
      <c r="T115" s="22">
        <f>-(Données!I$49*1E-24*H115+Données!F$49)*S115+Données!F$47*O115</f>
        <v>-9.3261585258043619E-9</v>
      </c>
      <c r="U115" s="28">
        <f t="shared" si="44"/>
        <v>4487.5740083049623</v>
      </c>
      <c r="V115" s="19"/>
      <c r="W115" s="40">
        <f t="shared" si="45"/>
        <v>15.610521074478942</v>
      </c>
      <c r="X115" s="21">
        <f>-(Données!I$50*1E-24*H115+Données!F$50)*W115+Données!F$45*K115</f>
        <v>-1.1243394983498519E-7</v>
      </c>
      <c r="Y115" s="42">
        <f t="shared" si="46"/>
        <v>19860.159265117421</v>
      </c>
      <c r="Z115" s="23">
        <f>-(Données!I$51*1E-24*H115+Données!F$51)*Y115+Données!F$48*Q115</f>
        <v>-1.9482482815797421E-5</v>
      </c>
      <c r="AA115" s="15">
        <f t="shared" si="47"/>
        <v>19875.7697861919</v>
      </c>
    </row>
    <row r="116" spans="1:27" s="4" customFormat="1" ht="15" thickBot="1">
      <c r="A116" s="2"/>
      <c r="B116" s="2"/>
      <c r="C116" s="2"/>
      <c r="D116" s="2"/>
      <c r="E116" s="20">
        <v>114</v>
      </c>
      <c r="F116" s="27">
        <f t="shared" si="36"/>
        <v>9.5</v>
      </c>
      <c r="G116" s="18">
        <f t="shared" si="37"/>
        <v>299592000</v>
      </c>
      <c r="H116" s="75">
        <f>IF(F116&lt;Données!C$26/365,Données!C$30,0)</f>
        <v>3125923379334265</v>
      </c>
      <c r="I116" s="40">
        <f t="shared" si="38"/>
        <v>3.3629479557221016</v>
      </c>
      <c r="J116" s="21">
        <f>-(Données!I$44*1E-24*H116+Données!F$44)*I116</f>
        <v>-1.9314968307944024E-8</v>
      </c>
      <c r="K116" s="42">
        <f t="shared" si="39"/>
        <v>2721.5647490645952</v>
      </c>
      <c r="L116" s="23">
        <f>-(Données!I$45*1E-24*H116+Données!F$45)*K116+(I116*Données!H$44*1E-24*H116)+(Données!H$51*1E-24*H116)*Y116</f>
        <v>-2.5066932057935275E-6</v>
      </c>
      <c r="M116" s="40">
        <f t="shared" si="40"/>
        <v>1411.7588342233373</v>
      </c>
      <c r="N116" s="21">
        <f>-(Données!I$46*1E-24*H116+Données!F$46)*M116+Données!H$45*1E-24*H116*K116</f>
        <v>7.4513899051439893E-8</v>
      </c>
      <c r="O116" s="42">
        <f t="shared" si="41"/>
        <v>188.51578936445023</v>
      </c>
      <c r="P116" s="23">
        <f>-(Données!I$47*1E-24*H116+Données!F$47)*O116+(Données!H$46*1E-24*H116)*M116</f>
        <v>2.3877558246704707E-8</v>
      </c>
      <c r="Q116" s="40">
        <f t="shared" si="42"/>
        <v>108.63812360767055</v>
      </c>
      <c r="R116" s="43">
        <f>-(Données!I$48*1E-24*H116+Données!F$48)*Q116+Données!H$47*1E-24*H116*O116+(Données!I$49*1E-24*H116*S116)*0.85*0.16</f>
        <v>5.1115091735984252E-8</v>
      </c>
      <c r="S116" s="42">
        <f t="shared" si="43"/>
        <v>47.48206250117375</v>
      </c>
      <c r="T116" s="22">
        <f>-(Données!I$49*1E-24*H116+Données!F$49)*S116+Données!F$47*O116</f>
        <v>-9.0744576687227536E-9</v>
      </c>
      <c r="U116" s="28">
        <f t="shared" si="44"/>
        <v>4481.3225067169487</v>
      </c>
      <c r="V116" s="19"/>
      <c r="W116" s="40">
        <f t="shared" si="45"/>
        <v>15.315044654312601</v>
      </c>
      <c r="X116" s="21">
        <f>-(Données!I$50*1E-24*H116+Données!F$50)*W116+Données!F$45*K116</f>
        <v>-1.1026473443304343E-7</v>
      </c>
      <c r="Y116" s="42">
        <f t="shared" si="46"/>
        <v>19808.959300277507</v>
      </c>
      <c r="Z116" s="23">
        <f>-(Données!I$51*1E-24*H116+Données!F$51)*Y116+Données!F$48*Q116</f>
        <v>-1.9432256485556019E-5</v>
      </c>
      <c r="AA116" s="15">
        <f t="shared" si="47"/>
        <v>19824.274344931819</v>
      </c>
    </row>
    <row r="117" spans="1:27" s="4" customFormat="1" ht="15" thickBot="1">
      <c r="A117" s="2"/>
      <c r="B117" s="2"/>
      <c r="C117" s="2"/>
      <c r="D117" s="2"/>
      <c r="E117" s="20">
        <v>115</v>
      </c>
      <c r="F117" s="27">
        <f t="shared" si="36"/>
        <v>9.5833333333333339</v>
      </c>
      <c r="G117" s="18">
        <f t="shared" si="37"/>
        <v>302220000</v>
      </c>
      <c r="H117" s="75">
        <f>IF(F117&lt;Données!C$26/365,Données!C$30,0)</f>
        <v>3125923379334265</v>
      </c>
      <c r="I117" s="40">
        <f t="shared" si="38"/>
        <v>3.3121882190088248</v>
      </c>
      <c r="J117" s="21">
        <f>-(Données!I$44*1E-24*H117+Données!F$44)*I117</f>
        <v>-1.9023431620833443E-8</v>
      </c>
      <c r="K117" s="42">
        <f t="shared" si="39"/>
        <v>2714.9771593197697</v>
      </c>
      <c r="L117" s="23">
        <f>-(Données!I$45*1E-24*H117+Données!F$45)*K117+(I117*Données!H$44*1E-24*H117)+(Données!H$51*1E-24*H117)*Y117</f>
        <v>-2.503269451930074E-6</v>
      </c>
      <c r="M117" s="40">
        <f t="shared" si="40"/>
        <v>1411.9546567500445</v>
      </c>
      <c r="N117" s="21">
        <f>-(Données!I$46*1E-24*H117+Données!F$46)*M117+Données!H$45*1E-24*H117*K117</f>
        <v>6.4507866348099546E-8</v>
      </c>
      <c r="O117" s="42">
        <f t="shared" si="41"/>
        <v>188.57853958752256</v>
      </c>
      <c r="P117" s="23">
        <f>-(Données!I$47*1E-24*H117+Données!F$47)*O117+(Données!H$46*1E-24*H117)*M117</f>
        <v>2.3494341445817559E-8</v>
      </c>
      <c r="Q117" s="40">
        <f t="shared" si="42"/>
        <v>108.77245406875272</v>
      </c>
      <c r="R117" s="43">
        <f>-(Données!I$48*1E-24*H117+Données!F$48)*Q117+Données!H$47*1E-24*H117*O117+(Données!I$49*1E-24*H117*S117)*0.85*0.16</f>
        <v>5.0868964387686363E-8</v>
      </c>
      <c r="S117" s="42">
        <f t="shared" si="43"/>
        <v>47.458214826420345</v>
      </c>
      <c r="T117" s="22">
        <f>-(Données!I$49*1E-24*H117+Données!F$49)*S117+Données!F$47*O117</f>
        <v>-8.8283451262077359E-9</v>
      </c>
      <c r="U117" s="28">
        <f t="shared" si="44"/>
        <v>4475.0532127715187</v>
      </c>
      <c r="V117" s="19"/>
      <c r="W117" s="40">
        <f t="shared" si="45"/>
        <v>15.025268932222563</v>
      </c>
      <c r="X117" s="21">
        <f>-(Données!I$50*1E-24*H117+Données!F$50)*W117+Données!F$45*K117</f>
        <v>-1.0813747816426968E-7</v>
      </c>
      <c r="Y117" s="42">
        <f t="shared" si="46"/>
        <v>19757.891330233466</v>
      </c>
      <c r="Z117" s="23">
        <f>-(Données!I$51*1E-24*H117+Données!F$51)*Y117+Données!F$48*Q117</f>
        <v>-1.9382159640073664E-5</v>
      </c>
      <c r="AA117" s="15">
        <f t="shared" si="47"/>
        <v>19772.916599165688</v>
      </c>
    </row>
    <row r="118" spans="1:27" s="4" customFormat="1" ht="15" thickBot="1">
      <c r="A118" s="2"/>
      <c r="B118" s="2"/>
      <c r="C118" s="2"/>
      <c r="D118" s="2"/>
      <c r="E118" s="20">
        <v>116</v>
      </c>
      <c r="F118" s="27">
        <f t="shared" si="36"/>
        <v>9.6666666666666661</v>
      </c>
      <c r="G118" s="18">
        <f t="shared" si="37"/>
        <v>304848000</v>
      </c>
      <c r="H118" s="75">
        <f>IF(F118&lt;Données!C$26/365,Données!C$30,0)</f>
        <v>3125923379334265</v>
      </c>
      <c r="I118" s="40">
        <f t="shared" si="38"/>
        <v>3.2621946407092746</v>
      </c>
      <c r="J118" s="21">
        <f>-(Données!I$44*1E-24*H118+Données!F$44)*I118</f>
        <v>-1.8736295336486993E-8</v>
      </c>
      <c r="K118" s="42">
        <f t="shared" si="39"/>
        <v>2708.3985672000977</v>
      </c>
      <c r="L118" s="23">
        <f>-(Données!I$45*1E-24*H118+Données!F$45)*K118+(I118*Données!H$44*1E-24*H118)+(Données!H$51*1E-24*H118)*Y118</f>
        <v>-2.4997981539493737E-6</v>
      </c>
      <c r="M118" s="40">
        <f t="shared" si="40"/>
        <v>1412.1241834228074</v>
      </c>
      <c r="N118" s="21">
        <f>-(Données!I$46*1E-24*H118+Données!F$46)*M118+Données!H$45*1E-24*H118*K118</f>
        <v>5.4586285253608849E-8</v>
      </c>
      <c r="O118" s="42">
        <f t="shared" si="41"/>
        <v>188.64028271684217</v>
      </c>
      <c r="P118" s="23">
        <f>-(Données!I$47*1E-24*H118+Données!F$47)*O118+(Données!H$46*1E-24*H118)*M118</f>
        <v>2.3084233781767915E-8</v>
      </c>
      <c r="Q118" s="40">
        <f t="shared" si="42"/>
        <v>108.90613770716357</v>
      </c>
      <c r="R118" s="43">
        <f>-(Données!I$48*1E-24*H118+Données!F$48)*Q118+Données!H$47*1E-24*H118*O118+(Données!I$49*1E-24*H118*S118)*0.85*0.16</f>
        <v>5.0623482529499146E-8</v>
      </c>
      <c r="S118" s="42">
        <f t="shared" si="43"/>
        <v>47.435013935428671</v>
      </c>
      <c r="T118" s="22">
        <f>-(Données!I$49*1E-24*H118+Données!F$49)*S118+Données!F$47*O118</f>
        <v>-8.5878414740301862E-9</v>
      </c>
      <c r="U118" s="28">
        <f t="shared" si="44"/>
        <v>4468.766379623049</v>
      </c>
      <c r="V118" s="19"/>
      <c r="W118" s="40">
        <f t="shared" si="45"/>
        <v>14.741083639606861</v>
      </c>
      <c r="X118" s="21">
        <f>-(Données!I$50*1E-24*H118+Données!F$50)*W118+Données!F$45*K118</f>
        <v>-1.060513691400036E-7</v>
      </c>
      <c r="Y118" s="42">
        <f t="shared" si="46"/>
        <v>19706.955014699353</v>
      </c>
      <c r="Z118" s="23">
        <f>-(Données!I$51*1E-24*H118+Données!F$51)*Y118+Données!F$48*Q118</f>
        <v>-1.9332191945535333E-5</v>
      </c>
      <c r="AA118" s="15">
        <f t="shared" si="47"/>
        <v>19721.696098338962</v>
      </c>
    </row>
    <row r="119" spans="1:27" s="4" customFormat="1" ht="15" thickBot="1">
      <c r="A119" s="2"/>
      <c r="B119" s="2"/>
      <c r="C119" s="2"/>
      <c r="D119" s="2"/>
      <c r="E119" s="20">
        <v>117</v>
      </c>
      <c r="F119" s="27">
        <f t="shared" si="36"/>
        <v>9.75</v>
      </c>
      <c r="G119" s="18">
        <f t="shared" si="37"/>
        <v>307476000</v>
      </c>
      <c r="H119" s="75">
        <f>IF(F119&lt;Données!C$26/365,Données!C$30,0)</f>
        <v>3125923379334265</v>
      </c>
      <c r="I119" s="40">
        <f t="shared" si="38"/>
        <v>3.2129556565649868</v>
      </c>
      <c r="J119" s="21">
        <f>-(Données!I$44*1E-24*H119+Données!F$44)*I119</f>
        <v>-1.8453493036010102E-8</v>
      </c>
      <c r="K119" s="42">
        <f t="shared" si="39"/>
        <v>2701.8290976515186</v>
      </c>
      <c r="L119" s="23">
        <f>-(Données!I$45*1E-24*H119+Données!F$45)*K119+(I119*Données!H$44*1E-24*H119)+(Données!H$51*1E-24*H119)*Y119</f>
        <v>-2.4962804767632216E-6</v>
      </c>
      <c r="M119" s="40">
        <f t="shared" si="40"/>
        <v>1412.2676361804538</v>
      </c>
      <c r="N119" s="21">
        <f>-(Données!I$46*1E-24*H119+Données!F$46)*M119+Données!H$45*1E-24*H119*K119</f>
        <v>4.4748731881639778E-8</v>
      </c>
      <c r="O119" s="42">
        <f t="shared" si="41"/>
        <v>188.70094808322065</v>
      </c>
      <c r="P119" s="23">
        <f>-(Données!I$47*1E-24*H119+Données!F$47)*O119+(Données!H$46*1E-24*H119)*M119</f>
        <v>2.2648298277172978E-8</v>
      </c>
      <c r="Q119" s="40">
        <f t="shared" si="42"/>
        <v>109.03917621925109</v>
      </c>
      <c r="R119" s="43">
        <f>-(Données!I$48*1E-24*H119+Données!F$48)*Q119+Données!H$47*1E-24*H119*O119+(Données!I$49*1E-24*H119*S119)*0.85*0.16</f>
        <v>5.0378530404464863E-8</v>
      </c>
      <c r="S119" s="42">
        <f t="shared" si="43"/>
        <v>47.412445088034922</v>
      </c>
      <c r="T119" s="22">
        <f>-(Données!I$49*1E-24*H119+Données!F$49)*S119+Données!F$47*O119</f>
        <v>-8.3529625329069041E-9</v>
      </c>
      <c r="U119" s="28">
        <f t="shared" si="44"/>
        <v>4462.4622588790435</v>
      </c>
      <c r="V119" s="19"/>
      <c r="W119" s="40">
        <f t="shared" si="45"/>
        <v>14.462380641506932</v>
      </c>
      <c r="X119" s="21">
        <f>-(Données!I$50*1E-24*H119+Données!F$50)*W119+Données!F$45*K119</f>
        <v>-1.0400561118181859E-7</v>
      </c>
      <c r="Y119" s="42">
        <f t="shared" si="46"/>
        <v>19656.150014266488</v>
      </c>
      <c r="Z119" s="23">
        <f>-(Données!I$51*1E-24*H119+Données!F$51)*Y119+Données!F$48*Q119</f>
        <v>-1.9282353068986597E-5</v>
      </c>
      <c r="AA119" s="15">
        <f t="shared" si="47"/>
        <v>19670.612394907996</v>
      </c>
    </row>
    <row r="120" spans="1:27" s="4" customFormat="1" ht="15" thickBot="1">
      <c r="A120" s="2"/>
      <c r="B120" s="2"/>
      <c r="C120" s="2"/>
      <c r="D120" s="2"/>
      <c r="E120" s="20">
        <v>118</v>
      </c>
      <c r="F120" s="27">
        <f t="shared" si="36"/>
        <v>9.8333333333333339</v>
      </c>
      <c r="G120" s="18">
        <f t="shared" si="37"/>
        <v>310104000</v>
      </c>
      <c r="H120" s="75">
        <f>IF(F120&lt;Données!C$26/365,Données!C$30,0)</f>
        <v>3125923379334265</v>
      </c>
      <c r="I120" s="40">
        <f t="shared" si="38"/>
        <v>3.1644598768663523</v>
      </c>
      <c r="J120" s="21">
        <f>-(Données!I$44*1E-24*H120+Données!F$44)*I120</f>
        <v>-1.8174959303023134E-8</v>
      </c>
      <c r="K120" s="42">
        <f t="shared" si="39"/>
        <v>2695.2688725585849</v>
      </c>
      <c r="L120" s="23">
        <f>-(Données!I$45*1E-24*H120+Données!F$45)*K120+(I120*Données!H$44*1E-24*H120)+(Données!H$51*1E-24*H120)*Y120</f>
        <v>-2.4927175630573528E-6</v>
      </c>
      <c r="M120" s="40">
        <f t="shared" si="40"/>
        <v>1412.3852358478387</v>
      </c>
      <c r="N120" s="21">
        <f>-(Données!I$46*1E-24*H120+Données!F$46)*M120+Données!H$45*1E-24*H120*K120</f>
        <v>3.4994780972819669E-8</v>
      </c>
      <c r="O120" s="42">
        <f t="shared" si="41"/>
        <v>188.76046781109306</v>
      </c>
      <c r="P120" s="23">
        <f>-(Données!I$47*1E-24*H120+Données!F$47)*O120+(Données!H$46*1E-24*H120)*M120</f>
        <v>2.2187566862993987E-8</v>
      </c>
      <c r="Q120" s="40">
        <f t="shared" si="42"/>
        <v>109.17157099715402</v>
      </c>
      <c r="R120" s="43">
        <f>-(Données!I$48*1E-24*H120+Données!F$48)*Q120+Données!H$47*1E-24*H120*O120+(Données!I$49*1E-24*H120*S120)*0.85*0.16</f>
        <v>5.0133996857002733E-8</v>
      </c>
      <c r="S120" s="42">
        <f t="shared" si="43"/>
        <v>47.390493502498444</v>
      </c>
      <c r="T120" s="22">
        <f>-(Données!I$49*1E-24*H120+Données!F$49)*S120+Données!F$47*O120</f>
        <v>-8.1237195759387689E-9</v>
      </c>
      <c r="U120" s="28">
        <f t="shared" si="44"/>
        <v>4456.1411005940354</v>
      </c>
      <c r="V120" s="19"/>
      <c r="W120" s="40">
        <f t="shared" si="45"/>
        <v>14.189053895321113</v>
      </c>
      <c r="X120" s="21">
        <f>-(Données!I$50*1E-24*H120+Données!F$50)*W120+Données!F$45*K120</f>
        <v>-1.0199942351752584E-7</v>
      </c>
      <c r="Y120" s="42">
        <f t="shared" si="46"/>
        <v>19605.475990401192</v>
      </c>
      <c r="Z120" s="23">
        <f>-(Données!I$51*1E-24*H120+Données!F$51)*Y120+Données!F$48*Q120</f>
        <v>-1.9232642678331409E-5</v>
      </c>
      <c r="AA120" s="15">
        <f t="shared" si="47"/>
        <v>19619.665044296511</v>
      </c>
    </row>
    <row r="121" spans="1:27" s="4" customFormat="1" ht="15" thickBot="1">
      <c r="A121" s="2"/>
      <c r="B121" s="2"/>
      <c r="C121" s="2"/>
      <c r="D121" s="2"/>
      <c r="E121" s="20">
        <v>119</v>
      </c>
      <c r="F121" s="27">
        <f t="shared" si="36"/>
        <v>9.9166666666666661</v>
      </c>
      <c r="G121" s="18">
        <f t="shared" si="37"/>
        <v>312732000</v>
      </c>
      <c r="H121" s="75">
        <f>IF(F121&lt;Données!C$26/365,Données!C$30,0)</f>
        <v>3125923379334265</v>
      </c>
      <c r="I121" s="40">
        <f t="shared" si="38"/>
        <v>3.1166960838180073</v>
      </c>
      <c r="J121" s="21">
        <f>-(Données!I$44*1E-24*H121+Données!F$44)*I121</f>
        <v>-1.7900629708529637E-8</v>
      </c>
      <c r="K121" s="42">
        <f t="shared" si="39"/>
        <v>2688.7180108028701</v>
      </c>
      <c r="L121" s="23">
        <f>-(Données!I$45*1E-24*H121+Données!F$45)*K121+(I121*Données!H$44*1E-24*H121)+(Données!H$51*1E-24*H121)*Y121</f>
        <v>-2.489110533702433E-6</v>
      </c>
      <c r="M121" s="40">
        <f t="shared" si="40"/>
        <v>1412.4772021322353</v>
      </c>
      <c r="N121" s="21">
        <f>-(Données!I$46*1E-24*H121+Données!F$46)*M121+Données!H$45*1E-24*H121*K121</f>
        <v>2.5324005988540112E-8</v>
      </c>
      <c r="O121" s="42">
        <f t="shared" si="41"/>
        <v>188.81877673680901</v>
      </c>
      <c r="P121" s="23">
        <f>-(Données!I$47*1E-24*H121+Données!F$47)*O121+(Données!H$46*1E-24*H121)*M121</f>
        <v>2.1703041236271856E-8</v>
      </c>
      <c r="Q121" s="40">
        <f t="shared" si="42"/>
        <v>109.30332314089422</v>
      </c>
      <c r="R121" s="43">
        <f>-(Données!I$48*1E-24*H121+Données!F$48)*Q121+Données!H$47*1E-24*H121*O121+(Données!I$49*1E-24*H121*S121)*0.85*0.16</f>
        <v>4.9889775199955332E-8</v>
      </c>
      <c r="S121" s="42">
        <f t="shared" si="43"/>
        <v>47.369144367452876</v>
      </c>
      <c r="T121" s="22">
        <f>-(Données!I$49*1E-24*H121+Données!F$49)*S121+Données!F$47*O121</f>
        <v>-7.900119529068392E-9</v>
      </c>
      <c r="U121" s="28">
        <f t="shared" si="44"/>
        <v>4449.8031532640798</v>
      </c>
      <c r="V121" s="19"/>
      <c r="W121" s="40">
        <f t="shared" si="45"/>
        <v>13.920999410317055</v>
      </c>
      <c r="X121" s="21">
        <f>-(Données!I$50*1E-24*H121+Données!F$50)*W121+Données!F$45*K121</f>
        <v>-1.0003204048306084E-7</v>
      </c>
      <c r="Y121" s="42">
        <f t="shared" si="46"/>
        <v>19554.932605442536</v>
      </c>
      <c r="Z121" s="23">
        <f>-(Données!I$51*1E-24*H121+Données!F$51)*Y121+Données!F$48*Q121</f>
        <v>-1.9183060442329899E-5</v>
      </c>
      <c r="AA121" s="15">
        <f t="shared" si="47"/>
        <v>19568.853604852855</v>
      </c>
    </row>
    <row r="122" spans="1:27" s="4" customFormat="1" ht="15" thickBot="1">
      <c r="A122" s="2"/>
      <c r="B122" s="2"/>
      <c r="C122" s="2"/>
      <c r="D122" s="2"/>
      <c r="E122" s="20">
        <v>120</v>
      </c>
      <c r="F122" s="27">
        <f t="shared" si="36"/>
        <v>10</v>
      </c>
      <c r="G122" s="18">
        <f t="shared" si="37"/>
        <v>315360000</v>
      </c>
      <c r="H122" s="75">
        <f>IF(F122&lt;Données!C$26/365,Données!C$30,0)</f>
        <v>3125923379334265</v>
      </c>
      <c r="I122" s="40">
        <f t="shared" si="38"/>
        <v>3.0696532289439915</v>
      </c>
      <c r="J122" s="21">
        <f>-(Données!I$44*1E-24*H122+Données!F$44)*I122</f>
        <v>-1.7630440796012934E-8</v>
      </c>
      <c r="K122" s="42">
        <f t="shared" si="39"/>
        <v>2682.1766283203001</v>
      </c>
      <c r="L122" s="23">
        <f>-(Données!I$45*1E-24*H122+Données!F$45)*K122+(I122*Données!H$44*1E-24*H122)+(Données!H$51*1E-24*H122)*Y122</f>
        <v>-2.4854604881575956E-6</v>
      </c>
      <c r="M122" s="40">
        <f t="shared" si="40"/>
        <v>1412.5437536199731</v>
      </c>
      <c r="N122" s="21">
        <f>-(Données!I$46*1E-24*H122+Données!F$46)*M122+Données!H$45*1E-24*H122*K122</f>
        <v>1.5735979202555944E-8</v>
      </c>
      <c r="O122" s="42">
        <f t="shared" si="41"/>
        <v>188.87581232917793</v>
      </c>
      <c r="P122" s="23">
        <f>-(Données!I$47*1E-24*H122+Données!F$47)*O122+(Données!H$46*1E-24*H122)*M122</f>
        <v>2.1195693694402532E-8</v>
      </c>
      <c r="Q122" s="40">
        <f t="shared" si="42"/>
        <v>109.4344334701197</v>
      </c>
      <c r="R122" s="43">
        <f>-(Données!I$48*1E-24*H122+Données!F$48)*Q122+Données!H$47*1E-24*H122*O122+(Données!I$49*1E-24*H122*S122)*0.85*0.16</f>
        <v>4.9645763085172188E-8</v>
      </c>
      <c r="S122" s="42">
        <f t="shared" si="43"/>
        <v>47.348382853330484</v>
      </c>
      <c r="T122" s="22">
        <f>-(Données!I$49*1E-24*H122+Données!F$49)*S122+Données!F$47*O122</f>
        <v>-7.6821651647685466E-9</v>
      </c>
      <c r="U122" s="28">
        <f t="shared" si="44"/>
        <v>4443.4486638218459</v>
      </c>
      <c r="V122" s="19"/>
      <c r="W122" s="40">
        <f t="shared" si="45"/>
        <v>13.658115207927571</v>
      </c>
      <c r="X122" s="21">
        <f>-(Données!I$50*1E-24*H122+Données!F$50)*W122+Données!F$45*K122</f>
        <v>-9.8102711230138387E-8</v>
      </c>
      <c r="Y122" s="42">
        <f t="shared" si="46"/>
        <v>19504.519522600094</v>
      </c>
      <c r="Z122" s="23">
        <f>-(Données!I$51*1E-24*H122+Données!F$51)*Y122+Données!F$48*Q122</f>
        <v>-1.913360603059615E-5</v>
      </c>
      <c r="AA122" s="15">
        <f t="shared" si="47"/>
        <v>19518.177637808021</v>
      </c>
    </row>
    <row r="123" spans="1:27" s="4" customFormat="1" ht="15" thickBot="1">
      <c r="A123" s="2"/>
      <c r="B123" s="2"/>
      <c r="C123" s="2"/>
      <c r="D123" s="2"/>
      <c r="E123" s="20">
        <v>121</v>
      </c>
      <c r="F123" s="27">
        <f t="shared" si="36"/>
        <v>10.083333333333334</v>
      </c>
      <c r="G123" s="18">
        <f t="shared" si="37"/>
        <v>317988000</v>
      </c>
      <c r="H123" s="75">
        <f>IF(F123&lt;Données!C$26/365,Données!C$30,0)</f>
        <v>3125923379334265</v>
      </c>
      <c r="I123" s="40">
        <f t="shared" si="38"/>
        <v>3.0233204305320696</v>
      </c>
      <c r="J123" s="21">
        <f>-(Données!I$44*1E-24*H123+Données!F$44)*I123</f>
        <v>-1.7364330066757693E-8</v>
      </c>
      <c r="K123" s="42">
        <f t="shared" si="39"/>
        <v>2675.6448381574219</v>
      </c>
      <c r="L123" s="23">
        <f>-(Données!I$45*1E-24*H123+Données!F$45)*K123+(I123*Données!H$44*1E-24*H123)+(Données!H$51*1E-24*H123)*Y123</f>
        <v>-2.4817685048665069E-6</v>
      </c>
      <c r="M123" s="40">
        <f t="shared" si="40"/>
        <v>1412.5851077733175</v>
      </c>
      <c r="N123" s="21">
        <f>-(Données!I$46*1E-24*H123+Données!F$46)*M123+Données!H$45*1E-24*H123*K123</f>
        <v>6.2302717903794138E-9</v>
      </c>
      <c r="O123" s="42">
        <f t="shared" si="41"/>
        <v>188.93151461220683</v>
      </c>
      <c r="P123" s="23">
        <f>-(Données!I$47*1E-24*H123+Données!F$47)*O123+(Données!H$46*1E-24*H123)*M123</f>
        <v>2.0666467946613616E-8</v>
      </c>
      <c r="Q123" s="40">
        <f t="shared" si="42"/>
        <v>109.56490253550753</v>
      </c>
      <c r="R123" s="43">
        <f>-(Données!I$48*1E-24*H123+Données!F$48)*Q123+Données!H$47*1E-24*H123*O123+(Données!I$49*1E-24*H123*S123)*0.85*0.16</f>
        <v>4.9401862377537934E-8</v>
      </c>
      <c r="S123" s="42">
        <f t="shared" si="43"/>
        <v>47.32819412327747</v>
      </c>
      <c r="T123" s="22">
        <f>-(Données!I$49*1E-24*H123+Données!F$49)*S123+Données!F$47*O123</f>
        <v>-7.4698552891694284E-9</v>
      </c>
      <c r="U123" s="28">
        <f t="shared" si="44"/>
        <v>4437.0778776322641</v>
      </c>
      <c r="V123" s="19"/>
      <c r="W123" s="40">
        <f t="shared" si="45"/>
        <v>13.400301282814768</v>
      </c>
      <c r="X123" s="21">
        <f>-(Données!I$50*1E-24*H123+Données!F$50)*W123+Données!F$45*K123</f>
        <v>-9.6210699439564367E-8</v>
      </c>
      <c r="Y123" s="42">
        <f t="shared" si="46"/>
        <v>19454.236405951688</v>
      </c>
      <c r="Z123" s="23">
        <f>-(Données!I$51*1E-24*H123+Données!F$51)*Y123+Données!F$48*Q123</f>
        <v>-1.9084279113596014E-5</v>
      </c>
      <c r="AA123" s="15">
        <f t="shared" si="47"/>
        <v>19467.636707234502</v>
      </c>
    </row>
    <row r="124" spans="1:27" s="4" customFormat="1" ht="15" thickBot="1">
      <c r="A124" s="2"/>
      <c r="B124" s="2"/>
      <c r="C124" s="2"/>
      <c r="D124" s="2"/>
      <c r="E124" s="20">
        <v>122</v>
      </c>
      <c r="F124" s="27">
        <f t="shared" si="36"/>
        <v>10.166666666666666</v>
      </c>
      <c r="G124" s="18">
        <f t="shared" si="37"/>
        <v>320616000</v>
      </c>
      <c r="H124" s="75">
        <f>IF(F124&lt;Données!C$26/365,Données!C$30,0)</f>
        <v>3125923379334265</v>
      </c>
      <c r="I124" s="40">
        <f t="shared" si="38"/>
        <v>2.9776869711166305</v>
      </c>
      <c r="J124" s="21">
        <f>-(Données!I$44*1E-24*H124+Données!F$44)*I124</f>
        <v>-1.7102235965393049E-8</v>
      </c>
      <c r="K124" s="42">
        <f t="shared" si="39"/>
        <v>2669.1227505266329</v>
      </c>
      <c r="L124" s="23">
        <f>-(Données!I$45*1E-24*H124+Données!F$45)*K124+(I124*Données!H$44*1E-24*H124)+(Données!H$51*1E-24*H124)*Y124</f>
        <v>-2.4780356416461445E-6</v>
      </c>
      <c r="M124" s="40">
        <f t="shared" si="40"/>
        <v>1412.6014809275825</v>
      </c>
      <c r="N124" s="21">
        <f>-(Données!I$46*1E-24*H124+Données!F$46)*M124+Données!H$45*1E-24*H124*K124</f>
        <v>-3.1935460834373142E-9</v>
      </c>
      <c r="O124" s="42">
        <f t="shared" si="41"/>
        <v>188.98582608997052</v>
      </c>
      <c r="P124" s="23">
        <f>-(Données!I$47*1E-24*H124+Données!F$47)*O124+(Données!H$46*1E-24*H124)*M124</f>
        <v>2.0116279903244488E-8</v>
      </c>
      <c r="Q124" s="40">
        <f t="shared" si="42"/>
        <v>109.6947306298357</v>
      </c>
      <c r="R124" s="43">
        <f>-(Données!I$48*1E-24*H124+Données!F$48)*Q124+Données!H$47*1E-24*H124*O124+(Données!I$49*1E-24*H124*S124)*0.85*0.16</f>
        <v>4.9157979032354103E-8</v>
      </c>
      <c r="S124" s="42">
        <f t="shared" si="43"/>
        <v>47.308563343577532</v>
      </c>
      <c r="T124" s="22">
        <f>-(Données!I$49*1E-24*H124+Données!F$49)*S124+Données!F$47*O124</f>
        <v>-7.2631849228233735E-9</v>
      </c>
      <c r="U124" s="28">
        <f t="shared" si="44"/>
        <v>4430.6910384887169</v>
      </c>
      <c r="V124" s="19"/>
      <c r="W124" s="40">
        <f t="shared" si="45"/>
        <v>13.147459564687592</v>
      </c>
      <c r="X124" s="21">
        <f>-(Données!I$50*1E-24*H124+Données!F$50)*W124+Données!F$45*K124</f>
        <v>-9.435528304009508E-8</v>
      </c>
      <c r="Y124" s="42">
        <f t="shared" si="46"/>
        <v>19404.082920441157</v>
      </c>
      <c r="Z124" s="23">
        <f>-(Données!I$51*1E-24*H124+Données!F$51)*Y124+Données!F$48*Q124</f>
        <v>-1.9035079362644894E-5</v>
      </c>
      <c r="AA124" s="15">
        <f t="shared" si="47"/>
        <v>19417.230380005843</v>
      </c>
    </row>
    <row r="125" spans="1:27" s="4" customFormat="1" ht="15" thickBot="1">
      <c r="A125" s="2"/>
      <c r="B125" s="2"/>
      <c r="C125" s="2"/>
      <c r="D125" s="2"/>
      <c r="E125" s="20">
        <v>123</v>
      </c>
      <c r="F125" s="27">
        <f t="shared" si="36"/>
        <v>10.25</v>
      </c>
      <c r="G125" s="18">
        <f t="shared" si="37"/>
        <v>323244000</v>
      </c>
      <c r="H125" s="75">
        <f>IF(F125&lt;Données!C$26/365,Données!C$30,0)</f>
        <v>3125923379334265</v>
      </c>
      <c r="I125" s="40">
        <f t="shared" si="38"/>
        <v>2.9327422949995774</v>
      </c>
      <c r="J125" s="21">
        <f>-(Données!I$44*1E-24*H125+Données!F$44)*I125</f>
        <v>-1.6844097865653921E-8</v>
      </c>
      <c r="K125" s="42">
        <f t="shared" si="39"/>
        <v>2662.6104728603868</v>
      </c>
      <c r="L125" s="23">
        <f>-(Données!I$45*1E-24*H125+Données!F$45)*K125+(I125*Données!H$44*1E-24*H125)+(Données!H$51*1E-24*H125)*Y125</f>
        <v>-2.4742629360684466E-6</v>
      </c>
      <c r="M125" s="40">
        <f t="shared" si="40"/>
        <v>1412.5930882884752</v>
      </c>
      <c r="N125" s="21">
        <f>-(Données!I$46*1E-24*H125+Données!F$46)*M125+Données!H$45*1E-24*H125*K125</f>
        <v>-1.2535905180129603E-8</v>
      </c>
      <c r="O125" s="42">
        <f t="shared" si="41"/>
        <v>189.03869167355623</v>
      </c>
      <c r="P125" s="23">
        <f>-(Données!I$47*1E-24*H125+Données!F$47)*O125+(Données!H$46*1E-24*H125)*M125</f>
        <v>1.9546018443455888E-8</v>
      </c>
      <c r="Q125" s="40">
        <f t="shared" si="42"/>
        <v>109.82391779873274</v>
      </c>
      <c r="R125" s="43">
        <f>-(Données!I$48*1E-24*H125+Données!F$48)*Q125+Données!H$47*1E-24*H125*O125+(Données!I$49*1E-24*H125*S125)*0.85*0.16</f>
        <v>4.8914022975986783E-8</v>
      </c>
      <c r="S125" s="42">
        <f t="shared" si="43"/>
        <v>47.289475693600352</v>
      </c>
      <c r="T125" s="22">
        <f>-(Données!I$49*1E-24*H125+Données!F$49)*S125+Données!F$47*O125</f>
        <v>-7.0621454753026491E-9</v>
      </c>
      <c r="U125" s="28">
        <f t="shared" si="44"/>
        <v>4424.2883886097507</v>
      </c>
      <c r="V125" s="19"/>
      <c r="W125" s="40">
        <f t="shared" si="45"/>
        <v>12.899493880858222</v>
      </c>
      <c r="X125" s="21">
        <f>-(Données!I$50*1E-24*H125+Données!F$50)*W125+Données!F$45*K125</f>
        <v>-9.2535753932736647E-8</v>
      </c>
      <c r="Y125" s="42">
        <f t="shared" si="46"/>
        <v>19354.058731876125</v>
      </c>
      <c r="Z125" s="23">
        <f>-(Données!I$51*1E-24*H125+Données!F$51)*Y125+Données!F$48*Q125</f>
        <v>-1.8986006449905565E-5</v>
      </c>
      <c r="AA125" s="15">
        <f t="shared" si="47"/>
        <v>19366.958225756982</v>
      </c>
    </row>
    <row r="126" spans="1:27" s="4" customFormat="1" ht="15" thickBot="1">
      <c r="A126" s="2"/>
      <c r="B126" s="2"/>
      <c r="C126" s="2"/>
      <c r="D126" s="2"/>
      <c r="E126" s="20">
        <v>124</v>
      </c>
      <c r="F126" s="27">
        <f t="shared" si="36"/>
        <v>10.333333333333334</v>
      </c>
      <c r="G126" s="18">
        <f t="shared" si="37"/>
        <v>325872000</v>
      </c>
      <c r="H126" s="75">
        <f>IF(F126&lt;Données!C$26/365,Données!C$30,0)</f>
        <v>3125923379334265</v>
      </c>
      <c r="I126" s="40">
        <f t="shared" si="38"/>
        <v>2.8884760058086387</v>
      </c>
      <c r="J126" s="21">
        <f>-(Données!I$44*1E-24*H126+Données!F$44)*I126</f>
        <v>-1.6589856056357266E-8</v>
      </c>
      <c r="K126" s="42">
        <f t="shared" si="39"/>
        <v>2656.108109864399</v>
      </c>
      <c r="L126" s="23">
        <f>-(Données!I$45*1E-24*H126+Données!F$45)*K126+(I126*Données!H$44*1E-24*H126)+(Données!H$51*1E-24*H126)*Y126</f>
        <v>-2.4704514058349374E-6</v>
      </c>
      <c r="M126" s="40">
        <f t="shared" si="40"/>
        <v>1412.5601439296618</v>
      </c>
      <c r="N126" s="21">
        <f>-(Données!I$46*1E-24*H126+Données!F$46)*M126+Données!H$45*1E-24*H126*K126</f>
        <v>-2.1797237103588297E-8</v>
      </c>
      <c r="O126" s="42">
        <f t="shared" si="41"/>
        <v>189.09005861002564</v>
      </c>
      <c r="P126" s="23">
        <f>-(Données!I$47*1E-24*H126+Données!F$47)*O126+(Données!H$46*1E-24*H126)*M126</f>
        <v>1.8956546161950446E-8</v>
      </c>
      <c r="Q126" s="40">
        <f t="shared" si="42"/>
        <v>109.95246385111363</v>
      </c>
      <c r="R126" s="43">
        <f>-(Données!I$48*1E-24*H126+Données!F$48)*Q126+Données!H$47*1E-24*H126*O126+(Données!I$49*1E-24*H126*S126)*0.85*0.16</f>
        <v>4.8669907989692736E-8</v>
      </c>
      <c r="S126" s="42">
        <f t="shared" si="43"/>
        <v>47.270916375291257</v>
      </c>
      <c r="T126" s="22">
        <f>-(Données!I$49*1E-24*H126+Données!F$49)*S126+Données!F$47*O126</f>
        <v>-6.8667249138186191E-9</v>
      </c>
      <c r="U126" s="28">
        <f t="shared" si="44"/>
        <v>4417.8701686363011</v>
      </c>
      <c r="V126" s="19"/>
      <c r="W126" s="40">
        <f t="shared" si="45"/>
        <v>12.65630991952299</v>
      </c>
      <c r="X126" s="21">
        <f>-(Données!I$50*1E-24*H126+Données!F$50)*W126+Données!F$45*K126</f>
        <v>-9.0751417720379148E-8</v>
      </c>
      <c r="Y126" s="42">
        <f t="shared" si="46"/>
        <v>19304.163506925772</v>
      </c>
      <c r="Z126" s="23">
        <f>-(Données!I$51*1E-24*H126+Données!F$51)*Y126+Données!F$48*Q126</f>
        <v>-1.8937060048386004E-5</v>
      </c>
      <c r="AA126" s="15">
        <f t="shared" si="47"/>
        <v>19316.819816845295</v>
      </c>
    </row>
    <row r="127" spans="1:27" s="4" customFormat="1" ht="15" thickBot="1">
      <c r="A127" s="2"/>
      <c r="B127" s="2"/>
      <c r="C127" s="2"/>
      <c r="D127" s="2"/>
      <c r="E127" s="20">
        <v>125</v>
      </c>
      <c r="F127" s="27">
        <f t="shared" si="36"/>
        <v>10.416666666666666</v>
      </c>
      <c r="G127" s="18">
        <f t="shared" si="37"/>
        <v>328500000</v>
      </c>
      <c r="H127" s="75">
        <f>IF(F127&lt;Données!C$26/365,Données!C$30,0)</f>
        <v>3125923379334265</v>
      </c>
      <c r="I127" s="40">
        <f t="shared" si="38"/>
        <v>2.8448778640925316</v>
      </c>
      <c r="J127" s="21">
        <f>-(Données!I$44*1E-24*H127+Données!F$44)*I127</f>
        <v>-1.6339451727589996E-8</v>
      </c>
      <c r="K127" s="42">
        <f t="shared" si="39"/>
        <v>2649.6157635698646</v>
      </c>
      <c r="L127" s="23">
        <f>-(Données!I$45*1E-24*H127+Données!F$45)*K127+(I127*Données!H$44*1E-24*H127)+(Données!H$51*1E-24*H127)*Y127</f>
        <v>-2.4666020491444449E-6</v>
      </c>
      <c r="M127" s="40">
        <f t="shared" si="40"/>
        <v>1412.5028607905535</v>
      </c>
      <c r="N127" s="21">
        <f>-(Données!I$46*1E-24*H127+Données!F$46)*M127+Données!H$45*1E-24*H127*K127</f>
        <v>-3.0977974219242342E-8</v>
      </c>
      <c r="O127" s="42">
        <f t="shared" si="41"/>
        <v>189.13987641333924</v>
      </c>
      <c r="P127" s="23">
        <f>-(Données!I$47*1E-24*H127+Données!F$47)*O127+(Données!H$46*1E-24*H127)*M127</f>
        <v>1.8348700095283105E-8</v>
      </c>
      <c r="Q127" s="40">
        <f t="shared" si="42"/>
        <v>110.08036836931055</v>
      </c>
      <c r="R127" s="43">
        <f>-(Données!I$48*1E-24*H127+Données!F$48)*Q127+Données!H$47*1E-24*H127*O127+(Données!I$49*1E-24*H127*S127)*0.85*0.16</f>
        <v>4.8425551596541964E-8</v>
      </c>
      <c r="S127" s="42">
        <f t="shared" si="43"/>
        <v>47.252870622217742</v>
      </c>
      <c r="T127" s="22">
        <f>-(Données!I$49*1E-24*H127+Données!F$49)*S127+Données!F$47*O127</f>
        <v>-6.6769079260461469E-9</v>
      </c>
      <c r="U127" s="28">
        <f t="shared" si="44"/>
        <v>4411.4366176293779</v>
      </c>
      <c r="V127" s="19"/>
      <c r="W127" s="40">
        <f t="shared" si="45"/>
        <v>12.417815193753833</v>
      </c>
      <c r="X127" s="21">
        <f>-(Données!I$50*1E-24*H127+Données!F$50)*W127+Données!F$45*K127</f>
        <v>-8.9001593442662434E-8</v>
      </c>
      <c r="Y127" s="42">
        <f t="shared" si="46"/>
        <v>19254.396913118613</v>
      </c>
      <c r="Z127" s="23">
        <f>-(Données!I$51*1E-24*H127+Données!F$51)*Y127+Données!F$48*Q127</f>
        <v>-1.8888239831937173E-5</v>
      </c>
      <c r="AA127" s="15">
        <f t="shared" si="47"/>
        <v>19266.814728312365</v>
      </c>
    </row>
    <row r="128" spans="1:27" s="4" customFormat="1" ht="15" thickBot="1">
      <c r="A128" s="2"/>
      <c r="B128" s="2"/>
      <c r="C128" s="2"/>
      <c r="D128" s="2"/>
      <c r="E128" s="20">
        <v>126</v>
      </c>
      <c r="F128" s="27">
        <f t="shared" si="36"/>
        <v>10.5</v>
      </c>
      <c r="G128" s="18">
        <f t="shared" si="37"/>
        <v>331128000</v>
      </c>
      <c r="H128" s="75">
        <f>IF(F128&lt;Données!C$26/365,Données!C$30,0)</f>
        <v>3125923379334265</v>
      </c>
      <c r="I128" s="40">
        <f t="shared" si="38"/>
        <v>2.801937784952425</v>
      </c>
      <c r="J128" s="21">
        <f>-(Données!I$44*1E-24*H128+Données!F$44)*I128</f>
        <v>-1.609282695710535E-8</v>
      </c>
      <c r="K128" s="42">
        <f t="shared" si="39"/>
        <v>2643.1335333847128</v>
      </c>
      <c r="L128" s="23">
        <f>-(Données!I$45*1E-24*H128+Données!F$45)*K128+(I128*Données!H$44*1E-24*H128)+(Données!H$51*1E-24*H128)*Y128</f>
        <v>-2.4627158450541025E-6</v>
      </c>
      <c r="M128" s="40">
        <f t="shared" si="40"/>
        <v>1412.4214506743053</v>
      </c>
      <c r="N128" s="21">
        <f>-(Données!I$46*1E-24*H128+Données!F$46)*M128+Données!H$45*1E-24*H128*K128</f>
        <v>-4.0078549574910328E-8</v>
      </c>
      <c r="O128" s="42">
        <f t="shared" si="41"/>
        <v>189.18809679718964</v>
      </c>
      <c r="P128" s="23">
        <f>-(Données!I$47*1E-24*H128+Données!F$47)*O128+(Données!H$46*1E-24*H128)*M128</f>
        <v>1.7723292428313704E-8</v>
      </c>
      <c r="Q128" s="40">
        <f t="shared" si="42"/>
        <v>110.20763071890626</v>
      </c>
      <c r="R128" s="43">
        <f>-(Données!I$48*1E-24*H128+Données!F$48)*Q128+Données!H$47*1E-24*H128*O128+(Données!I$49*1E-24*H128*S128)*0.85*0.16</f>
        <v>4.8180874951353729E-8</v>
      </c>
      <c r="S128" s="42">
        <f t="shared" si="43"/>
        <v>47.235323708188091</v>
      </c>
      <c r="T128" s="22">
        <f>-(Données!I$49*1E-24*H128+Données!F$49)*S128+Données!F$47*O128</f>
        <v>-6.4926760773301574E-9</v>
      </c>
      <c r="U128" s="28">
        <f t="shared" si="44"/>
        <v>4404.9879730682542</v>
      </c>
      <c r="V128" s="19"/>
      <c r="W128" s="40">
        <f t="shared" si="45"/>
        <v>12.183919006186517</v>
      </c>
      <c r="X128" s="21">
        <f>-(Données!I$50*1E-24*H128+Données!F$50)*W128+Données!F$45*K128</f>
        <v>-8.7285613315972225E-8</v>
      </c>
      <c r="Y128" s="42">
        <f t="shared" si="46"/>
        <v>19204.758618840282</v>
      </c>
      <c r="Z128" s="23">
        <f>-(Données!I$51*1E-24*H128+Données!F$51)*Y128+Données!F$48*Q128</f>
        <v>-1.8839545475250882E-5</v>
      </c>
      <c r="AA128" s="15">
        <f t="shared" si="47"/>
        <v>19216.942537846469</v>
      </c>
    </row>
    <row r="129" spans="1:27" s="4" customFormat="1" ht="15" thickBot="1">
      <c r="A129" s="2"/>
      <c r="B129" s="2"/>
      <c r="C129" s="2"/>
      <c r="D129" s="2"/>
      <c r="E129" s="20">
        <v>127</v>
      </c>
      <c r="F129" s="27">
        <f t="shared" si="36"/>
        <v>10.583333333333334</v>
      </c>
      <c r="G129" s="18">
        <f t="shared" si="37"/>
        <v>333756000</v>
      </c>
      <c r="H129" s="75">
        <f>IF(F129&lt;Données!C$26/365,Données!C$30,0)</f>
        <v>3125923379334265</v>
      </c>
      <c r="I129" s="40">
        <f t="shared" si="38"/>
        <v>2.759645835709152</v>
      </c>
      <c r="J129" s="21">
        <f>-(Données!I$44*1E-24*H129+Données!F$44)*I129</f>
        <v>-1.5849924696924642E-8</v>
      </c>
      <c r="K129" s="42">
        <f t="shared" si="39"/>
        <v>2636.6615161439108</v>
      </c>
      <c r="L129" s="23">
        <f>-(Données!I$45*1E-24*H129+Données!F$45)*K129+(I129*Données!H$44*1E-24*H129)+(Données!H$51*1E-24*H129)*Y129</f>
        <v>-2.4587937538336428E-6</v>
      </c>
      <c r="M129" s="40">
        <f t="shared" si="40"/>
        <v>1412.3161242460226</v>
      </c>
      <c r="N129" s="21">
        <f>-(Données!I$46*1E-24*H129+Données!F$46)*M129+Données!H$45*1E-24*H129*K129</f>
        <v>-4.9099396823581162E-8</v>
      </c>
      <c r="O129" s="42">
        <f t="shared" si="41"/>
        <v>189.23467360969124</v>
      </c>
      <c r="P129" s="23">
        <f>-(Données!I$47*1E-24*H129+Données!F$47)*O129+(Données!H$46*1E-24*H129)*M129</f>
        <v>1.7081111181355681E-8</v>
      </c>
      <c r="Q129" s="40">
        <f t="shared" si="42"/>
        <v>110.33425005827841</v>
      </c>
      <c r="R129" s="43">
        <f>-(Données!I$48*1E-24*H129+Données!F$48)*Q129+Données!H$47*1E-24*H129*O129+(Données!I$49*1E-24*H129*S129)*0.85*0.16</f>
        <v>4.7935802733567785E-8</v>
      </c>
      <c r="S129" s="42">
        <f t="shared" si="43"/>
        <v>47.21826095545687</v>
      </c>
      <c r="T129" s="22">
        <f>-(Données!I$49*1E-24*H129+Données!F$49)*S129+Données!F$47*O129</f>
        <v>-6.3140079624489536E-9</v>
      </c>
      <c r="U129" s="28">
        <f t="shared" si="44"/>
        <v>4398.5244708490691</v>
      </c>
      <c r="V129" s="19"/>
      <c r="W129" s="40">
        <f t="shared" si="45"/>
        <v>11.954532414392142</v>
      </c>
      <c r="X129" s="21">
        <f>-(Données!I$50*1E-24*H129+Données!F$50)*W129+Données!F$45*K129</f>
        <v>-8.5602822478467384E-8</v>
      </c>
      <c r="Y129" s="42">
        <f t="shared" si="46"/>
        <v>19155.248293331322</v>
      </c>
      <c r="Z129" s="23">
        <f>-(Données!I$51*1E-24*H129+Données!F$51)*Y129+Données!F$48*Q129</f>
        <v>-1.8790976653857605E-5</v>
      </c>
      <c r="AA129" s="15">
        <f t="shared" si="47"/>
        <v>19167.202825745713</v>
      </c>
    </row>
    <row r="130" spans="1:27" s="4" customFormat="1" ht="15" thickBot="1">
      <c r="A130" s="2"/>
      <c r="B130" s="2"/>
      <c r="C130" s="2"/>
      <c r="D130" s="2"/>
      <c r="E130" s="20">
        <v>128</v>
      </c>
      <c r="F130" s="27">
        <f t="shared" si="36"/>
        <v>10.666666666666666</v>
      </c>
      <c r="G130" s="18">
        <f t="shared" si="37"/>
        <v>336384000</v>
      </c>
      <c r="H130" s="75">
        <f>IF(F130&lt;Données!C$26/365,Données!C$30,0)</f>
        <v>3125923379334265</v>
      </c>
      <c r="I130" s="40">
        <f t="shared" si="38"/>
        <v>2.7179922336056341</v>
      </c>
      <c r="J130" s="21">
        <f>-(Données!I$44*1E-24*H130+Données!F$44)*I130</f>
        <v>-1.5610688760141194E-8</v>
      </c>
      <c r="K130" s="42">
        <f t="shared" si="39"/>
        <v>2630.1998061588361</v>
      </c>
      <c r="L130" s="23">
        <f>-(Données!I$45*1E-24*H130+Données!F$45)*K130+(I130*Données!H$44*1E-24*H130)+(Données!H$51*1E-24*H130)*Y130</f>
        <v>-2.4548367173132335E-6</v>
      </c>
      <c r="M130" s="40">
        <f t="shared" si="40"/>
        <v>1412.1870910311702</v>
      </c>
      <c r="N130" s="21">
        <f>-(Données!I$46*1E-24*H130+Données!F$46)*M130+Données!H$45*1E-24*H130*K130</f>
        <v>-5.8040950148088266E-8</v>
      </c>
      <c r="O130" s="42">
        <f t="shared" si="41"/>
        <v>189.27956276987584</v>
      </c>
      <c r="P130" s="23">
        <f>-(Données!I$47*1E-24*H130+Données!F$47)*O130+(Données!H$46*1E-24*H130)*M130</f>
        <v>1.642292087854182E-8</v>
      </c>
      <c r="Q130" s="40">
        <f t="shared" si="42"/>
        <v>110.46022534786223</v>
      </c>
      <c r="R130" s="43">
        <f>-(Données!I$48*1E-24*H130+Données!F$48)*Q130+Données!H$47*1E-24*H130*O130+(Données!I$49*1E-24*H130*S130)*0.85*0.16</f>
        <v>4.7690263042973257E-8</v>
      </c>
      <c r="S130" s="42">
        <f t="shared" si="43"/>
        <v>47.201667742531555</v>
      </c>
      <c r="T130" s="22">
        <f>-(Données!I$49*1E-24*H130+Données!F$49)*S130+Données!F$47*O130</f>
        <v>-6.1408793520997242E-9</v>
      </c>
      <c r="U130" s="28">
        <f t="shared" si="44"/>
        <v>4392.0463452838821</v>
      </c>
      <c r="V130" s="19"/>
      <c r="W130" s="40">
        <f t="shared" si="45"/>
        <v>11.729568196918731</v>
      </c>
      <c r="X130" s="21">
        <f>-(Données!I$50*1E-24*H130+Données!F$50)*W130+Données!F$45*K130</f>
        <v>-8.3952578740040922E-8</v>
      </c>
      <c r="Y130" s="42">
        <f t="shared" si="46"/>
        <v>19105.865606684984</v>
      </c>
      <c r="Z130" s="23">
        <f>-(Données!I$51*1E-24*H130+Données!F$51)*Y130+Données!F$48*Q130</f>
        <v>-1.8742533044124307E-5</v>
      </c>
      <c r="AA130" s="15">
        <f t="shared" si="47"/>
        <v>19117.595174881902</v>
      </c>
    </row>
    <row r="131" spans="1:27" s="4" customFormat="1" ht="15" thickBot="1">
      <c r="A131" s="2"/>
      <c r="B131" s="2"/>
      <c r="C131" s="2"/>
      <c r="D131" s="2"/>
      <c r="E131" s="20">
        <v>129</v>
      </c>
      <c r="F131" s="27">
        <f t="shared" si="36"/>
        <v>10.75</v>
      </c>
      <c r="G131" s="18">
        <f t="shared" si="37"/>
        <v>339012000</v>
      </c>
      <c r="H131" s="75">
        <f>IF(F131&lt;Données!C$26/365,Données!C$30,0)</f>
        <v>3125923379334265</v>
      </c>
      <c r="I131" s="40">
        <f t="shared" si="38"/>
        <v>2.6769673435439829</v>
      </c>
      <c r="J131" s="21">
        <f>-(Données!I$44*1E-24*H131+Données!F$44)*I131</f>
        <v>-1.5375063807923478E-8</v>
      </c>
      <c r="K131" s="42">
        <f t="shared" si="39"/>
        <v>2623.7484952657369</v>
      </c>
      <c r="L131" s="23">
        <f>-(Données!I$45*1E-24*H131+Données!F$45)*K131+(I131*Données!H$44*1E-24*H131)+(Données!H$51*1E-24*H131)*Y131</f>
        <v>-2.4508456592248686E-6</v>
      </c>
      <c r="M131" s="40">
        <f t="shared" si="40"/>
        <v>1412.0345594141811</v>
      </c>
      <c r="N131" s="21">
        <f>-(Données!I$46*1E-24*H131+Données!F$46)*M131+Données!H$45*1E-24*H131*K131</f>
        <v>-6.6903644187632019E-8</v>
      </c>
      <c r="O131" s="42">
        <f t="shared" si="41"/>
        <v>189.32272220594464</v>
      </c>
      <c r="P131" s="23">
        <f>-(Données!I$47*1E-24*H131+Données!F$47)*O131+(Données!H$46*1E-24*H131)*M131</f>
        <v>1.5749463197924577E-8</v>
      </c>
      <c r="Q131" s="40">
        <f t="shared" si="42"/>
        <v>110.58555535913916</v>
      </c>
      <c r="R131" s="43">
        <f>-(Données!I$48*1E-24*H131+Données!F$48)*Q131+Données!H$47*1E-24*H131*O131+(Données!I$49*1E-24*H131*S131)*0.85*0.16</f>
        <v>4.7444187298219596E-8</v>
      </c>
      <c r="S131" s="42">
        <f t="shared" si="43"/>
        <v>47.18552951159424</v>
      </c>
      <c r="T131" s="22">
        <f>-(Données!I$49*1E-24*H131+Données!F$49)*S131+Données!F$47*O131</f>
        <v>-5.9732633342713066E-9</v>
      </c>
      <c r="U131" s="28">
        <f t="shared" si="44"/>
        <v>4385.5538291001394</v>
      </c>
      <c r="V131" s="19"/>
      <c r="W131" s="40">
        <f t="shared" si="45"/>
        <v>11.508940819989903</v>
      </c>
      <c r="X131" s="21">
        <f>-(Données!I$50*1E-24*H131+Données!F$50)*W131+Données!F$45*K131</f>
        <v>-8.2334252337119115E-8</v>
      </c>
      <c r="Y131" s="42">
        <f t="shared" si="46"/>
        <v>19056.610229845024</v>
      </c>
      <c r="Z131" s="23">
        <f>-(Données!I$51*1E-24*H131+Données!F$51)*Y131+Données!F$48*Q131</f>
        <v>-1.8694214323252306E-5</v>
      </c>
      <c r="AA131" s="15">
        <f t="shared" si="47"/>
        <v>19068.119170665013</v>
      </c>
    </row>
    <row r="132" spans="1:27" s="4" customFormat="1" ht="15" thickBot="1">
      <c r="A132" s="2"/>
      <c r="B132" s="2"/>
      <c r="C132" s="2"/>
      <c r="D132" s="2"/>
      <c r="E132" s="20">
        <v>130</v>
      </c>
      <c r="F132" s="27">
        <f t="shared" si="36"/>
        <v>10.833333333333334</v>
      </c>
      <c r="G132" s="18">
        <f t="shared" si="37"/>
        <v>341640000</v>
      </c>
      <c r="H132" s="75">
        <f>IF(F132&lt;Données!C$26/365,Données!C$30,0)</f>
        <v>3125923379334265</v>
      </c>
      <c r="I132" s="40">
        <f t="shared" si="38"/>
        <v>2.6365616758567598</v>
      </c>
      <c r="J132" s="21">
        <f>-(Données!I$44*1E-24*H132+Données!F$44)*I132</f>
        <v>-1.5142995336714427E-8</v>
      </c>
      <c r="K132" s="42">
        <f t="shared" si="39"/>
        <v>2617.307672873294</v>
      </c>
      <c r="L132" s="23">
        <f>-(Données!I$45*1E-24*H132+Données!F$45)*K132+(I132*Données!H$44*1E-24*H132)+(Données!H$51*1E-24*H132)*Y132</f>
        <v>-2.4468214855375296E-6</v>
      </c>
      <c r="M132" s="40">
        <f t="shared" si="40"/>
        <v>1411.858736637256</v>
      </c>
      <c r="N132" s="21">
        <f>-(Données!I$46*1E-24*H132+Données!F$46)*M132+Données!H$45*1E-24*H132*K132</f>
        <v>-7.5687913966121185E-8</v>
      </c>
      <c r="O132" s="42">
        <f t="shared" si="41"/>
        <v>189.36411179522878</v>
      </c>
      <c r="P132" s="23">
        <f>-(Données!I$47*1E-24*H132+Données!F$47)*O132+(Données!H$46*1E-24*H132)*M132</f>
        <v>1.5061457603806505E-8</v>
      </c>
      <c r="Q132" s="40">
        <f t="shared" si="42"/>
        <v>110.71023868335888</v>
      </c>
      <c r="R132" s="43">
        <f>-(Données!I$48*1E-24*H132+Données!F$48)*Q132+Données!H$47*1E-24*H132*O132+(Données!I$49*1E-24*H132*S132)*0.85*0.16</f>
        <v>4.7197510138037041E-8</v>
      </c>
      <c r="S132" s="42">
        <f t="shared" si="43"/>
        <v>47.169831775551778</v>
      </c>
      <c r="T132" s="22">
        <f>-(Données!I$49*1E-24*H132+Données!F$49)*S132+Données!F$47*O132</f>
        <v>-5.8111304506608024E-9</v>
      </c>
      <c r="U132" s="28">
        <f t="shared" si="44"/>
        <v>4379.0471534405451</v>
      </c>
      <c r="V132" s="19"/>
      <c r="W132" s="40">
        <f t="shared" si="45"/>
        <v>11.292566404847953</v>
      </c>
      <c r="X132" s="21">
        <f>-(Données!I$50*1E-24*H132+Données!F$50)*W132+Données!F$45*K132</f>
        <v>-8.0747225692205486E-8</v>
      </c>
      <c r="Y132" s="42">
        <f t="shared" si="46"/>
        <v>19007.481834603517</v>
      </c>
      <c r="Z132" s="23">
        <f>-(Données!I$51*1E-24*H132+Données!F$51)*Y132+Données!F$48*Q132</f>
        <v>-1.8646020169275115E-5</v>
      </c>
      <c r="AA132" s="15">
        <f t="shared" si="47"/>
        <v>19018.774401008366</v>
      </c>
    </row>
    <row r="133" spans="1:27" ht="15" thickBot="1">
      <c r="E133" s="20">
        <v>131</v>
      </c>
      <c r="F133" s="27">
        <f t="shared" si="36"/>
        <v>10.916666666666666</v>
      </c>
      <c r="G133" s="18">
        <f t="shared" si="37"/>
        <v>344268000</v>
      </c>
      <c r="H133" s="75">
        <f>IF(F133&lt;Données!C$26/365,Données!C$30,0)</f>
        <v>3125923379334265</v>
      </c>
      <c r="I133" s="40">
        <f t="shared" si="38"/>
        <v>2.5967658841118744</v>
      </c>
      <c r="J133" s="21">
        <f>-(Données!I$44*1E-24*H133+Données!F$44)*I133</f>
        <v>-1.4914429665623942E-8</v>
      </c>
      <c r="K133" s="42">
        <f t="shared" si="39"/>
        <v>2610.8774260093014</v>
      </c>
      <c r="L133" s="23">
        <f>-(Données!I$45*1E-24*H133+Données!F$45)*K133+(I133*Données!H$44*1E-24*H133)+(Données!H$51*1E-24*H133)*Y133</f>
        <v>-2.4427650847861386E-6</v>
      </c>
      <c r="M133" s="40">
        <f t="shared" si="40"/>
        <v>1411.6598287993531</v>
      </c>
      <c r="N133" s="21">
        <f>-(Données!I$46*1E-24*H133+Données!F$46)*M133+Données!H$45*1E-24*H133*K133</f>
        <v>-8.4394194822292276E-8</v>
      </c>
      <c r="O133" s="42">
        <f t="shared" si="41"/>
        <v>189.40369330581157</v>
      </c>
      <c r="P133" s="23">
        <f>-(Données!I$47*1E-24*H133+Données!F$47)*O133+(Données!H$46*1E-24*H133)*M133</f>
        <v>1.4359601961795019E-8</v>
      </c>
      <c r="Q133" s="40">
        <f t="shared" si="42"/>
        <v>110.83427374000165</v>
      </c>
      <c r="R133" s="43">
        <f>-(Données!I$48*1E-24*H133+Données!F$48)*Q133+Données!H$47*1E-24*H133*O133+(Données!I$49*1E-24*H133*S133)*0.85*0.16</f>
        <v>4.6950169325095412E-8</v>
      </c>
      <c r="S133" s="42">
        <f t="shared" si="43"/>
        <v>47.154560124727439</v>
      </c>
      <c r="T133" s="22">
        <f>-(Données!I$49*1E-24*H133+Données!F$49)*S133+Données!F$47*O133</f>
        <v>-5.6544488282883094E-9</v>
      </c>
      <c r="U133" s="28">
        <f t="shared" si="44"/>
        <v>4372.5265478633064</v>
      </c>
      <c r="V133" s="19"/>
      <c r="W133" s="40">
        <f t="shared" si="45"/>
        <v>11.080362695728837</v>
      </c>
      <c r="X133" s="21">
        <f>-(Données!I$50*1E-24*H133+Données!F$50)*W133+Données!F$45*K133</f>
        <v>-7.919089317807754E-8</v>
      </c>
      <c r="Y133" s="42">
        <f t="shared" si="46"/>
        <v>18958.48009359866</v>
      </c>
      <c r="Z133" s="23">
        <f>-(Données!I$51*1E-24*H133+Données!F$51)*Y133+Données!F$48*Q133</f>
        <v>-1.8597950261056297E-5</v>
      </c>
      <c r="AA133" s="15">
        <f t="shared" si="47"/>
        <v>18969.560456294388</v>
      </c>
    </row>
    <row r="134" spans="1:27" ht="15" thickBot="1">
      <c r="E134" s="20">
        <v>132</v>
      </c>
      <c r="F134" s="27">
        <f t="shared" si="36"/>
        <v>11</v>
      </c>
      <c r="G134" s="18">
        <f t="shared" si="37"/>
        <v>346896000</v>
      </c>
      <c r="H134" s="75">
        <f>IF(F134&lt;Données!C$26/365,Données!C$30,0)</f>
        <v>3125923379334265</v>
      </c>
      <c r="I134" s="40">
        <f t="shared" si="38"/>
        <v>2.5575707629506148</v>
      </c>
      <c r="J134" s="21">
        <f>-(Données!I$44*1E-24*H134+Données!F$44)*I134</f>
        <v>-1.4689313924011699E-8</v>
      </c>
      <c r="K134" s="42">
        <f t="shared" si="39"/>
        <v>2604.4578393664833</v>
      </c>
      <c r="L134" s="23">
        <f>-(Données!I$45*1E-24*H134+Données!F$45)*K134+(I134*Données!H$44*1E-24*H134)+(Données!H$51*1E-24*H134)*Y134</f>
        <v>-2.4386773283944818E-6</v>
      </c>
      <c r="M134" s="40">
        <f t="shared" si="40"/>
        <v>1411.4380408553602</v>
      </c>
      <c r="N134" s="21">
        <f>-(Données!I$46*1E-24*H134+Données!F$46)*M134+Données!H$45*1E-24*H134*K134</f>
        <v>-9.3022922341572104E-8</v>
      </c>
      <c r="O134" s="42">
        <f t="shared" si="41"/>
        <v>189.44143033976718</v>
      </c>
      <c r="P134" s="23">
        <f>-(Données!I$47*1E-24*H134+Données!F$47)*O134+(Données!H$46*1E-24*H134)*M134</f>
        <v>1.3644573137044822E-8</v>
      </c>
      <c r="Q134" s="40">
        <f t="shared" si="42"/>
        <v>110.957658784988</v>
      </c>
      <c r="R134" s="43">
        <f>-(Données!I$48*1E-24*H134+Données!F$48)*Q134+Données!H$47*1E-24*H134*O134+(Données!I$49*1E-24*H134*S134)*0.85*0.16</f>
        <v>4.6702105652431198E-8</v>
      </c>
      <c r="S134" s="42">
        <f t="shared" si="43"/>
        <v>47.139700233206696</v>
      </c>
      <c r="T134" s="22">
        <f>-(Données!I$49*1E-24*H134+Données!F$49)*S134+Données!F$47*O134</f>
        <v>-5.5031843064583191E-9</v>
      </c>
      <c r="U134" s="28">
        <f t="shared" si="44"/>
        <v>4365.9922403427563</v>
      </c>
      <c r="V134" s="19"/>
      <c r="W134" s="40">
        <f t="shared" si="45"/>
        <v>10.872249028456849</v>
      </c>
      <c r="X134" s="21">
        <f>-(Données!I$50*1E-24*H134+Données!F$50)*W134+Données!F$45*K134</f>
        <v>-7.7664660886546252E-8</v>
      </c>
      <c r="Y134" s="42">
        <f t="shared" si="46"/>
        <v>18909.604680312605</v>
      </c>
      <c r="Z134" s="23">
        <f>-(Données!I$51*1E-24*H134+Données!F$51)*Y134+Données!F$48*Q134</f>
        <v>-1.8550004278287306E-5</v>
      </c>
      <c r="AA134" s="15">
        <f t="shared" si="47"/>
        <v>18920.476929341061</v>
      </c>
    </row>
    <row r="135" spans="1:27" ht="15" thickBot="1">
      <c r="E135" s="20">
        <v>133</v>
      </c>
      <c r="F135" s="27">
        <f t="shared" si="36"/>
        <v>11.083333333333334</v>
      </c>
      <c r="G135" s="18">
        <f t="shared" si="37"/>
        <v>349524000</v>
      </c>
      <c r="H135" s="75">
        <f>IF(F135&lt;Données!C$26/365,Données!C$30,0)</f>
        <v>3125923379334265</v>
      </c>
      <c r="I135" s="40">
        <f t="shared" si="38"/>
        <v>2.5189672459583119</v>
      </c>
      <c r="J135" s="21">
        <f>-(Données!I$44*1E-24*H135+Données!F$44)*I135</f>
        <v>-1.4467596039257396E-8</v>
      </c>
      <c r="K135" s="42">
        <f t="shared" si="39"/>
        <v>2598.0489953474626</v>
      </c>
      <c r="L135" s="23">
        <f>-(Données!I$45*1E-24*H135+Données!F$45)*K135+(I135*Données!H$44*1E-24*H135)+(Données!H$51*1E-24*H135)*Y135</f>
        <v>-2.4345590709921724E-6</v>
      </c>
      <c r="M135" s="40">
        <f t="shared" si="40"/>
        <v>1411.1935766154465</v>
      </c>
      <c r="N135" s="21">
        <f>-(Données!I$46*1E-24*H135+Données!F$46)*M135+Données!H$45*1E-24*H135*K135</f>
        <v>-1.0157453228964287E-7</v>
      </c>
      <c r="O135" s="42">
        <f t="shared" si="41"/>
        <v>189.47728827797133</v>
      </c>
      <c r="P135" s="23">
        <f>-(Données!I$47*1E-24*H135+Données!F$47)*O135+(Données!H$46*1E-24*H135)*M135</f>
        <v>1.2917027576159382E-8</v>
      </c>
      <c r="Q135" s="40">
        <f t="shared" si="42"/>
        <v>111.08039191864259</v>
      </c>
      <c r="R135" s="43">
        <f>-(Données!I$48*1E-24*H135+Données!F$48)*Q135+Données!H$47*1E-24*H135*O135+(Données!I$49*1E-24*H135*S135)*0.85*0.16</f>
        <v>4.6453262852376081E-8</v>
      </c>
      <c r="S135" s="42">
        <f t="shared" si="43"/>
        <v>47.125237864849325</v>
      </c>
      <c r="T135" s="22">
        <f>-(Données!I$49*1E-24*H135+Données!F$49)*S135+Données!F$47*O135</f>
        <v>-5.3573005592123587E-9</v>
      </c>
      <c r="U135" s="28">
        <f t="shared" si="44"/>
        <v>4359.4444572703314</v>
      </c>
      <c r="V135" s="19"/>
      <c r="W135" s="40">
        <f t="shared" si="45"/>
        <v>10.668146299647006</v>
      </c>
      <c r="X135" s="21">
        <f>-(Données!I$50*1E-24*H135+Données!F$50)*W135+Données!F$45*K135</f>
        <v>-7.6167946401690142E-8</v>
      </c>
      <c r="Y135" s="42">
        <f t="shared" si="46"/>
        <v>18860.855269069267</v>
      </c>
      <c r="Z135" s="23">
        <f>-(Données!I$51*1E-24*H135+Données!F$51)*Y135+Données!F$48*Q135</f>
        <v>-1.8502181901485394E-5</v>
      </c>
      <c r="AA135" s="15">
        <f t="shared" si="47"/>
        <v>18871.523415368913</v>
      </c>
    </row>
    <row r="136" spans="1:27">
      <c r="E136" s="20">
        <v>134</v>
      </c>
      <c r="F136" s="27">
        <f t="shared" si="36"/>
        <v>11.166666666666666</v>
      </c>
      <c r="G136" s="18">
        <f t="shared" si="37"/>
        <v>352152000</v>
      </c>
      <c r="H136" s="75">
        <f>IF(F136&lt;Données!C$26/365,Données!C$30,0)</f>
        <v>3125923379334265</v>
      </c>
      <c r="I136" s="40">
        <f t="shared" si="38"/>
        <v>2.4809464035671436</v>
      </c>
      <c r="J136" s="21">
        <f>-(Données!I$44*1E-24*H136+Données!F$44)*I136</f>
        <v>-1.4249224724715581E-8</v>
      </c>
      <c r="K136" s="42">
        <f t="shared" si="39"/>
        <v>2591.6509741088953</v>
      </c>
      <c r="L136" s="23">
        <f>-(Données!I$45*1E-24*H136+Données!F$45)*K136+(I136*Données!H$44*1E-24*H136)+(Données!H$51*1E-24*H136)*Y136</f>
        <v>-2.4304111507258298E-6</v>
      </c>
      <c r="M136" s="40">
        <f t="shared" si="40"/>
        <v>1410.9266387445894</v>
      </c>
      <c r="N136" s="21">
        <f>-(Données!I$46*1E-24*H136+Données!F$46)*M136+Données!H$45*1E-24*H136*K136</f>
        <v>-1.1004946054769157E-7</v>
      </c>
      <c r="O136" s="42">
        <f t="shared" si="41"/>
        <v>189.51123422644147</v>
      </c>
      <c r="P136" s="23">
        <f>-(Données!I$47*1E-24*H136+Données!F$47)*O136+(Données!H$46*1E-24*H136)*M136</f>
        <v>1.217760187318554E-8</v>
      </c>
      <c r="Q136" s="40">
        <f t="shared" si="42"/>
        <v>111.20247109341864</v>
      </c>
      <c r="R136" s="43">
        <f>-(Données!I$48*1E-24*H136+Données!F$48)*Q136+Données!H$47*1E-24*H136*O136+(Données!I$49*1E-24*H136*S136)*0.85*0.16</f>
        <v>4.6203587507921214E-8</v>
      </c>
      <c r="S136" s="42">
        <f t="shared" si="43"/>
        <v>47.111158878979715</v>
      </c>
      <c r="T136" s="22">
        <f>-(Données!I$49*1E-24*H136+Données!F$49)*S136+Données!F$47*O136</f>
        <v>-5.2167592134138543E-9</v>
      </c>
      <c r="U136" s="28">
        <f t="shared" si="44"/>
        <v>4352.8834234558908</v>
      </c>
      <c r="V136" s="19"/>
      <c r="W136" s="40">
        <f t="shared" si="45"/>
        <v>10.467976936503364</v>
      </c>
      <c r="X136" s="21">
        <f>-(Données!I$50*1E-24*H136+Données!F$50)*W136+Données!F$45*K136</f>
        <v>-7.4700178577477309E-8</v>
      </c>
      <c r="Y136" s="42">
        <f t="shared" si="46"/>
        <v>18812.231535032162</v>
      </c>
      <c r="Z136" s="23">
        <f>-(Données!I$51*1E-24*H136+Données!F$51)*Y136+Données!F$48*Q136</f>
        <v>-1.845448281199143E-5</v>
      </c>
      <c r="AA136" s="15">
        <f t="shared" si="47"/>
        <v>18822.699511968665</v>
      </c>
    </row>
  </sheetData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1"/>
  <dimension ref="A1:AC184"/>
  <sheetViews>
    <sheetView zoomScale="85" zoomScaleNormal="85" workbookViewId="0">
      <selection activeCell="O3" sqref="O3"/>
    </sheetView>
  </sheetViews>
  <sheetFormatPr baseColWidth="10" defaultColWidth="15.5" defaultRowHeight="14.25"/>
  <cols>
    <col min="1" max="1" width="8" style="2" bestFit="1" customWidth="1"/>
    <col min="2" max="2" width="19.5" style="2" customWidth="1"/>
    <col min="3" max="3" width="7.875" style="2" customWidth="1"/>
    <col min="4" max="4" width="18" style="2" bestFit="1" customWidth="1"/>
    <col min="5" max="5" width="11.375" style="19" bestFit="1" customWidth="1"/>
    <col min="6" max="6" width="11.5" style="19" bestFit="1" customWidth="1"/>
    <col min="7" max="8" width="8.25" style="111" bestFit="1" customWidth="1"/>
    <col min="9" max="9" width="9.25" style="111" bestFit="1" customWidth="1"/>
    <col min="10" max="13" width="8.25" style="111" bestFit="1" customWidth="1"/>
    <col min="14" max="14" width="13.375" style="111" bestFit="1" customWidth="1"/>
    <col min="15" max="15" width="11" style="111" bestFit="1" customWidth="1"/>
    <col min="16" max="16" width="6.375" style="19" customWidth="1"/>
    <col min="17" max="17" width="4.375" style="2" bestFit="1" customWidth="1"/>
    <col min="18" max="18" width="5.25" style="2" customWidth="1"/>
    <col min="19" max="19" width="11.375" style="2" bestFit="1" customWidth="1"/>
    <col min="20" max="22" width="10.875" style="1" bestFit="1" customWidth="1"/>
    <col min="23" max="23" width="10.5" style="1" bestFit="1" customWidth="1"/>
    <col min="24" max="25" width="10.875" style="1" bestFit="1" customWidth="1"/>
    <col min="26" max="27" width="9.625" style="2" bestFit="1" customWidth="1"/>
    <col min="28" max="16384" width="15.5" style="2"/>
  </cols>
  <sheetData>
    <row r="1" spans="1:29" s="31" customFormat="1" ht="15.75" thickBot="1">
      <c r="A1" s="110" t="s">
        <v>149</v>
      </c>
      <c r="B1" s="5" t="s">
        <v>81</v>
      </c>
      <c r="C1" s="2"/>
      <c r="D1" s="29"/>
      <c r="E1" s="110" t="s">
        <v>148</v>
      </c>
      <c r="F1" s="111"/>
      <c r="G1" s="111"/>
      <c r="H1" s="111"/>
      <c r="I1" s="111"/>
      <c r="J1" s="111"/>
      <c r="K1" s="111"/>
      <c r="L1" s="111"/>
      <c r="M1" s="111"/>
      <c r="N1" s="109" t="s">
        <v>147</v>
      </c>
      <c r="O1" s="111"/>
      <c r="P1" s="109"/>
      <c r="Q1" s="106" t="s">
        <v>23</v>
      </c>
      <c r="R1" s="30" t="s">
        <v>24</v>
      </c>
      <c r="S1" s="34" t="s">
        <v>25</v>
      </c>
      <c r="T1" s="32" t="s">
        <v>26</v>
      </c>
      <c r="U1" s="32" t="s">
        <v>28</v>
      </c>
      <c r="V1" s="36" t="s">
        <v>29</v>
      </c>
      <c r="W1" s="32" t="s">
        <v>31</v>
      </c>
      <c r="X1" s="32" t="s">
        <v>33</v>
      </c>
      <c r="Y1" s="32" t="s">
        <v>78</v>
      </c>
      <c r="Z1" s="32" t="s">
        <v>79</v>
      </c>
      <c r="AA1" s="32" t="s">
        <v>80</v>
      </c>
    </row>
    <row r="2" spans="1:29" ht="15.75" thickBot="1">
      <c r="A2" s="101" t="s">
        <v>7</v>
      </c>
      <c r="B2" s="73">
        <f>Données!D10</f>
        <v>19.041708027546772</v>
      </c>
      <c r="D2" s="16"/>
      <c r="F2" s="112">
        <f>-(Données!I$44*1E-24*B$12+Données!F$44)</f>
        <v>-5.7434633429516339E-9</v>
      </c>
      <c r="G2" s="113">
        <v>0</v>
      </c>
      <c r="H2" s="113">
        <v>0</v>
      </c>
      <c r="I2" s="113">
        <v>0</v>
      </c>
      <c r="J2" s="113">
        <v>0</v>
      </c>
      <c r="K2" s="113">
        <v>0</v>
      </c>
      <c r="L2" s="113">
        <v>0</v>
      </c>
      <c r="M2" s="113">
        <v>0</v>
      </c>
      <c r="O2" s="112">
        <f t="array" ref="O2:O9">MMULT($F$2:$M$9,B2:B9)</f>
        <v>-1.0936535204340274E-7</v>
      </c>
      <c r="Q2" s="107">
        <v>0</v>
      </c>
      <c r="R2" s="26">
        <f t="shared" ref="R2:R65" si="0">S2/(3600*365*24)</f>
        <v>0</v>
      </c>
      <c r="S2" s="17">
        <f t="shared" ref="S2:S65" si="1">Q2*D$5</f>
        <v>0</v>
      </c>
      <c r="T2" s="42">
        <f t="shared" ref="T2:T33" si="2">$F$148*EXP($F$24*$S2)+$G$148*EXP($G$24*$S2)+$H$148*EXP($H$24*$S2)+$I$148*EXP($I$24*$S2)+$J$148*EXP($J$24*$S2)+$K$148*EXP($K$24*$S2)+$L$148*EXP($L$24*$S2)+$M$148*EXP($M$24*$S2)</f>
        <v>19.041708027546772</v>
      </c>
      <c r="U2" s="42">
        <f>$F$149*EXP($F$24*$S2)+$G$149*EXP($G$24*$S2)+$H$149*EXP($H$24*$S2)+$I$149*EXP($I$24*$S2)+$J$149*EXP($J$24*$S2)+$K$149*EXP($K$24*$S2)+$L$149*EXP($L$24*$S2)+$M$149*EXP($M$24*$S2)</f>
        <v>3461.582080376133</v>
      </c>
      <c r="V2" s="42">
        <f t="shared" ref="V2:V33" si="3">$F$150*EXP($F$24*$S2)+$G$150*EXP($G$24*$S2)+$H$150*EXP($H$24*$S2)+$I$150*EXP($I$24*$S2)+$J$150*EXP($J$24*$S2)+$K$150*EXP($K$24*$S2)+$L$150*EXP($L$24*$S2)+$M$150*EXP($M$24*$S2)</f>
        <v>1154.5288235649405</v>
      </c>
      <c r="W2" s="42">
        <f t="shared" ref="W2:W33" si="4">$F$151*EXP($F$24*$S2)+$G$151*EXP($G$24*$S2)+$H$151*EXP($H$24*$S2)+$I$151*EXP($I$24*$S2)+$J$151*EXP($J$24*$S2)+$K$151*EXP($K$24*$S2)+$L$151*EXP($L$24*$S2)+$M$151*EXP($M$24*$S2)</f>
        <v>241.52903340204068</v>
      </c>
      <c r="X2" s="42">
        <f t="shared" ref="X2:X33" si="5">$F$152*EXP($F$24*$S2)+$G$152*EXP($G$24*$S2)+$H$152*EXP($H$24*$S2)+$I$152*EXP($I$24*$S2)+$J$152*EXP($J$24*$S2)+$K$152*EXP($K$24*$S2)+$L$152*EXP($L$24*$S2)+$M$152*EXP($M$24*$S2)</f>
        <v>82.180003066254699</v>
      </c>
      <c r="Y2" s="42">
        <f t="shared" ref="Y2:Y33" si="6">$F$153*EXP($F$24*$S2)+$G$153*EXP($G$24*$S2)+$H$153*EXP($H$24*$S2)+$I$153*EXP($I$24*$S2)+$J$153*EXP($J$24*$S2)+$K$153*EXP($K$24*$S2)+$L$153*EXP($L$24*$S2)+$M$153*EXP($M$24*$S2)</f>
        <v>52.114148285917622</v>
      </c>
      <c r="Z2" s="42">
        <f t="shared" ref="Z2:Z33" si="7">$F$154*EXP($F$24*$S2)+$G$154*EXP($G$24*$S2)+$H$154*EXP($H$24*$S2)+$I$154*EXP($I$24*$S2)+$J$154*EXP($J$24*$S2)+$K$154*EXP($K$24*$S2)+$L$154*EXP($L$24*$S2)+$M$154*EXP($M$24*$S2)</f>
        <v>138.97314965789133</v>
      </c>
      <c r="AA2" s="42">
        <f t="shared" ref="AA2:AA33" si="8">$F$155*EXP($F$24*$S2)+$G$155*EXP($G$24*$S2)+$H$155*EXP($H$24*$S2)+$I$155*EXP($I$24*$S2)+$J$155*EXP($J$24*$S2)+$K$155*EXP($K$24*$S2)+$L$155*EXP($L$24*$S2)+$M$155*EXP($M$24*$S2)</f>
        <v>26586.632553782747</v>
      </c>
    </row>
    <row r="3" spans="1:29" ht="15.75" thickBot="1">
      <c r="A3" s="101" t="s">
        <v>9</v>
      </c>
      <c r="B3" s="73">
        <f>Données!D11</f>
        <v>3461.5820803761339</v>
      </c>
      <c r="F3" s="112">
        <f>Données!H$44*1E-24*B$12</f>
        <v>1.5619926534195389E-9</v>
      </c>
      <c r="G3" s="112">
        <f>-(Données!I$45*1E-24*B$12+Données!F$45)</f>
        <v>-6.9349911725794344E-9</v>
      </c>
      <c r="H3" s="113">
        <v>0</v>
      </c>
      <c r="I3" s="113">
        <v>0</v>
      </c>
      <c r="J3" s="113">
        <v>0</v>
      </c>
      <c r="K3" s="113">
        <v>0</v>
      </c>
      <c r="L3" s="113">
        <v>0</v>
      </c>
      <c r="M3" s="112">
        <f>(Données!H$51*1E-24*B$12)</f>
        <v>8.2599399375528609E-10</v>
      </c>
      <c r="O3" s="112">
        <v>-2.015899358916743E-6</v>
      </c>
      <c r="Q3" s="108">
        <v>1</v>
      </c>
      <c r="R3" s="27">
        <f t="shared" si="0"/>
        <v>8.3333333333333329E-2</v>
      </c>
      <c r="S3" s="18">
        <f t="shared" si="1"/>
        <v>2628000</v>
      </c>
      <c r="T3" s="42">
        <f t="shared" si="2"/>
        <v>18.756454084060483</v>
      </c>
      <c r="U3" s="42">
        <f t="shared" ref="U3:U33" si="9">$F$149*EXP($F$24*$S3)+$G$149*EXP($G$24*$S3)+$H$149*EXP($H$24*$S3)+$I$149*EXP($I$24*$S3)+$J$149*EXP($J$24*$S3)+$K$149*EXP($K$24*$S3)+$L$149*EXP($L$24*$S3)+$M$149*EXP($M$24*$S3)</f>
        <v>3456.2578200755306</v>
      </c>
      <c r="V3" s="42">
        <f t="shared" si="3"/>
        <v>1159.3325357283957</v>
      </c>
      <c r="W3" s="42">
        <f t="shared" si="4"/>
        <v>239.19737987234839</v>
      </c>
      <c r="X3" s="42">
        <f t="shared" si="5"/>
        <v>82.677242875249476</v>
      </c>
      <c r="Y3" s="42">
        <f t="shared" si="6"/>
        <v>52.221948130873727</v>
      </c>
      <c r="Z3" s="42">
        <f t="shared" si="7"/>
        <v>136.30978258140138</v>
      </c>
      <c r="AA3" s="42">
        <f t="shared" si="8"/>
        <v>26518.179832723614</v>
      </c>
    </row>
    <row r="4" spans="1:29" ht="15.75" thickBot="1">
      <c r="A4" s="101" t="s">
        <v>10</v>
      </c>
      <c r="B4" s="73">
        <f>Données!D12</f>
        <v>1154.5288235649409</v>
      </c>
      <c r="D4" s="3" t="s">
        <v>39</v>
      </c>
      <c r="E4" s="110"/>
      <c r="F4" s="113">
        <v>0</v>
      </c>
      <c r="G4" s="112">
        <f>Données!H$45*1E-24*B$12</f>
        <v>1.4380810506627284E-9</v>
      </c>
      <c r="H4" s="112">
        <f>-(Données!I$46*1E-24*B$12+Données!F$46)</f>
        <v>-2.71952737369777E-9</v>
      </c>
      <c r="I4" s="113">
        <v>0</v>
      </c>
      <c r="J4" s="113">
        <v>0</v>
      </c>
      <c r="K4" s="113">
        <v>0</v>
      </c>
      <c r="L4" s="113">
        <v>0</v>
      </c>
      <c r="M4" s="113">
        <v>0</v>
      </c>
      <c r="O4" s="112">
        <v>1.8382628556946444E-6</v>
      </c>
      <c r="P4" s="110"/>
      <c r="Q4" s="108">
        <v>2</v>
      </c>
      <c r="R4" s="27">
        <f t="shared" si="0"/>
        <v>0.16666666666666666</v>
      </c>
      <c r="S4" s="18">
        <f t="shared" si="1"/>
        <v>5256000</v>
      </c>
      <c r="T4" s="42">
        <f t="shared" si="2"/>
        <v>18.475473381827381</v>
      </c>
      <c r="U4" s="42">
        <f t="shared" si="9"/>
        <v>3450.8815096753633</v>
      </c>
      <c r="V4" s="42">
        <f t="shared" si="3"/>
        <v>1164.0818898804214</v>
      </c>
      <c r="W4" s="42">
        <f t="shared" si="4"/>
        <v>236.94721362752381</v>
      </c>
      <c r="X4" s="42">
        <f t="shared" si="5"/>
        <v>83.163231226244704</v>
      </c>
      <c r="Y4" s="42">
        <f t="shared" si="6"/>
        <v>52.318822213654499</v>
      </c>
      <c r="Z4" s="42">
        <f t="shared" si="7"/>
        <v>133.69745750500215</v>
      </c>
      <c r="AA4" s="42">
        <f t="shared" si="8"/>
        <v>26449.903357182317</v>
      </c>
    </row>
    <row r="5" spans="1:29" ht="15.75" thickBot="1">
      <c r="A5" s="101" t="s">
        <v>11</v>
      </c>
      <c r="B5" s="73">
        <f>Données!D13</f>
        <v>241.52903340204062</v>
      </c>
      <c r="D5" s="16">
        <f>3600*365*24/12</f>
        <v>2628000</v>
      </c>
      <c r="F5" s="113">
        <v>0</v>
      </c>
      <c r="G5" s="113">
        <v>0</v>
      </c>
      <c r="H5" s="112">
        <f>Données!H$46*1E-24*B$12</f>
        <v>1.427077800367472E-9</v>
      </c>
      <c r="I5" s="112">
        <f>-(Données!I$47*1E-24*B$12+Données!F$47)</f>
        <v>-1.0560453001086941E-8</v>
      </c>
      <c r="J5" s="113">
        <v>0</v>
      </c>
      <c r="K5" s="113">
        <v>0</v>
      </c>
      <c r="L5" s="113">
        <v>0</v>
      </c>
      <c r="M5" s="113">
        <v>0</v>
      </c>
      <c r="O5" s="112">
        <v>-9.0305355164630673E-7</v>
      </c>
      <c r="Q5" s="108">
        <v>3</v>
      </c>
      <c r="R5" s="27">
        <f t="shared" si="0"/>
        <v>0.25</v>
      </c>
      <c r="S5" s="18">
        <f t="shared" si="1"/>
        <v>7884000</v>
      </c>
      <c r="T5" s="42">
        <f t="shared" si="2"/>
        <v>18.198701905638476</v>
      </c>
      <c r="U5" s="42">
        <f t="shared" si="9"/>
        <v>3445.4544850796105</v>
      </c>
      <c r="V5" s="42">
        <f t="shared" si="3"/>
        <v>1168.7770796442351</v>
      </c>
      <c r="W5" s="42">
        <f t="shared" si="4"/>
        <v>234.77610355420589</v>
      </c>
      <c r="X5" s="42">
        <f t="shared" si="5"/>
        <v>83.638308819265603</v>
      </c>
      <c r="Y5" s="42">
        <f t="shared" si="6"/>
        <v>52.405270436102484</v>
      </c>
      <c r="Z5" s="42">
        <f t="shared" si="7"/>
        <v>131.13519624428579</v>
      </c>
      <c r="AA5" s="42">
        <f t="shared" si="8"/>
        <v>26381.802673378868</v>
      </c>
    </row>
    <row r="6" spans="1:29" ht="15.75" thickBot="1">
      <c r="A6" s="101" t="s">
        <v>13</v>
      </c>
      <c r="B6" s="73">
        <f>Données!D14</f>
        <v>82.180003066254471</v>
      </c>
      <c r="F6" s="113">
        <v>0</v>
      </c>
      <c r="G6" s="113">
        <v>0</v>
      </c>
      <c r="H6" s="113">
        <v>0</v>
      </c>
      <c r="I6" s="112">
        <f>Données!H$47*1E-24*B$12</f>
        <v>1.4051025590107522E-9</v>
      </c>
      <c r="J6" s="112">
        <f>-(Données!I$48*1E-24*B$12+Données!F$48)</f>
        <v>-2.3381555221817427E-9</v>
      </c>
      <c r="K6" s="112">
        <f>Données!I$49*1E-24*B$12*0.85*0.16</f>
        <v>8.475601142601187E-10</v>
      </c>
      <c r="L6" s="113">
        <v>0</v>
      </c>
      <c r="M6" s="113">
        <v>0</v>
      </c>
      <c r="O6" s="112">
        <v>1.9139330840210629E-7</v>
      </c>
      <c r="Q6" s="108">
        <v>4</v>
      </c>
      <c r="R6" s="27">
        <f t="shared" si="0"/>
        <v>0.33333333333333331</v>
      </c>
      <c r="S6" s="18">
        <f t="shared" si="1"/>
        <v>10512000</v>
      </c>
      <c r="T6" s="42">
        <f t="shared" si="2"/>
        <v>17.926076599263393</v>
      </c>
      <c r="U6" s="42">
        <f t="shared" si="9"/>
        <v>3439.978056832434</v>
      </c>
      <c r="V6" s="42">
        <f t="shared" si="3"/>
        <v>1173.4183022469758</v>
      </c>
      <c r="W6" s="42">
        <f t="shared" si="4"/>
        <v>232.6816858046675</v>
      </c>
      <c r="X6" s="42">
        <f t="shared" si="5"/>
        <v>84.102806532346904</v>
      </c>
      <c r="Y6" s="42">
        <f t="shared" si="6"/>
        <v>52.481774926834817</v>
      </c>
      <c r="Z6" s="42">
        <f t="shared" si="7"/>
        <v>128.62203936090978</v>
      </c>
      <c r="AA6" s="42">
        <f t="shared" si="8"/>
        <v>26313.877328701627</v>
      </c>
    </row>
    <row r="7" spans="1:29" ht="15.75" thickBot="1">
      <c r="A7" s="101" t="s">
        <v>14</v>
      </c>
      <c r="B7" s="73">
        <f>Données!D15</f>
        <v>52.114148285917473</v>
      </c>
      <c r="D7" s="3" t="s">
        <v>187</v>
      </c>
      <c r="F7" s="113">
        <v>0</v>
      </c>
      <c r="G7" s="113">
        <v>0</v>
      </c>
      <c r="H7" s="113">
        <v>0</v>
      </c>
      <c r="I7" s="113">
        <f>Données!F$47</f>
        <v>1.5343492432592516E-9</v>
      </c>
      <c r="J7" s="113">
        <v>0</v>
      </c>
      <c r="K7" s="112">
        <f>-(Données!I$49*1E-24*B$12+Données!F$49)</f>
        <v>-6.2828676916701522E-9</v>
      </c>
      <c r="L7" s="113">
        <v>0</v>
      </c>
      <c r="M7" s="113">
        <v>0</v>
      </c>
      <c r="O7" s="112">
        <v>4.3163591081061186E-8</v>
      </c>
      <c r="P7" s="110"/>
      <c r="Q7" s="108">
        <v>5</v>
      </c>
      <c r="R7" s="27">
        <f t="shared" si="0"/>
        <v>0.41666666666666669</v>
      </c>
      <c r="S7" s="18">
        <f t="shared" si="1"/>
        <v>13140000</v>
      </c>
      <c r="T7" s="42">
        <f t="shared" si="2"/>
        <v>17.657535351084405</v>
      </c>
      <c r="U7" s="42">
        <f t="shared" si="9"/>
        <v>3434.4535105825639</v>
      </c>
      <c r="V7" s="42">
        <f t="shared" si="3"/>
        <v>1178.0057583994196</v>
      </c>
      <c r="W7" s="42">
        <f t="shared" si="4"/>
        <v>230.66166196877316</v>
      </c>
      <c r="X7" s="42">
        <f t="shared" si="5"/>
        <v>84.557045687099958</v>
      </c>
      <c r="Y7" s="42">
        <f t="shared" si="6"/>
        <v>52.548800597617372</v>
      </c>
      <c r="Z7" s="42">
        <f t="shared" si="7"/>
        <v>126.1570458033478</v>
      </c>
      <c r="AA7" s="42">
        <f t="shared" si="8"/>
        <v>26246.126871704291</v>
      </c>
      <c r="AC7" s="19"/>
    </row>
    <row r="8" spans="1:29" ht="15.75" thickBot="1">
      <c r="A8" s="101" t="s">
        <v>15</v>
      </c>
      <c r="B8" s="73">
        <f>Données!D16</f>
        <v>138.97314965789133</v>
      </c>
      <c r="D8" s="16" t="s">
        <v>186</v>
      </c>
      <c r="F8" s="113">
        <v>0</v>
      </c>
      <c r="G8" s="112">
        <f>Données!F$45</f>
        <v>9.1163637120235491E-13</v>
      </c>
      <c r="H8" s="113">
        <v>0</v>
      </c>
      <c r="I8" s="113">
        <v>0</v>
      </c>
      <c r="J8" s="113">
        <v>0</v>
      </c>
      <c r="K8" s="113">
        <v>0</v>
      </c>
      <c r="L8" s="112">
        <f>-(Données!I$50*1E-24*B$12+Données!F$50)</f>
        <v>-7.3617684041897035E-9</v>
      </c>
      <c r="M8" s="113">
        <v>0</v>
      </c>
      <c r="O8" s="112">
        <v>-1.0199324380558183E-6</v>
      </c>
      <c r="Q8" s="108">
        <v>6</v>
      </c>
      <c r="R8" s="27">
        <f t="shared" si="0"/>
        <v>0.5</v>
      </c>
      <c r="S8" s="18">
        <f t="shared" si="1"/>
        <v>15768000</v>
      </c>
      <c r="T8" s="42">
        <f t="shared" si="2"/>
        <v>17.393016979945706</v>
      </c>
      <c r="U8" s="42">
        <f t="shared" si="9"/>
        <v>3428.8821075392261</v>
      </c>
      <c r="V8" s="42">
        <f t="shared" si="3"/>
        <v>1182.5396521782793</v>
      </c>
      <c r="W8" s="42">
        <f t="shared" si="4"/>
        <v>228.7137972955336</v>
      </c>
      <c r="X8" s="42">
        <f t="shared" si="5"/>
        <v>85.001338307226831</v>
      </c>
      <c r="Y8" s="42">
        <f t="shared" si="6"/>
        <v>52.606795683418596</v>
      </c>
      <c r="Z8" s="42">
        <f t="shared" si="7"/>
        <v>123.73929255452508</v>
      </c>
      <c r="AA8" s="42">
        <f t="shared" si="8"/>
        <v>26178.550852102904</v>
      </c>
      <c r="AC8" s="19"/>
    </row>
    <row r="9" spans="1:29" ht="15.75" thickBot="1">
      <c r="A9" s="101" t="s">
        <v>16</v>
      </c>
      <c r="B9" s="73">
        <f>Données!D17</f>
        <v>26586.632553782751</v>
      </c>
      <c r="F9" s="113">
        <v>0</v>
      </c>
      <c r="G9" s="113">
        <v>0</v>
      </c>
      <c r="H9" s="113">
        <v>0</v>
      </c>
      <c r="I9" s="113">
        <v>0</v>
      </c>
      <c r="J9" s="112">
        <f>Données!F$48</f>
        <v>5.8612141092503409E-14</v>
      </c>
      <c r="K9" s="113">
        <v>0</v>
      </c>
      <c r="L9" s="113">
        <v>0</v>
      </c>
      <c r="M9" s="112">
        <f>-(Données!I$51*1E-24*B$12+Données!F$51)</f>
        <v>-9.8098353166876458E-10</v>
      </c>
      <c r="O9" s="112">
        <v>-2.6081043881043615E-5</v>
      </c>
      <c r="Q9" s="108">
        <v>7</v>
      </c>
      <c r="R9" s="27">
        <f t="shared" si="0"/>
        <v>0.58333333333333337</v>
      </c>
      <c r="S9" s="18">
        <f t="shared" si="1"/>
        <v>18396000</v>
      </c>
      <c r="T9" s="42">
        <f t="shared" si="2"/>
        <v>17.132461221214609</v>
      </c>
      <c r="U9" s="42">
        <f t="shared" si="9"/>
        <v>3423.2650849197771</v>
      </c>
      <c r="V9" s="42">
        <f t="shared" si="3"/>
        <v>1187.0201909110476</v>
      </c>
      <c r="W9" s="42">
        <f t="shared" si="4"/>
        <v>226.83591896290719</v>
      </c>
      <c r="X9" s="42">
        <f t="shared" si="5"/>
        <v>85.435987370175326</v>
      </c>
      <c r="Y9" s="42">
        <f t="shared" si="6"/>
        <v>52.656192266603625</v>
      </c>
      <c r="Z9" s="42">
        <f t="shared" si="7"/>
        <v>121.36787428620633</v>
      </c>
      <c r="AA9" s="42">
        <f t="shared" si="8"/>
        <v>26111.148820772843</v>
      </c>
      <c r="AC9" s="19"/>
    </row>
    <row r="10" spans="1:29">
      <c r="Q10" s="108">
        <v>8</v>
      </c>
      <c r="R10" s="27">
        <f t="shared" si="0"/>
        <v>0.66666666666666663</v>
      </c>
      <c r="S10" s="18">
        <f t="shared" si="1"/>
        <v>21024000</v>
      </c>
      <c r="T10" s="42">
        <f t="shared" si="2"/>
        <v>16.875808713051605</v>
      </c>
      <c r="U10" s="42">
        <f t="shared" si="9"/>
        <v>3417.6036563891876</v>
      </c>
      <c r="V10" s="42">
        <f t="shared" si="3"/>
        <v>1191.4475850633282</v>
      </c>
      <c r="W10" s="42">
        <f t="shared" si="4"/>
        <v>225.02591439453829</v>
      </c>
      <c r="X10" s="42">
        <f t="shared" si="5"/>
        <v>85.861287052120247</v>
      </c>
      <c r="Y10" s="42">
        <f t="shared" si="6"/>
        <v>52.697406785720034</v>
      </c>
      <c r="Z10" s="42">
        <f t="shared" si="7"/>
        <v>119.04190302000701</v>
      </c>
      <c r="AA10" s="42">
        <f t="shared" si="8"/>
        <v>26043.920329745855</v>
      </c>
      <c r="AC10" s="19"/>
    </row>
    <row r="11" spans="1:29" ht="15.75" thickBot="1">
      <c r="B11" s="101" t="s">
        <v>59</v>
      </c>
      <c r="N11" s="109" t="s">
        <v>150</v>
      </c>
      <c r="Q11" s="108">
        <v>9</v>
      </c>
      <c r="R11" s="27">
        <f t="shared" si="0"/>
        <v>0.75</v>
      </c>
      <c r="S11" s="18">
        <f t="shared" si="1"/>
        <v>23652000</v>
      </c>
      <c r="T11" s="42">
        <f t="shared" si="2"/>
        <v>16.623000982886108</v>
      </c>
      <c r="U11" s="42">
        <f t="shared" si="9"/>
        <v>3411.8990124915317</v>
      </c>
      <c r="V11" s="42">
        <f t="shared" si="3"/>
        <v>1195.8220481286114</v>
      </c>
      <c r="W11" s="42">
        <f t="shared" si="4"/>
        <v>223.28172962215604</v>
      </c>
      <c r="X11" s="42">
        <f t="shared" si="5"/>
        <v>86.277522966441438</v>
      </c>
      <c r="Y11" s="42">
        <f t="shared" si="6"/>
        <v>52.730840529311166</v>
      </c>
      <c r="Z11" s="42">
        <f t="shared" si="7"/>
        <v>116.76050779490096</v>
      </c>
      <c r="AA11" s="42">
        <f t="shared" si="8"/>
        <v>25976.864932207071</v>
      </c>
      <c r="AC11" s="19"/>
    </row>
    <row r="12" spans="1:29">
      <c r="B12" s="75">
        <f>IF(R2&lt;Données!C$26/365,Données!C$30,0)</f>
        <v>3125923379334265</v>
      </c>
      <c r="O12" s="112">
        <f t="array" ref="O12:O19">MMULT($F$2:$M$9,O2:O9)</f>
        <v>6.2813589045028421E-16</v>
      </c>
      <c r="Q12" s="108">
        <v>10</v>
      </c>
      <c r="R12" s="27">
        <f t="shared" si="0"/>
        <v>0.83333333333333337</v>
      </c>
      <c r="S12" s="18">
        <f t="shared" si="1"/>
        <v>26280000</v>
      </c>
      <c r="T12" s="42">
        <f t="shared" si="2"/>
        <v>16.373980434094737</v>
      </c>
      <c r="U12" s="42">
        <f t="shared" si="9"/>
        <v>3406.15232107362</v>
      </c>
      <c r="V12" s="42">
        <f t="shared" si="3"/>
        <v>1200.1437965204427</v>
      </c>
      <c r="W12" s="42">
        <f t="shared" si="4"/>
        <v>221.60136769239398</v>
      </c>
      <c r="X12" s="42">
        <f t="shared" si="5"/>
        <v>86.684972395875889</v>
      </c>
      <c r="Y12" s="42">
        <f t="shared" si="6"/>
        <v>52.756880115184657</v>
      </c>
      <c r="Z12" s="42">
        <f t="shared" si="7"/>
        <v>114.52283434109968</v>
      </c>
      <c r="AA12" s="42">
        <f t="shared" si="8"/>
        <v>25909.982182492036</v>
      </c>
      <c r="AC12" s="19"/>
    </row>
    <row r="13" spans="1:29" ht="15">
      <c r="E13" s="110" t="s">
        <v>154</v>
      </c>
      <c r="O13" s="112">
        <v>-7.7333692141443642E-15</v>
      </c>
      <c r="Q13" s="108">
        <v>11</v>
      </c>
      <c r="R13" s="27">
        <f t="shared" si="0"/>
        <v>0.91666666666666663</v>
      </c>
      <c r="S13" s="18">
        <f t="shared" si="1"/>
        <v>28908000</v>
      </c>
      <c r="T13" s="42">
        <f t="shared" si="2"/>
        <v>16.128690332879241</v>
      </c>
      <c r="U13" s="42">
        <f t="shared" si="9"/>
        <v>3400.364727700919</v>
      </c>
      <c r="V13" s="42">
        <f t="shared" si="3"/>
        <v>1204.4130494669409</v>
      </c>
      <c r="W13" s="42">
        <f t="shared" si="4"/>
        <v>219.98288711682176</v>
      </c>
      <c r="X13" s="42">
        <f t="shared" si="5"/>
        <v>87.08390451851335</v>
      </c>
      <c r="Y13" s="42">
        <f t="shared" si="6"/>
        <v>52.775897955547094</v>
      </c>
      <c r="Z13" s="42">
        <f t="shared" si="7"/>
        <v>112.32804476018156</v>
      </c>
      <c r="AA13" s="42">
        <f t="shared" si="8"/>
        <v>25843.271636083748</v>
      </c>
      <c r="AC13" s="19"/>
    </row>
    <row r="14" spans="1:29">
      <c r="F14" s="112">
        <f t="array" ref="F14:M21">MINVERSE(F2:M9)</f>
        <v>-174110974.56157666</v>
      </c>
      <c r="G14" s="112">
        <v>0</v>
      </c>
      <c r="H14" s="112">
        <v>0</v>
      </c>
      <c r="I14" s="112">
        <v>0</v>
      </c>
      <c r="J14" s="112">
        <v>0</v>
      </c>
      <c r="K14" s="112">
        <v>0</v>
      </c>
      <c r="L14" s="112">
        <v>0</v>
      </c>
      <c r="M14" s="112">
        <v>0</v>
      </c>
      <c r="O14" s="112">
        <v>-7.8982328242147285E-15</v>
      </c>
      <c r="Q14" s="108">
        <v>12</v>
      </c>
      <c r="R14" s="27">
        <f t="shared" si="0"/>
        <v>1</v>
      </c>
      <c r="S14" s="18">
        <f t="shared" si="1"/>
        <v>31536000</v>
      </c>
      <c r="T14" s="42">
        <f t="shared" si="2"/>
        <v>15.887074795340945</v>
      </c>
      <c r="U14" s="42">
        <f t="shared" si="9"/>
        <v>3394.5373560659064</v>
      </c>
      <c r="V14" s="42">
        <f t="shared" si="3"/>
        <v>1208.6300289076191</v>
      </c>
      <c r="W14" s="42">
        <f t="shared" si="4"/>
        <v>218.42440036401626</v>
      </c>
      <c r="X14" s="42">
        <f t="shared" si="5"/>
        <v>87.474580627792136</v>
      </c>
      <c r="Y14" s="42">
        <f t="shared" si="6"/>
        <v>52.78825270840845</v>
      </c>
      <c r="Z14" s="42">
        <f t="shared" si="7"/>
        <v>110.17531721135087</v>
      </c>
      <c r="AA14" s="42">
        <f t="shared" si="8"/>
        <v>25776.732849609696</v>
      </c>
      <c r="AC14" s="19"/>
    </row>
    <row r="15" spans="1:29">
      <c r="F15" s="112">
        <v>-39215645.951032281</v>
      </c>
      <c r="G15" s="112">
        <v>-144196340.80662197</v>
      </c>
      <c r="H15" s="112">
        <v>-243.80557610643598</v>
      </c>
      <c r="I15" s="112">
        <v>-464.61092584502109</v>
      </c>
      <c r="J15" s="112">
        <v>-3043.5721667766384</v>
      </c>
      <c r="K15" s="112">
        <v>-410.57849695803412</v>
      </c>
      <c r="L15" s="112">
        <v>0</v>
      </c>
      <c r="M15" s="112">
        <v>-121414180.34321976</v>
      </c>
      <c r="O15" s="112">
        <v>1.2159998702227401E-14</v>
      </c>
      <c r="Q15" s="108">
        <v>13</v>
      </c>
      <c r="R15" s="27">
        <f t="shared" si="0"/>
        <v>1.0833333333333333</v>
      </c>
      <c r="S15" s="18">
        <f t="shared" si="1"/>
        <v>34164000</v>
      </c>
      <c r="T15" s="42">
        <f t="shared" si="2"/>
        <v>15.649078774748851</v>
      </c>
      <c r="U15" s="42">
        <f t="shared" si="9"/>
        <v>3388.6713083889854</v>
      </c>
      <c r="V15" s="42">
        <f t="shared" si="3"/>
        <v>1212.7949593924657</v>
      </c>
      <c r="W15" s="42">
        <f t="shared" si="4"/>
        <v>216.92407239252853</v>
      </c>
      <c r="X15" s="42">
        <f t="shared" si="5"/>
        <v>87.857254346665115</v>
      </c>
      <c r="Y15" s="42">
        <f t="shared" si="6"/>
        <v>52.794289715645945</v>
      </c>
      <c r="Z15" s="42">
        <f t="shared" si="7"/>
        <v>108.06384560370941</v>
      </c>
      <c r="AA15" s="42">
        <f t="shared" si="8"/>
        <v>25710.365380838924</v>
      </c>
      <c r="AC15" s="25"/>
    </row>
    <row r="16" spans="1:29">
      <c r="F16" s="112">
        <v>-20737161.124801189</v>
      </c>
      <c r="G16" s="112">
        <v>-76250758.604040101</v>
      </c>
      <c r="H16" s="112">
        <v>-367711081.08114684</v>
      </c>
      <c r="I16" s="112">
        <v>-245.68539918026383</v>
      </c>
      <c r="J16" s="112">
        <v>-1609.435338543647</v>
      </c>
      <c r="K16" s="112">
        <v>-217.11315061414484</v>
      </c>
      <c r="L16" s="112">
        <v>0</v>
      </c>
      <c r="M16" s="112">
        <v>-64203594.242892787</v>
      </c>
      <c r="O16" s="112">
        <v>-1.679806439102451E-15</v>
      </c>
      <c r="Q16" s="108">
        <v>14</v>
      </c>
      <c r="R16" s="27">
        <f t="shared" si="0"/>
        <v>1.1666666666666667</v>
      </c>
      <c r="S16" s="18">
        <f t="shared" si="1"/>
        <v>36792000</v>
      </c>
      <c r="T16" s="42">
        <f t="shared" si="2"/>
        <v>15.414648048998467</v>
      </c>
      <c r="U16" s="42">
        <f t="shared" si="9"/>
        <v>3382.7676658121059</v>
      </c>
      <c r="V16" s="42">
        <f t="shared" si="3"/>
        <v>1216.9080679832359</v>
      </c>
      <c r="W16" s="42">
        <f t="shared" si="4"/>
        <v>215.48011922363727</v>
      </c>
      <c r="X16" s="42">
        <f t="shared" si="5"/>
        <v>88.232171836080454</v>
      </c>
      <c r="Y16" s="42">
        <f t="shared" si="6"/>
        <v>52.7943414281077</v>
      </c>
      <c r="Z16" s="42">
        <f t="shared" si="7"/>
        <v>105.99283929442521</v>
      </c>
      <c r="AA16" s="42">
        <f t="shared" si="8"/>
        <v>25644.168788679097</v>
      </c>
      <c r="AC16" s="19"/>
    </row>
    <row r="17" spans="5:29">
      <c r="F17" s="112">
        <v>-2802298.564351473</v>
      </c>
      <c r="G17" s="112">
        <v>-10304081.165249703</v>
      </c>
      <c r="H17" s="112">
        <v>-49690323.010387696</v>
      </c>
      <c r="I17" s="112">
        <v>-94692940.777185738</v>
      </c>
      <c r="J17" s="112">
        <v>-217.48967042665191</v>
      </c>
      <c r="K17" s="112">
        <v>-29.33940024896615</v>
      </c>
      <c r="L17" s="112">
        <v>0</v>
      </c>
      <c r="M17" s="112">
        <v>-8676097.8945129272</v>
      </c>
      <c r="O17" s="112">
        <v>-1.6567906654507515E-15</v>
      </c>
      <c r="Q17" s="108">
        <v>15</v>
      </c>
      <c r="R17" s="27">
        <f t="shared" si="0"/>
        <v>1.25</v>
      </c>
      <c r="S17" s="18">
        <f t="shared" si="1"/>
        <v>39420000</v>
      </c>
      <c r="T17" s="42">
        <f t="shared" si="2"/>
        <v>15.183729208258496</v>
      </c>
      <c r="U17" s="42">
        <f t="shared" si="9"/>
        <v>3376.8274887852176</v>
      </c>
      <c r="V17" s="42">
        <f t="shared" si="3"/>
        <v>1220.9695841569214</v>
      </c>
      <c r="W17" s="42">
        <f t="shared" si="4"/>
        <v>214.09080655280562</v>
      </c>
      <c r="X17" s="42">
        <f t="shared" si="5"/>
        <v>88.599571997936039</v>
      </c>
      <c r="Y17" s="42">
        <f t="shared" si="6"/>
        <v>52.788727818125182</v>
      </c>
      <c r="Z17" s="42">
        <f t="shared" si="7"/>
        <v>103.96152279268573</v>
      </c>
      <c r="AA17" s="42">
        <f t="shared" si="8"/>
        <v>25578.142633173549</v>
      </c>
      <c r="AC17" s="19"/>
    </row>
    <row r="18" spans="5:29">
      <c r="F18" s="112">
        <v>-1932098.9842954478</v>
      </c>
      <c r="G18" s="112">
        <v>-7104348.1971322941</v>
      </c>
      <c r="H18" s="112">
        <v>-34259954.966611959</v>
      </c>
      <c r="I18" s="112">
        <v>-65287880.821467891</v>
      </c>
      <c r="J18" s="112">
        <v>-427687697.04381108</v>
      </c>
      <c r="K18" s="112">
        <v>-57695156.282646455</v>
      </c>
      <c r="L18" s="112">
        <v>0</v>
      </c>
      <c r="M18" s="112">
        <v>-5981903.6211495632</v>
      </c>
      <c r="O18" s="112">
        <v>7.5066686297112245E-15</v>
      </c>
      <c r="Q18" s="108">
        <v>16</v>
      </c>
      <c r="R18" s="27">
        <f t="shared" si="0"/>
        <v>1.3333333333333333</v>
      </c>
      <c r="S18" s="18">
        <f t="shared" si="1"/>
        <v>42048000</v>
      </c>
      <c r="T18" s="42">
        <f t="shared" si="2"/>
        <v>14.956269642802608</v>
      </c>
      <c r="U18" s="42">
        <f t="shared" si="9"/>
        <v>3370.8518174456899</v>
      </c>
      <c r="V18" s="42">
        <f t="shared" si="3"/>
        <v>1224.9797397113418</v>
      </c>
      <c r="W18" s="42">
        <f t="shared" si="4"/>
        <v>212.75444839879219</v>
      </c>
      <c r="X18" s="42">
        <f t="shared" si="5"/>
        <v>88.959686672647877</v>
      </c>
      <c r="Y18" s="42">
        <f t="shared" si="6"/>
        <v>52.777756779793066</v>
      </c>
      <c r="Z18" s="42">
        <f t="shared" si="7"/>
        <v>101.96913546932419</v>
      </c>
      <c r="AA18" s="42">
        <f t="shared" si="8"/>
        <v>25512.286475498382</v>
      </c>
      <c r="AC18" s="19"/>
    </row>
    <row r="19" spans="5:29">
      <c r="F19" s="112">
        <v>-684353.84805249562</v>
      </c>
      <c r="G19" s="112">
        <v>-2516376.2654661373</v>
      </c>
      <c r="H19" s="112">
        <v>-12134953.853855375</v>
      </c>
      <c r="I19" s="112">
        <v>-23125115.656358119</v>
      </c>
      <c r="J19" s="112">
        <v>-53.113502879945216</v>
      </c>
      <c r="K19" s="112">
        <v>-159162995.95846817</v>
      </c>
      <c r="L19" s="112">
        <v>0</v>
      </c>
      <c r="M19" s="112">
        <v>-2118803.847570817</v>
      </c>
      <c r="O19" s="112">
        <v>2.5585085754005783E-14</v>
      </c>
      <c r="Q19" s="108">
        <v>17</v>
      </c>
      <c r="R19" s="27">
        <f t="shared" si="0"/>
        <v>1.4166666666666667</v>
      </c>
      <c r="S19" s="18">
        <f t="shared" si="1"/>
        <v>44676000</v>
      </c>
      <c r="T19" s="42">
        <f t="shared" si="2"/>
        <v>14.732217531023466</v>
      </c>
      <c r="U19" s="42">
        <f t="shared" si="9"/>
        <v>3364.84167199082</v>
      </c>
      <c r="V19" s="42">
        <f t="shared" si="3"/>
        <v>1228.9387686728323</v>
      </c>
      <c r="W19" s="42">
        <f t="shared" si="4"/>
        <v>211.46940578939135</v>
      </c>
      <c r="X19" s="42">
        <f t="shared" si="5"/>
        <v>89.312740831482188</v>
      </c>
      <c r="Y19" s="42">
        <f t="shared" si="6"/>
        <v>52.761724517365778</v>
      </c>
      <c r="Z19" s="42">
        <f t="shared" si="7"/>
        <v>100.01493127201086</v>
      </c>
      <c r="AA19" s="42">
        <f t="shared" si="8"/>
        <v>25446.599877959521</v>
      </c>
      <c r="AC19" s="19"/>
    </row>
    <row r="20" spans="5:29">
      <c r="F20" s="112">
        <v>-4856.2257335899403</v>
      </c>
      <c r="G20" s="112">
        <v>-17856.392874135228</v>
      </c>
      <c r="H20" s="112">
        <v>-3.0191391317618447E-2</v>
      </c>
      <c r="I20" s="112">
        <v>-5.7534575281839709E-2</v>
      </c>
      <c r="J20" s="112">
        <v>-0.37689736124185258</v>
      </c>
      <c r="K20" s="112">
        <v>-5.0843529775742476E-2</v>
      </c>
      <c r="L20" s="112">
        <v>-135836927.36528951</v>
      </c>
      <c r="M20" s="112">
        <v>-15035.189468553255</v>
      </c>
      <c r="Q20" s="108">
        <v>18</v>
      </c>
      <c r="R20" s="27">
        <f t="shared" si="0"/>
        <v>1.5</v>
      </c>
      <c r="S20" s="18">
        <f t="shared" si="1"/>
        <v>47304000</v>
      </c>
      <c r="T20" s="42">
        <f t="shared" si="2"/>
        <v>14.51152182762633</v>
      </c>
      <c r="U20" s="42">
        <f t="shared" si="9"/>
        <v>3358.7980530435625</v>
      </c>
      <c r="V20" s="42">
        <f t="shared" si="3"/>
        <v>1232.8469072059718</v>
      </c>
      <c r="W20" s="42">
        <f t="shared" si="4"/>
        <v>210.23408548281009</v>
      </c>
      <c r="X20" s="42">
        <f t="shared" si="5"/>
        <v>89.65895276378302</v>
      </c>
      <c r="Y20" s="42">
        <f t="shared" si="6"/>
        <v>52.740915922109252</v>
      </c>
      <c r="Z20" s="42">
        <f t="shared" si="7"/>
        <v>98.098178445902036</v>
      </c>
      <c r="AA20" s="42">
        <f t="shared" si="8"/>
        <v>25381.082403989843</v>
      </c>
      <c r="AC20" s="19"/>
    </row>
    <row r="21" spans="5:29" ht="15">
      <c r="F21" s="112">
        <v>-115.43971393644661</v>
      </c>
      <c r="G21" s="112">
        <v>-424.47303696550819</v>
      </c>
      <c r="H21" s="112">
        <v>-2046.975560242028</v>
      </c>
      <c r="I21" s="112">
        <v>-3900.8427346673543</v>
      </c>
      <c r="J21" s="112">
        <v>-25553.631466184463</v>
      </c>
      <c r="K21" s="112">
        <v>-3447.1900202442325</v>
      </c>
      <c r="L21" s="112">
        <v>0</v>
      </c>
      <c r="M21" s="112">
        <v>-1019385461.9669962</v>
      </c>
      <c r="N21" s="109" t="s">
        <v>151</v>
      </c>
      <c r="Q21" s="108">
        <v>19</v>
      </c>
      <c r="R21" s="27">
        <f t="shared" si="0"/>
        <v>1.5833333333333333</v>
      </c>
      <c r="S21" s="18">
        <f t="shared" si="1"/>
        <v>49932000</v>
      </c>
      <c r="T21" s="42">
        <f t="shared" si="2"/>
        <v>14.294132251999532</v>
      </c>
      <c r="U21" s="42">
        <f t="shared" si="9"/>
        <v>3352.7219420115985</v>
      </c>
      <c r="V21" s="42">
        <f t="shared" si="3"/>
        <v>1236.7043935253218</v>
      </c>
      <c r="W21" s="42">
        <f t="shared" si="4"/>
        <v>209.04693872371087</v>
      </c>
      <c r="X21" s="42">
        <f t="shared" si="5"/>
        <v>89.998534259236862</v>
      </c>
      <c r="Y21" s="42">
        <f t="shared" si="6"/>
        <v>52.715604937938252</v>
      </c>
      <c r="Z21" s="42">
        <f t="shared" si="7"/>
        <v>96.218159259642903</v>
      </c>
      <c r="AA21" s="42">
        <f t="shared" si="8"/>
        <v>25315.733618146238</v>
      </c>
      <c r="AC21" s="19"/>
    </row>
    <row r="22" spans="5:29">
      <c r="O22" s="112">
        <f t="array" ref="O22:O29">MMULT($F$2:$M$9,O12:O19)</f>
        <v>-3.6076754611934906E-24</v>
      </c>
      <c r="Q22" s="108">
        <v>20</v>
      </c>
      <c r="R22" s="27">
        <f t="shared" si="0"/>
        <v>1.6666666666666667</v>
      </c>
      <c r="S22" s="18">
        <f t="shared" si="1"/>
        <v>52560000</v>
      </c>
      <c r="T22" s="42">
        <f t="shared" si="2"/>
        <v>14.079999276759141</v>
      </c>
      <c r="U22" s="42">
        <f t="shared" si="9"/>
        <v>3346.6143014398667</v>
      </c>
      <c r="V22" s="42">
        <f t="shared" si="3"/>
        <v>1240.5114678091343</v>
      </c>
      <c r="W22" s="42">
        <f t="shared" si="4"/>
        <v>207.90646003298161</v>
      </c>
      <c r="X22" s="42">
        <f t="shared" si="5"/>
        <v>90.331690785303579</v>
      </c>
      <c r="Y22" s="42">
        <f t="shared" si="6"/>
        <v>52.686054916158938</v>
      </c>
      <c r="Z22" s="42">
        <f t="shared" si="7"/>
        <v>94.374169736620814</v>
      </c>
      <c r="AA22" s="42">
        <f t="shared" si="8"/>
        <v>25250.553086106745</v>
      </c>
      <c r="AC22" s="19"/>
    </row>
    <row r="23" spans="5:29">
      <c r="F23" s="114" t="s">
        <v>156</v>
      </c>
      <c r="G23" s="114" t="s">
        <v>157</v>
      </c>
      <c r="H23" s="114" t="s">
        <v>158</v>
      </c>
      <c r="I23" s="114" t="s">
        <v>159</v>
      </c>
      <c r="J23" s="114" t="s">
        <v>160</v>
      </c>
      <c r="K23" s="114" t="s">
        <v>161</v>
      </c>
      <c r="L23" s="114" t="s">
        <v>162</v>
      </c>
      <c r="M23" s="114" t="s">
        <v>163</v>
      </c>
      <c r="O23" s="112">
        <v>7.5745118043143909E-23</v>
      </c>
      <c r="Q23" s="108">
        <v>21</v>
      </c>
      <c r="R23" s="27">
        <f t="shared" si="0"/>
        <v>1.75</v>
      </c>
      <c r="S23" s="18">
        <f t="shared" si="1"/>
        <v>55188000</v>
      </c>
      <c r="T23" s="42">
        <f t="shared" si="2"/>
        <v>13.869074116465256</v>
      </c>
      <c r="U23" s="42">
        <f t="shared" si="9"/>
        <v>3340.4760753566757</v>
      </c>
      <c r="V23" s="42">
        <f t="shared" si="3"/>
        <v>1244.2683721149872</v>
      </c>
      <c r="W23" s="42">
        <f t="shared" si="4"/>
        <v>206.81118603031507</v>
      </c>
      <c r="X23" s="42">
        <f t="shared" si="5"/>
        <v>90.658621659939797</v>
      </c>
      <c r="Y23" s="42">
        <f t="shared" si="6"/>
        <v>52.65251895962831</v>
      </c>
      <c r="Z23" s="42">
        <f t="shared" si="7"/>
        <v>92.565519391369051</v>
      </c>
      <c r="AA23" s="42">
        <f t="shared" si="8"/>
        <v>25185.540374667635</v>
      </c>
      <c r="AC23" s="19"/>
    </row>
    <row r="24" spans="5:29">
      <c r="F24" s="112">
        <f>F2</f>
        <v>-5.7434633429516339E-9</v>
      </c>
      <c r="G24" s="112">
        <f>G3</f>
        <v>-6.9349911725794344E-9</v>
      </c>
      <c r="H24" s="112">
        <f>H4</f>
        <v>-2.71952737369777E-9</v>
      </c>
      <c r="I24" s="112">
        <f>I5</f>
        <v>-1.0560453001086941E-8</v>
      </c>
      <c r="J24" s="112">
        <f>J6</f>
        <v>-2.3381555221817427E-9</v>
      </c>
      <c r="K24" s="112">
        <f>K7</f>
        <v>-6.2828676916701522E-9</v>
      </c>
      <c r="L24" s="112">
        <f>L8</f>
        <v>-7.3617684041897035E-9</v>
      </c>
      <c r="M24" s="112">
        <f>M9</f>
        <v>-9.8098353166876458E-10</v>
      </c>
      <c r="O24" s="112">
        <v>1.0358248644650676E-23</v>
      </c>
      <c r="Q24" s="108">
        <v>22</v>
      </c>
      <c r="R24" s="27">
        <f t="shared" si="0"/>
        <v>1.8333333333333333</v>
      </c>
      <c r="S24" s="18">
        <f t="shared" si="1"/>
        <v>57816000</v>
      </c>
      <c r="T24" s="42">
        <f t="shared" si="2"/>
        <v>13.661308716507328</v>
      </c>
      <c r="U24" s="42">
        <f t="shared" si="9"/>
        <v>3334.3081896135132</v>
      </c>
      <c r="V24" s="42">
        <f t="shared" si="3"/>
        <v>1247.9753502973149</v>
      </c>
      <c r="W24" s="42">
        <f t="shared" si="4"/>
        <v>205.75969428870749</v>
      </c>
      <c r="X24" s="42">
        <f t="shared" si="5"/>
        <v>90.979520219742881</v>
      </c>
      <c r="Y24" s="42">
        <f t="shared" si="6"/>
        <v>52.615240256633967</v>
      </c>
      <c r="Z24" s="42">
        <f t="shared" si="7"/>
        <v>90.791530971022041</v>
      </c>
      <c r="AA24" s="42">
        <f t="shared" si="8"/>
        <v>25120.695051740571</v>
      </c>
      <c r="AC24" s="19"/>
    </row>
    <row r="25" spans="5:29">
      <c r="H25" s="19"/>
      <c r="I25" s="19"/>
      <c r="J25" s="19"/>
      <c r="K25" s="19"/>
      <c r="L25" s="19"/>
      <c r="M25" s="19"/>
      <c r="O25" s="112">
        <v>-1.3968648751372118E-22</v>
      </c>
      <c r="Q25" s="108">
        <v>23</v>
      </c>
      <c r="R25" s="27">
        <f t="shared" si="0"/>
        <v>1.9166666666666667</v>
      </c>
      <c r="S25" s="18">
        <f t="shared" si="1"/>
        <v>60444000</v>
      </c>
      <c r="T25" s="42">
        <f t="shared" si="2"/>
        <v>13.456655742155982</v>
      </c>
      <c r="U25" s="42">
        <f t="shared" si="9"/>
        <v>3328.1115522186669</v>
      </c>
      <c r="V25" s="42">
        <f t="shared" si="3"/>
        <v>1251.6326479267907</v>
      </c>
      <c r="W25" s="42">
        <f t="shared" si="4"/>
        <v>204.75060222000931</v>
      </c>
      <c r="X25" s="42">
        <f t="shared" si="5"/>
        <v>91.294573983638543</v>
      </c>
      <c r="Y25" s="42">
        <f t="shared" si="6"/>
        <v>52.57445240478684</v>
      </c>
      <c r="Z25" s="42">
        <f t="shared" si="7"/>
        <v>89.051540201725288</v>
      </c>
      <c r="AA25" s="42">
        <f t="shared" si="8"/>
        <v>25056.016686349696</v>
      </c>
      <c r="AC25" s="19"/>
    </row>
    <row r="26" spans="5:29">
      <c r="E26" s="111"/>
      <c r="F26" s="111"/>
      <c r="O26" s="112">
        <v>1.9609464310136456E-23</v>
      </c>
      <c r="Q26" s="108">
        <v>24</v>
      </c>
      <c r="R26" s="27">
        <f t="shared" si="0"/>
        <v>2</v>
      </c>
      <c r="S26" s="18">
        <f t="shared" si="1"/>
        <v>63072000</v>
      </c>
      <c r="T26" s="42">
        <f t="shared" si="2"/>
        <v>13.255068567778855</v>
      </c>
      <c r="U26" s="42">
        <f t="shared" si="9"/>
        <v>3321.8870536647723</v>
      </c>
      <c r="V26" s="42">
        <f t="shared" si="3"/>
        <v>1255.2405122115317</v>
      </c>
      <c r="W26" s="42">
        <f t="shared" si="4"/>
        <v>203.78256599068479</v>
      </c>
      <c r="X26" s="42">
        <f t="shared" si="5"/>
        <v>91.60396481222017</v>
      </c>
      <c r="Y26" s="42">
        <f t="shared" si="6"/>
        <v>52.530379725214928</v>
      </c>
      <c r="Z26" s="42">
        <f t="shared" si="7"/>
        <v>87.344895539905096</v>
      </c>
      <c r="AA26" s="42">
        <f t="shared" si="8"/>
        <v>24991.504848628789</v>
      </c>
      <c r="AC26" s="19"/>
    </row>
    <row r="27" spans="5:29">
      <c r="E27" s="111"/>
      <c r="F27" s="111"/>
      <c r="O27" s="112">
        <v>2.9067081350617313E-23</v>
      </c>
      <c r="Q27" s="108">
        <v>25</v>
      </c>
      <c r="R27" s="27">
        <f t="shared" si="0"/>
        <v>2.0833333333333335</v>
      </c>
      <c r="S27" s="18">
        <f t="shared" si="1"/>
        <v>65700000</v>
      </c>
      <c r="T27" s="42">
        <f t="shared" si="2"/>
        <v>13.056501266217976</v>
      </c>
      <c r="U27" s="42">
        <f t="shared" si="9"/>
        <v>3315.6355672503914</v>
      </c>
      <c r="V27" s="42">
        <f t="shared" si="3"/>
        <v>1258.7991919200854</v>
      </c>
      <c r="W27" s="42">
        <f t="shared" si="4"/>
        <v>202.85427946696151</v>
      </c>
      <c r="X27" s="42">
        <f t="shared" si="5"/>
        <v>91.907869062870304</v>
      </c>
      <c r="Y27" s="42">
        <f t="shared" si="6"/>
        <v>52.483237567334257</v>
      </c>
      <c r="Z27" s="42">
        <f t="shared" si="7"/>
        <v>85.670957928304844</v>
      </c>
      <c r="AA27" s="42">
        <f t="shared" si="8"/>
        <v>24927.159109818425</v>
      </c>
      <c r="AC27" s="19"/>
    </row>
    <row r="28" spans="5:29" ht="15">
      <c r="E28" s="110" t="s">
        <v>167</v>
      </c>
      <c r="F28" s="111">
        <f>1000000000</f>
        <v>1000000000</v>
      </c>
      <c r="O28" s="112">
        <v>-5.5269405959577659E-23</v>
      </c>
      <c r="Q28" s="108">
        <v>26</v>
      </c>
      <c r="R28" s="27">
        <f t="shared" si="0"/>
        <v>2.1666666666666665</v>
      </c>
      <c r="S28" s="18">
        <f t="shared" si="1"/>
        <v>68328000</v>
      </c>
      <c r="T28" s="42">
        <f t="shared" si="2"/>
        <v>12.86090859832629</v>
      </c>
      <c r="U28" s="42">
        <f t="shared" si="9"/>
        <v>3309.3579493957373</v>
      </c>
      <c r="V28" s="42">
        <f t="shared" si="3"/>
        <v>1262.3089373061619</v>
      </c>
      <c r="W28" s="42">
        <f t="shared" si="4"/>
        <v>201.96447318856971</v>
      </c>
      <c r="X28" s="42">
        <f t="shared" si="5"/>
        <v>92.206457740763199</v>
      </c>
      <c r="Y28" s="42">
        <f t="shared" si="6"/>
        <v>52.433232604468301</v>
      </c>
      <c r="Z28" s="42">
        <f t="shared" si="7"/>
        <v>84.029100556696719</v>
      </c>
      <c r="AA28" s="42">
        <f t="shared" si="8"/>
        <v>24862.979042263083</v>
      </c>
      <c r="AC28" s="19"/>
    </row>
    <row r="29" spans="5:29">
      <c r="F29" s="113">
        <f t="array" ref="F29:M36">F2:M9*F28</f>
        <v>-5.7434633429516335</v>
      </c>
      <c r="G29" s="113">
        <v>0</v>
      </c>
      <c r="H29" s="113">
        <v>0</v>
      </c>
      <c r="I29" s="113">
        <v>0</v>
      </c>
      <c r="J29" s="113">
        <v>0</v>
      </c>
      <c r="K29" s="113">
        <v>0</v>
      </c>
      <c r="L29" s="113">
        <v>0</v>
      </c>
      <c r="M29" s="113">
        <v>0</v>
      </c>
      <c r="O29" s="112">
        <v>-2.5098646238064806E-23</v>
      </c>
      <c r="Q29" s="108">
        <v>27</v>
      </c>
      <c r="R29" s="27">
        <f t="shared" si="0"/>
        <v>2.25</v>
      </c>
      <c r="S29" s="18">
        <f t="shared" si="1"/>
        <v>70956000</v>
      </c>
      <c r="T29" s="42">
        <f t="shared" si="2"/>
        <v>12.668246002660917</v>
      </c>
      <c r="U29" s="42">
        <f t="shared" si="9"/>
        <v>3303.0550399526473</v>
      </c>
      <c r="V29" s="42">
        <f t="shared" si="3"/>
        <v>1265.7700000350883</v>
      </c>
      <c r="W29" s="42">
        <f t="shared" si="4"/>
        <v>201.11191337029751</v>
      </c>
      <c r="X29" s="42">
        <f t="shared" si="5"/>
        <v>92.499896645862918</v>
      </c>
      <c r="Y29" s="42">
        <f t="shared" si="6"/>
        <v>52.3805631205786</v>
      </c>
      <c r="Z29" s="42">
        <f t="shared" si="7"/>
        <v>82.418708627179015</v>
      </c>
      <c r="AA29" s="42">
        <f t="shared" si="8"/>
        <v>24798.964219408339</v>
      </c>
      <c r="AC29" s="19"/>
    </row>
    <row r="30" spans="5:29">
      <c r="F30" s="112">
        <v>1.561992653419539</v>
      </c>
      <c r="G30" s="112">
        <v>-6.9349911725794344</v>
      </c>
      <c r="H30" s="113">
        <v>0</v>
      </c>
      <c r="I30" s="113">
        <v>0</v>
      </c>
      <c r="J30" s="113">
        <v>0</v>
      </c>
      <c r="K30" s="113">
        <v>0</v>
      </c>
      <c r="L30" s="113">
        <v>0</v>
      </c>
      <c r="M30" s="112">
        <v>0.82599399375528604</v>
      </c>
      <c r="Q30" s="108">
        <v>28</v>
      </c>
      <c r="R30" s="27">
        <f t="shared" si="0"/>
        <v>2.3333333333333335</v>
      </c>
      <c r="S30" s="18">
        <f t="shared" si="1"/>
        <v>73584000</v>
      </c>
      <c r="T30" s="42">
        <f t="shared" si="2"/>
        <v>12.478469585330824</v>
      </c>
      <c r="U30" s="42">
        <f t="shared" si="9"/>
        <v>3296.7276625089098</v>
      </c>
      <c r="V30" s="42">
        <f t="shared" si="3"/>
        <v>1269.1826331119319</v>
      </c>
      <c r="W30" s="42">
        <f t="shared" si="4"/>
        <v>200.29540093060504</v>
      </c>
      <c r="X30" s="42">
        <f t="shared" si="5"/>
        <v>92.788346516025058</v>
      </c>
      <c r="Y30" s="42">
        <f t="shared" si="6"/>
        <v>52.325419288360365</v>
      </c>
      <c r="Z30" s="42">
        <f t="shared" si="7"/>
        <v>80.839179123971149</v>
      </c>
      <c r="AA30" s="42">
        <f t="shared" si="8"/>
        <v>24735.114215798007</v>
      </c>
      <c r="AC30" s="19"/>
    </row>
    <row r="31" spans="5:29" ht="15">
      <c r="E31" s="110"/>
      <c r="F31" s="113">
        <v>0</v>
      </c>
      <c r="G31" s="112">
        <v>1.4380810506627284</v>
      </c>
      <c r="H31" s="112">
        <v>-2.7195273736977699</v>
      </c>
      <c r="I31" s="113">
        <v>0</v>
      </c>
      <c r="J31" s="113">
        <v>0</v>
      </c>
      <c r="K31" s="113">
        <v>0</v>
      </c>
      <c r="L31" s="113">
        <v>0</v>
      </c>
      <c r="M31" s="113">
        <v>0</v>
      </c>
      <c r="N31" s="109" t="s">
        <v>152</v>
      </c>
      <c r="Q31" s="108">
        <v>29</v>
      </c>
      <c r="R31" s="27">
        <f t="shared" si="0"/>
        <v>2.4166666666666665</v>
      </c>
      <c r="S31" s="18">
        <f t="shared" si="1"/>
        <v>76212000</v>
      </c>
      <c r="T31" s="42">
        <f t="shared" si="2"/>
        <v>12.291536109996578</v>
      </c>
      <c r="U31" s="42">
        <f t="shared" si="9"/>
        <v>3290.3766246870528</v>
      </c>
      <c r="V31" s="42">
        <f t="shared" si="3"/>
        <v>1272.5470908112829</v>
      </c>
      <c r="W31" s="42">
        <f t="shared" si="4"/>
        <v>199.51377054656501</v>
      </c>
      <c r="X31" s="42">
        <f t="shared" si="5"/>
        <v>93.071963166299781</v>
      </c>
      <c r="Y31" s="42">
        <f t="shared" si="6"/>
        <v>52.267983438954104</v>
      </c>
      <c r="Z31" s="42">
        <f t="shared" si="7"/>
        <v>79.289920587620657</v>
      </c>
      <c r="AA31" s="42">
        <f t="shared" si="8"/>
        <v>24671.428607071346</v>
      </c>
      <c r="AC31" s="19"/>
    </row>
    <row r="32" spans="5:29">
      <c r="F32" s="113">
        <v>0</v>
      </c>
      <c r="G32" s="113">
        <v>0</v>
      </c>
      <c r="H32" s="112">
        <v>1.427077800367472</v>
      </c>
      <c r="I32" s="112">
        <v>-10.560453001086941</v>
      </c>
      <c r="J32" s="113">
        <v>0</v>
      </c>
      <c r="K32" s="113">
        <v>0</v>
      </c>
      <c r="L32" s="113">
        <v>0</v>
      </c>
      <c r="M32" s="113">
        <v>0</v>
      </c>
      <c r="O32" s="112">
        <f t="array" ref="O32:O39">MMULT($F$2:$M$9,O22:O29)</f>
        <v>2.0720551764630942E-32</v>
      </c>
      <c r="Q32" s="108">
        <v>30</v>
      </c>
      <c r="R32" s="27">
        <f t="shared" si="0"/>
        <v>2.5</v>
      </c>
      <c r="S32" s="18">
        <f t="shared" si="1"/>
        <v>78840000</v>
      </c>
      <c r="T32" s="42">
        <f t="shared" si="2"/>
        <v>12.107402988019894</v>
      </c>
      <c r="U32" s="42">
        <f t="shared" si="9"/>
        <v>3284.0027184376786</v>
      </c>
      <c r="V32" s="42">
        <f t="shared" si="3"/>
        <v>1275.8636286086419</v>
      </c>
      <c r="W32" s="42">
        <f t="shared" si="4"/>
        <v>198.76588973441244</v>
      </c>
      <c r="X32" s="42">
        <f t="shared" si="5"/>
        <v>93.350897624541687</v>
      </c>
      <c r="Y32" s="42">
        <f t="shared" si="6"/>
        <v>52.208430323510768</v>
      </c>
      <c r="Z32" s="42">
        <f t="shared" si="7"/>
        <v>77.770352893536895</v>
      </c>
      <c r="AA32" s="42">
        <f t="shared" si="8"/>
        <v>24607.906969960201</v>
      </c>
      <c r="AC32" s="19"/>
    </row>
    <row r="33" spans="2:29">
      <c r="F33" s="113">
        <v>0</v>
      </c>
      <c r="G33" s="113">
        <v>0</v>
      </c>
      <c r="H33" s="113">
        <v>0</v>
      </c>
      <c r="I33" s="112">
        <v>1.4051025590107522</v>
      </c>
      <c r="J33" s="112">
        <v>-2.3381555221817427</v>
      </c>
      <c r="K33" s="112">
        <v>0.84756011426011868</v>
      </c>
      <c r="L33" s="113">
        <v>0</v>
      </c>
      <c r="M33" s="113">
        <v>0</v>
      </c>
      <c r="O33" s="112">
        <v>-5.5165821860552669E-31</v>
      </c>
      <c r="Q33" s="108">
        <v>31</v>
      </c>
      <c r="R33" s="27">
        <f t="shared" si="0"/>
        <v>2.5833333333333335</v>
      </c>
      <c r="S33" s="18">
        <f t="shared" si="1"/>
        <v>81468000</v>
      </c>
      <c r="T33" s="42">
        <f t="shared" si="2"/>
        <v>11.926028268760779</v>
      </c>
      <c r="U33" s="42">
        <f t="shared" si="9"/>
        <v>3277.6067203274702</v>
      </c>
      <c r="V33" s="42">
        <f t="shared" si="3"/>
        <v>1279.1325031133968</v>
      </c>
      <c r="W33" s="42">
        <f t="shared" si="4"/>
        <v>198.05065795501218</v>
      </c>
      <c r="X33" s="42">
        <f t="shared" si="5"/>
        <v>93.625296263420353</v>
      </c>
      <c r="Y33" s="42">
        <f t="shared" si="6"/>
        <v>52.146927366848175</v>
      </c>
      <c r="Z33" s="42">
        <f t="shared" si="7"/>
        <v>76.279907034768982</v>
      </c>
      <c r="AA33" s="42">
        <f t="shared" si="8"/>
        <v>24544.548882286203</v>
      </c>
      <c r="AC33" s="19"/>
    </row>
    <row r="34" spans="2:29">
      <c r="F34" s="113">
        <v>0</v>
      </c>
      <c r="G34" s="113">
        <v>0</v>
      </c>
      <c r="H34" s="113">
        <v>0</v>
      </c>
      <c r="I34" s="113">
        <v>1.5343492432592516</v>
      </c>
      <c r="J34" s="113">
        <v>0</v>
      </c>
      <c r="K34" s="112">
        <v>-6.2828676916701518</v>
      </c>
      <c r="L34" s="113">
        <v>0</v>
      </c>
      <c r="M34" s="113">
        <v>0</v>
      </c>
      <c r="O34" s="112">
        <v>8.0758078205361449E-32</v>
      </c>
      <c r="Q34" s="108">
        <v>32</v>
      </c>
      <c r="R34" s="27">
        <f t="shared" si="0"/>
        <v>2.6666666666666665</v>
      </c>
      <c r="S34" s="18">
        <f t="shared" si="1"/>
        <v>84096000</v>
      </c>
      <c r="T34" s="42">
        <f t="shared" ref="T34:T65" si="10">$F$148*EXP($F$24*$S34)+$G$148*EXP($G$24*$S34)+$H$148*EXP($H$24*$S34)+$I$148*EXP($I$24*$S34)+$J$148*EXP($J$24*$S34)+$K$148*EXP($K$24*$S34)+$L$148*EXP($L$24*$S34)+$M$148*EXP($M$24*$S34)</f>
        <v>11.747370630019992</v>
      </c>
      <c r="U34" s="42">
        <f t="shared" ref="U34:U65" si="11">$F$149*EXP($F$24*$S34)+$G$149*EXP($G$24*$S34)+$H$149*EXP($H$24*$S34)+$I$149*EXP($I$24*$S34)+$J$149*EXP($J$24*$S34)+$K$149*EXP($K$24*$S34)+$L$149*EXP($L$24*$S34)+$M$149*EXP($M$24*$S34)</f>
        <v>3271.1893918219348</v>
      </c>
      <c r="V34" s="42">
        <f t="shared" ref="V34:V65" si="12">$F$150*EXP($F$24*$S34)+$G$150*EXP($G$24*$S34)+$H$150*EXP($H$24*$S34)+$I$150*EXP($I$24*$S34)+$J$150*EXP($J$24*$S34)+$K$150*EXP($K$24*$S34)+$L$150*EXP($L$24*$S34)+$M$150*EXP($M$24*$S34)</f>
        <v>1282.3539720033489</v>
      </c>
      <c r="W34" s="42">
        <f t="shared" ref="W34:W65" si="13">$F$151*EXP($F$24*$S34)+$G$151*EXP($G$24*$S34)+$H$151*EXP($H$24*$S34)+$I$151*EXP($I$24*$S34)+$J$151*EXP($J$24*$S34)+$K$151*EXP($K$24*$S34)+$L$151*EXP($L$24*$S34)+$M$151*EXP($M$24*$S34)</f>
        <v>197.36700574356425</v>
      </c>
      <c r="X34" s="42">
        <f t="shared" ref="X34:X65" si="14">$F$152*EXP($F$24*$S34)+$G$152*EXP($G$24*$S34)+$H$152*EXP($H$24*$S34)+$I$152*EXP($I$24*$S34)+$J$152*EXP($J$24*$S34)+$K$152*EXP($K$24*$S34)+$L$152*EXP($L$24*$S34)+$M$152*EXP($M$24*$S34)</f>
        <v>93.895300928932272</v>
      </c>
      <c r="Y34" s="42">
        <f t="shared" ref="Y34:Y65" si="15">$F$153*EXP($F$24*$S34)+$G$153*EXP($G$24*$S34)+$H$153*EXP($H$24*$S34)+$I$153*EXP($I$24*$S34)+$J$153*EXP($J$24*$S34)+$K$153*EXP($K$24*$S34)+$L$153*EXP($L$24*$S34)+$M$153*EXP($M$24*$S34)</f>
        <v>52.083634913424078</v>
      </c>
      <c r="Z34" s="42">
        <f t="shared" ref="Z34:Z65" si="16">$F$154*EXP($F$24*$S34)+$G$154*EXP($G$24*$S34)+$H$154*EXP($H$24*$S34)+$I$154*EXP($I$24*$S34)+$J$154*EXP($J$24*$S34)+$K$154*EXP($K$24*$S34)+$L$154*EXP($L$24*$S34)+$M$154*EXP($M$24*$S34)</f>
        <v>74.818024908946768</v>
      </c>
      <c r="AA34" s="42">
        <f t="shared" ref="AA34:AA65" si="17">$F$155*EXP($F$24*$S34)+$G$155*EXP($G$24*$S34)+$H$155*EXP($H$24*$S34)+$I$155*EXP($I$24*$S34)+$J$155*EXP($J$24*$S34)+$K$155*EXP($K$24*$S34)+$L$155*EXP($L$24*$S34)+$M$155*EXP($M$24*$S34)</f>
        <v>24481.353922957976</v>
      </c>
      <c r="AC34" s="19"/>
    </row>
    <row r="35" spans="2:29">
      <c r="F35" s="113">
        <v>0</v>
      </c>
      <c r="G35" s="112">
        <v>9.1163637120235494E-4</v>
      </c>
      <c r="H35" s="113">
        <v>0</v>
      </c>
      <c r="I35" s="113">
        <v>0</v>
      </c>
      <c r="J35" s="113">
        <v>0</v>
      </c>
      <c r="K35" s="113">
        <v>0</v>
      </c>
      <c r="L35" s="112">
        <v>-7.3617684041897036</v>
      </c>
      <c r="M35" s="113">
        <v>0</v>
      </c>
      <c r="O35" s="112">
        <v>1.4899346129670376E-30</v>
      </c>
      <c r="Q35" s="108">
        <v>33</v>
      </c>
      <c r="R35" s="27">
        <f t="shared" si="0"/>
        <v>2.75</v>
      </c>
      <c r="S35" s="18">
        <f t="shared" si="1"/>
        <v>86724000</v>
      </c>
      <c r="T35" s="42">
        <f t="shared" si="10"/>
        <v>11.571389368624718</v>
      </c>
      <c r="U35" s="42">
        <f t="shared" si="11"/>
        <v>3264.7514795630123</v>
      </c>
      <c r="V35" s="42">
        <f t="shared" si="12"/>
        <v>1285.5282939607637</v>
      </c>
      <c r="W35" s="42">
        <f t="shared" si="13"/>
        <v>196.7138938628915</v>
      </c>
      <c r="X35" s="42">
        <f t="shared" si="14"/>
        <v>94.161049065498673</v>
      </c>
      <c r="Y35" s="42">
        <f t="shared" si="15"/>
        <v>52.01870646584895</v>
      </c>
      <c r="Z35" s="42">
        <f t="shared" si="16"/>
        <v>73.384159109304633</v>
      </c>
      <c r="AA35" s="42">
        <f t="shared" si="17"/>
        <v>24418.32167196833</v>
      </c>
      <c r="AC35" s="19"/>
    </row>
    <row r="36" spans="2:29">
      <c r="F36" s="113">
        <v>0</v>
      </c>
      <c r="G36" s="113">
        <v>0</v>
      </c>
      <c r="H36" s="113">
        <v>0</v>
      </c>
      <c r="I36" s="113">
        <v>0</v>
      </c>
      <c r="J36" s="112">
        <v>5.8612141092503411E-5</v>
      </c>
      <c r="K36" s="113">
        <v>0</v>
      </c>
      <c r="L36" s="113">
        <v>0</v>
      </c>
      <c r="M36" s="112">
        <v>-0.98098353166876462</v>
      </c>
      <c r="O36" s="112">
        <v>-2.1748771953778711E-31</v>
      </c>
      <c r="Q36" s="108">
        <v>34</v>
      </c>
      <c r="R36" s="27">
        <f t="shared" si="0"/>
        <v>2.8333333333333335</v>
      </c>
      <c r="S36" s="18">
        <f t="shared" si="1"/>
        <v>89352000</v>
      </c>
      <c r="T36" s="42">
        <f t="shared" si="10"/>
        <v>11.398044391155235</v>
      </c>
      <c r="U36" s="42">
        <f t="shared" si="11"/>
        <v>3258.2937156416119</v>
      </c>
      <c r="V36" s="42">
        <f t="shared" si="12"/>
        <v>1288.6557286099055</v>
      </c>
      <c r="W36" s="42">
        <f t="shared" si="13"/>
        <v>196.09031247966925</v>
      </c>
      <c r="X36" s="42">
        <f t="shared" si="14"/>
        <v>94.422673837746856</v>
      </c>
      <c r="Y36" s="42">
        <f t="shared" si="15"/>
        <v>51.952288916152384</v>
      </c>
      <c r="Z36" s="42">
        <f t="shared" si="16"/>
        <v>71.977772719710103</v>
      </c>
      <c r="AA36" s="42">
        <f t="shared" si="17"/>
        <v>24355.451710391455</v>
      </c>
      <c r="AC36" s="19"/>
    </row>
    <row r="37" spans="2:29">
      <c r="O37" s="112">
        <v>-3.9695248271916252E-31</v>
      </c>
      <c r="Q37" s="108">
        <v>35</v>
      </c>
      <c r="R37" s="27">
        <f t="shared" si="0"/>
        <v>2.9166666666666665</v>
      </c>
      <c r="S37" s="18">
        <f t="shared" si="1"/>
        <v>91980000</v>
      </c>
      <c r="T37" s="42">
        <f t="shared" si="10"/>
        <v>11.227296204810541</v>
      </c>
      <c r="U37" s="42">
        <f t="shared" si="11"/>
        <v>3251.8168178651945</v>
      </c>
      <c r="V37" s="42">
        <f t="shared" si="12"/>
        <v>1291.7365364560428</v>
      </c>
      <c r="W37" s="42">
        <f t="shared" si="13"/>
        <v>195.49528036297426</v>
      </c>
      <c r="X37" s="42">
        <f t="shared" si="14"/>
        <v>94.68030424905993</v>
      </c>
      <c r="Y37" s="42">
        <f t="shared" si="15"/>
        <v>51.884522770013547</v>
      </c>
      <c r="Z37" s="42">
        <f t="shared" si="16"/>
        <v>70.598339113620682</v>
      </c>
      <c r="AA37" s="42">
        <f t="shared" si="17"/>
        <v>24292.743620380163</v>
      </c>
      <c r="AC37" s="19"/>
    </row>
    <row r="38" spans="2:29">
      <c r="O38" s="112">
        <v>4.0694961851610207E-31</v>
      </c>
      <c r="Q38" s="108">
        <v>36</v>
      </c>
      <c r="R38" s="27">
        <f t="shared" si="0"/>
        <v>3</v>
      </c>
      <c r="S38" s="18">
        <f t="shared" si="1"/>
        <v>94608000</v>
      </c>
      <c r="T38" s="42">
        <f t="shared" si="10"/>
        <v>11.059105908410777</v>
      </c>
      <c r="U38" s="42">
        <f t="shared" si="11"/>
        <v>3245.3214900204707</v>
      </c>
      <c r="V38" s="42">
        <f t="shared" si="12"/>
        <v>1294.7709788258819</v>
      </c>
      <c r="W38" s="42">
        <f t="shared" si="13"/>
        <v>194.92784410454743</v>
      </c>
      <c r="X38" s="42">
        <f t="shared" si="14"/>
        <v>94.934065256980091</v>
      </c>
      <c r="Y38" s="42">
        <f t="shared" si="15"/>
        <v>51.81554236415775</v>
      </c>
      <c r="Z38" s="42">
        <f t="shared" si="16"/>
        <v>69.245341756893211</v>
      </c>
      <c r="AA38" s="42">
        <f t="shared" si="17"/>
        <v>24230.196985163089</v>
      </c>
      <c r="AC38" s="19"/>
    </row>
    <row r="39" spans="2:29">
      <c r="O39" s="112">
        <v>2.4622507979410659E-32</v>
      </c>
      <c r="Q39" s="108">
        <v>37</v>
      </c>
      <c r="R39" s="27">
        <f t="shared" si="0"/>
        <v>3.0833333333333335</v>
      </c>
      <c r="S39" s="18">
        <f t="shared" si="1"/>
        <v>97236000</v>
      </c>
      <c r="T39" s="42">
        <f t="shared" si="10"/>
        <v>10.893435183534468</v>
      </c>
      <c r="U39" s="42">
        <f t="shared" si="11"/>
        <v>3238.8084221313197</v>
      </c>
      <c r="V39" s="42">
        <f t="shared" si="12"/>
        <v>1297.7593178094023</v>
      </c>
      <c r="W39" s="42">
        <f t="shared" si="13"/>
        <v>194.38707736018091</v>
      </c>
      <c r="X39" s="42">
        <f t="shared" si="14"/>
        <v>95.184077885548106</v>
      </c>
      <c r="Y39" s="42">
        <f t="shared" si="15"/>
        <v>51.745476077117416</v>
      </c>
      <c r="Z39" s="42">
        <f t="shared" si="16"/>
        <v>67.918274014372415</v>
      </c>
      <c r="AA39" s="42">
        <f t="shared" si="17"/>
        <v>24167.811389041937</v>
      </c>
      <c r="AC39" s="19"/>
    </row>
    <row r="40" spans="2:29">
      <c r="Q40" s="108">
        <v>38</v>
      </c>
      <c r="R40" s="27">
        <f t="shared" si="0"/>
        <v>3.1666666666666665</v>
      </c>
      <c r="S40" s="18">
        <f t="shared" si="1"/>
        <v>99864000</v>
      </c>
      <c r="T40" s="42">
        <f t="shared" si="10"/>
        <v>10.730246285788521</v>
      </c>
      <c r="U40" s="42">
        <f t="shared" si="11"/>
        <v>3232.2782907120045</v>
      </c>
      <c r="V40" s="42">
        <f t="shared" si="12"/>
        <v>1300.7018162030765</v>
      </c>
      <c r="W40" s="42">
        <f t="shared" si="13"/>
        <v>193.87208011165768</v>
      </c>
      <c r="X40" s="42">
        <f t="shared" si="14"/>
        <v>95.43045933466118</v>
      </c>
      <c r="Y40" s="42">
        <f t="shared" si="15"/>
        <v>51.674446533549172</v>
      </c>
      <c r="Z40" s="42">
        <f t="shared" si="16"/>
        <v>66.61663896018581</v>
      </c>
      <c r="AA40" s="42">
        <f t="shared" si="17"/>
        <v>24105.586417388706</v>
      </c>
      <c r="AC40" s="19"/>
    </row>
    <row r="41" spans="2:29" ht="15">
      <c r="F41" s="114" t="s">
        <v>156</v>
      </c>
      <c r="G41" s="114" t="s">
        <v>157</v>
      </c>
      <c r="H41" s="114" t="s">
        <v>158</v>
      </c>
      <c r="I41" s="114" t="s">
        <v>159</v>
      </c>
      <c r="J41" s="114" t="s">
        <v>160</v>
      </c>
      <c r="K41" s="114" t="s">
        <v>161</v>
      </c>
      <c r="L41" s="114" t="s">
        <v>162</v>
      </c>
      <c r="M41" s="114" t="s">
        <v>163</v>
      </c>
      <c r="N41" s="109" t="s">
        <v>153</v>
      </c>
      <c r="Q41" s="108">
        <v>39</v>
      </c>
      <c r="R41" s="27">
        <f t="shared" si="0"/>
        <v>3.25</v>
      </c>
      <c r="S41" s="18">
        <f t="shared" si="1"/>
        <v>102492000</v>
      </c>
      <c r="T41" s="42">
        <f t="shared" si="10"/>
        <v>10.569502036209002</v>
      </c>
      <c r="U41" s="42">
        <f t="shared" si="11"/>
        <v>3225.7317590157704</v>
      </c>
      <c r="V41" s="42">
        <f t="shared" si="12"/>
        <v>1303.5987374544293</v>
      </c>
      <c r="W41" s="42">
        <f t="shared" si="13"/>
        <v>193.38197794868444</v>
      </c>
      <c r="X41" s="42">
        <f t="shared" si="14"/>
        <v>95.673323086528967</v>
      </c>
      <c r="Y41" s="42">
        <f t="shared" si="15"/>
        <v>51.602570802294125</v>
      </c>
      <c r="Z41" s="42">
        <f t="shared" si="16"/>
        <v>65.339949191674137</v>
      </c>
      <c r="AA41" s="42">
        <f t="shared" si="17"/>
        <v>24043.521656642934</v>
      </c>
      <c r="AC41" s="19"/>
    </row>
    <row r="42" spans="2:29" ht="15">
      <c r="C42" s="110" t="s">
        <v>164</v>
      </c>
      <c r="D42" s="110" t="s">
        <v>165</v>
      </c>
      <c r="E42" s="111"/>
      <c r="F42" s="112">
        <f>F29</f>
        <v>-5.7434633429516335</v>
      </c>
      <c r="G42" s="112">
        <f>G30</f>
        <v>-6.9349911725794344</v>
      </c>
      <c r="H42" s="112">
        <f>H31</f>
        <v>-2.7195273736977699</v>
      </c>
      <c r="I42" s="112">
        <f>I32</f>
        <v>-10.560453001086941</v>
      </c>
      <c r="J42" s="112">
        <f>J33</f>
        <v>-2.3381555221817427</v>
      </c>
      <c r="K42" s="112">
        <f>K34</f>
        <v>-6.2828676916701518</v>
      </c>
      <c r="L42" s="112">
        <f>L35</f>
        <v>-7.3617684041897036</v>
      </c>
      <c r="M42" s="112">
        <f>M36</f>
        <v>-0.98098353166876462</v>
      </c>
      <c r="O42" s="112">
        <f t="array" ref="O42:O49">MMULT($F$2:$M$9,O32:O39)</f>
        <v>-1.190077295058896E-40</v>
      </c>
      <c r="Q42" s="108">
        <v>40</v>
      </c>
      <c r="R42" s="27">
        <f t="shared" si="0"/>
        <v>3.3333333333333335</v>
      </c>
      <c r="S42" s="18">
        <f t="shared" si="1"/>
        <v>105120000</v>
      </c>
      <c r="T42" s="42">
        <f t="shared" si="10"/>
        <v>10.411165812790738</v>
      </c>
      <c r="U42" s="42">
        <f t="shared" si="11"/>
        <v>3219.1694772789215</v>
      </c>
      <c r="V42" s="42">
        <f t="shared" si="12"/>
        <v>1306.4503456079285</v>
      </c>
      <c r="W42" s="42">
        <f t="shared" si="13"/>
        <v>192.91592137027669</v>
      </c>
      <c r="X42" s="42">
        <f t="shared" si="14"/>
        <v>95.912779009301289</v>
      </c>
      <c r="Y42" s="42">
        <f t="shared" si="15"/>
        <v>51.52996058836149</v>
      </c>
      <c r="Z42" s="42">
        <f t="shared" si="16"/>
        <v>64.087726646887717</v>
      </c>
      <c r="AA42" s="42">
        <f t="shared" si="17"/>
        <v>23981.61669430897</v>
      </c>
      <c r="AC42" s="19"/>
    </row>
    <row r="43" spans="2:29">
      <c r="B43" s="116"/>
      <c r="C43" s="111">
        <f t="array" ref="C43:C51">_xll.MatCharPoly(F29:M36)</f>
        <v>121358.6601646489</v>
      </c>
      <c r="D43" s="115" t="s">
        <v>166</v>
      </c>
      <c r="E43" s="115" t="s">
        <v>120</v>
      </c>
      <c r="H43" s="19"/>
      <c r="I43" s="19"/>
      <c r="J43" s="19"/>
      <c r="K43" s="19"/>
      <c r="L43" s="19"/>
      <c r="M43" s="19"/>
      <c r="O43" s="112">
        <v>3.8784482696435612E-39</v>
      </c>
      <c r="Q43" s="108">
        <v>41</v>
      </c>
      <c r="R43" s="27">
        <f t="shared" si="0"/>
        <v>3.4166666666666665</v>
      </c>
      <c r="S43" s="18">
        <f t="shared" si="1"/>
        <v>107748000</v>
      </c>
      <c r="T43" s="42">
        <f t="shared" si="10"/>
        <v>10.255201542143805</v>
      </c>
      <c r="U43" s="42">
        <f t="shared" si="11"/>
        <v>3212.5920829604365</v>
      </c>
      <c r="V43" s="42">
        <f t="shared" si="12"/>
        <v>1309.256905252166</v>
      </c>
      <c r="W43" s="42">
        <f t="shared" si="13"/>
        <v>192.47308510506826</v>
      </c>
      <c r="X43" s="42">
        <f t="shared" si="14"/>
        <v>96.148933457944111</v>
      </c>
      <c r="Y43" s="42">
        <f t="shared" si="15"/>
        <v>51.456722419013389</v>
      </c>
      <c r="Z43" s="42">
        <f t="shared" si="16"/>
        <v>62.85950242558016</v>
      </c>
      <c r="AA43" s="42">
        <f t="shared" si="17"/>
        <v>23919.87111895319</v>
      </c>
      <c r="AC43" s="19"/>
    </row>
    <row r="44" spans="2:29">
      <c r="B44" s="116"/>
      <c r="C44" s="111">
        <v>306161.7370420915</v>
      </c>
      <c r="D44" s="111">
        <f t="array" ref="D44:E51">_xll.Poly_Roots(C43:C51)</f>
        <v>-10.560452952226983</v>
      </c>
      <c r="E44" s="111">
        <v>0</v>
      </c>
      <c r="F44" s="114" t="s">
        <v>155</v>
      </c>
      <c r="I44" s="19"/>
      <c r="J44" s="19"/>
      <c r="K44" s="19"/>
      <c r="L44" s="19"/>
      <c r="M44" s="19"/>
      <c r="O44" s="112">
        <v>-1.0129530349456707E-39</v>
      </c>
      <c r="Q44" s="108">
        <v>42</v>
      </c>
      <c r="R44" s="27">
        <f t="shared" si="0"/>
        <v>3.5</v>
      </c>
      <c r="S44" s="18">
        <f t="shared" si="1"/>
        <v>110376000</v>
      </c>
      <c r="T44" s="42">
        <f t="shared" si="10"/>
        <v>10.101573691275004</v>
      </c>
      <c r="U44" s="42">
        <f t="shared" si="11"/>
        <v>3206.0002009772334</v>
      </c>
      <c r="V44" s="42">
        <f t="shared" si="12"/>
        <v>1312.0186814683095</v>
      </c>
      <c r="W44" s="42">
        <f t="shared" si="13"/>
        <v>192.05266745003124</v>
      </c>
      <c r="X44" s="42">
        <f t="shared" si="14"/>
        <v>96.381889372440071</v>
      </c>
      <c r="Y44" s="42">
        <f t="shared" si="15"/>
        <v>51.382957824120609</v>
      </c>
      <c r="Z44" s="42">
        <f t="shared" si="16"/>
        <v>61.654816613632548</v>
      </c>
      <c r="AA44" s="42">
        <f t="shared" si="17"/>
        <v>23858.284520201312</v>
      </c>
      <c r="AC44" s="19"/>
    </row>
    <row r="45" spans="2:29">
      <c r="B45" s="116"/>
      <c r="C45" s="111">
        <v>297529.37065854389</v>
      </c>
      <c r="D45" s="111">
        <v>-7.3617684042309399</v>
      </c>
      <c r="E45" s="111">
        <v>0</v>
      </c>
      <c r="F45" s="112">
        <f t="array" ref="F45:M52">_xll.SYSLINSING(F$29:M$36-F42*_xll.M_ID(),,0.000001)</f>
        <v>0</v>
      </c>
      <c r="G45" s="112">
        <v>0</v>
      </c>
      <c r="H45" s="112">
        <v>0</v>
      </c>
      <c r="I45" s="112">
        <v>0</v>
      </c>
      <c r="J45" s="112">
        <v>0</v>
      </c>
      <c r="K45" s="112">
        <v>0</v>
      </c>
      <c r="L45" s="112">
        <v>0</v>
      </c>
      <c r="M45" s="112">
        <v>-392586.77713702735</v>
      </c>
      <c r="O45" s="112">
        <v>-1.5619136394323852E-38</v>
      </c>
      <c r="Q45" s="108">
        <v>43</v>
      </c>
      <c r="R45" s="27">
        <f t="shared" si="0"/>
        <v>3.5833333333333335</v>
      </c>
      <c r="S45" s="18">
        <f t="shared" si="1"/>
        <v>113004000</v>
      </c>
      <c r="T45" s="42">
        <f t="shared" si="10"/>
        <v>9.9502472594924658</v>
      </c>
      <c r="U45" s="42">
        <f t="shared" si="11"/>
        <v>3199.3944439351299</v>
      </c>
      <c r="V45" s="42">
        <f t="shared" si="12"/>
        <v>1314.7359397798043</v>
      </c>
      <c r="W45" s="42">
        <f t="shared" si="13"/>
        <v>191.6538896271087</v>
      </c>
      <c r="X45" s="42">
        <f t="shared" si="14"/>
        <v>96.611746373372455</v>
      </c>
      <c r="Y45" s="42">
        <f t="shared" si="15"/>
        <v>51.308763510956894</v>
      </c>
      <c r="Z45" s="42">
        <f t="shared" si="16"/>
        <v>60.473218110842502</v>
      </c>
      <c r="AA45" s="42">
        <f t="shared" si="17"/>
        <v>23796.856488735648</v>
      </c>
      <c r="AC45" s="19"/>
    </row>
    <row r="46" spans="2:29">
      <c r="B46" s="116"/>
      <c r="C46" s="111">
        <v>149747.40168069126</v>
      </c>
      <c r="D46" s="111">
        <v>-6.934991032542885</v>
      </c>
      <c r="E46" s="111">
        <v>0</v>
      </c>
      <c r="F46" s="112">
        <v>0</v>
      </c>
      <c r="G46" s="112">
        <v>0</v>
      </c>
      <c r="H46" s="112">
        <v>0</v>
      </c>
      <c r="I46" s="112">
        <v>0</v>
      </c>
      <c r="J46" s="112">
        <v>0</v>
      </c>
      <c r="K46" s="112">
        <v>0</v>
      </c>
      <c r="L46" s="112">
        <v>0</v>
      </c>
      <c r="M46" s="112">
        <v>-514647.5142886492</v>
      </c>
      <c r="O46" s="112">
        <v>2.2655899582733793E-39</v>
      </c>
      <c r="Q46" s="108">
        <v>44</v>
      </c>
      <c r="R46" s="27">
        <f t="shared" si="0"/>
        <v>3.6666666666666665</v>
      </c>
      <c r="S46" s="18">
        <f t="shared" si="1"/>
        <v>115632000</v>
      </c>
      <c r="T46" s="42">
        <f t="shared" si="10"/>
        <v>9.8011877704315182</v>
      </c>
      <c r="U46" s="42">
        <f t="shared" si="11"/>
        <v>3192.7754123556051</v>
      </c>
      <c r="V46" s="42">
        <f t="shared" si="12"/>
        <v>1317.4089461032859</v>
      </c>
      <c r="W46" s="42">
        <f t="shared" si="13"/>
        <v>191.27599515727232</v>
      </c>
      <c r="X46" s="42">
        <f t="shared" si="14"/>
        <v>96.83860085497713</v>
      </c>
      <c r="Y46" s="42">
        <f t="shared" si="15"/>
        <v>51.234231533592663</v>
      </c>
      <c r="Z46" s="42">
        <f t="shared" si="16"/>
        <v>59.314264462013291</v>
      </c>
      <c r="AA46" s="42">
        <f t="shared" si="17"/>
        <v>23735.586616292348</v>
      </c>
      <c r="AC46" s="19"/>
    </row>
    <row r="47" spans="2:29">
      <c r="B47" s="116"/>
      <c r="C47" s="111">
        <v>43428.843676661316</v>
      </c>
      <c r="D47" s="111">
        <v>-6.2828683133392822</v>
      </c>
      <c r="E47" s="111">
        <v>0</v>
      </c>
      <c r="F47" s="112">
        <v>0</v>
      </c>
      <c r="G47" s="112">
        <v>0</v>
      </c>
      <c r="H47" s="112">
        <v>0</v>
      </c>
      <c r="I47" s="112">
        <v>0</v>
      </c>
      <c r="J47" s="112">
        <v>0</v>
      </c>
      <c r="K47" s="112">
        <v>0</v>
      </c>
      <c r="L47" s="112">
        <v>0</v>
      </c>
      <c r="M47" s="112">
        <v>244748.84574087002</v>
      </c>
      <c r="O47" s="112">
        <v>4.7800799747162207E-39</v>
      </c>
      <c r="Q47" s="108">
        <v>45</v>
      </c>
      <c r="R47" s="27">
        <f t="shared" si="0"/>
        <v>3.75</v>
      </c>
      <c r="S47" s="18">
        <f t="shared" si="1"/>
        <v>118260000</v>
      </c>
      <c r="T47" s="42">
        <f t="shared" si="10"/>
        <v>9.6543612642000074</v>
      </c>
      <c r="U47" s="42">
        <f t="shared" si="11"/>
        <v>3186.1436948984251</v>
      </c>
      <c r="V47" s="42">
        <f t="shared" si="12"/>
        <v>1320.0379667006994</v>
      </c>
      <c r="W47" s="42">
        <f t="shared" si="13"/>
        <v>190.91824925153429</v>
      </c>
      <c r="X47" s="42">
        <f t="shared" si="14"/>
        <v>97.062546075721002</v>
      </c>
      <c r="Y47" s="42">
        <f t="shared" si="15"/>
        <v>51.159449457045767</v>
      </c>
      <c r="Z47" s="42">
        <f t="shared" si="16"/>
        <v>58.17752169128002</v>
      </c>
      <c r="AA47" s="42">
        <f t="shared" si="17"/>
        <v>23674.474495658756</v>
      </c>
      <c r="AC47" s="19"/>
    </row>
    <row r="48" spans="2:29">
      <c r="B48" s="116"/>
      <c r="C48" s="111">
        <v>7532.7582946600423</v>
      </c>
      <c r="D48" s="111">
        <v>-5.7434633428738344</v>
      </c>
      <c r="E48" s="111">
        <v>0</v>
      </c>
      <c r="F48" s="112">
        <v>0</v>
      </c>
      <c r="G48" s="112">
        <v>0</v>
      </c>
      <c r="H48" s="112">
        <v>0</v>
      </c>
      <c r="I48" s="112">
        <v>0</v>
      </c>
      <c r="J48" s="112">
        <v>0</v>
      </c>
      <c r="K48" s="112">
        <v>0</v>
      </c>
      <c r="L48" s="112">
        <v>0</v>
      </c>
      <c r="M48" s="112">
        <v>72509.112373217271</v>
      </c>
      <c r="O48" s="112">
        <v>-2.9963717553854474E-39</v>
      </c>
      <c r="Q48" s="108">
        <v>46</v>
      </c>
      <c r="R48" s="27">
        <f t="shared" si="0"/>
        <v>3.8333333333333335</v>
      </c>
      <c r="S48" s="18">
        <f t="shared" si="1"/>
        <v>120888000</v>
      </c>
      <c r="T48" s="42">
        <f t="shared" si="10"/>
        <v>9.5097342896413011</v>
      </c>
      <c r="U48" s="42">
        <f t="shared" si="11"/>
        <v>3179.4998685802066</v>
      </c>
      <c r="V48" s="42">
        <f t="shared" si="12"/>
        <v>1322.6232681325794</v>
      </c>
      <c r="W48" s="42">
        <f t="shared" si="13"/>
        <v>190.57993821845264</v>
      </c>
      <c r="X48" s="42">
        <f t="shared" si="14"/>
        <v>97.283672246468825</v>
      </c>
      <c r="Y48" s="42">
        <f t="shared" si="15"/>
        <v>51.084500516342018</v>
      </c>
      <c r="Z48" s="42">
        <f t="shared" si="16"/>
        <v>57.062564139610807</v>
      </c>
      <c r="AA48" s="42">
        <f t="shared" si="17"/>
        <v>23613.519720670654</v>
      </c>
      <c r="AC48" s="19"/>
    </row>
    <row r="49" spans="2:29">
      <c r="B49" s="116"/>
      <c r="C49" s="111">
        <v>771.10814192840314</v>
      </c>
      <c r="D49" s="111">
        <v>-2.7195193487220761</v>
      </c>
      <c r="E49" s="111">
        <v>0</v>
      </c>
      <c r="F49" s="112">
        <v>0</v>
      </c>
      <c r="G49" s="112">
        <v>0</v>
      </c>
      <c r="H49" s="112">
        <v>0</v>
      </c>
      <c r="I49" s="112">
        <v>0</v>
      </c>
      <c r="J49" s="112">
        <v>0</v>
      </c>
      <c r="K49" s="112">
        <v>0</v>
      </c>
      <c r="L49" s="112">
        <v>0</v>
      </c>
      <c r="M49" s="112">
        <v>-81254.151827802751</v>
      </c>
      <c r="O49" s="112">
        <v>-2.416702225708804E-41</v>
      </c>
      <c r="Q49" s="108">
        <v>47</v>
      </c>
      <c r="R49" s="27">
        <f t="shared" si="0"/>
        <v>3.9166666666666665</v>
      </c>
      <c r="S49" s="18">
        <f t="shared" si="1"/>
        <v>123516000</v>
      </c>
      <c r="T49" s="42">
        <f t="shared" si="10"/>
        <v>9.3672738967131757</v>
      </c>
      <c r="U49" s="42">
        <f t="shared" si="11"/>
        <v>3172.8444989890031</v>
      </c>
      <c r="V49" s="42">
        <f t="shared" si="12"/>
        <v>1325.1651172124873</v>
      </c>
      <c r="W49" s="42">
        <f t="shared" si="13"/>
        <v>190.26036888768354</v>
      </c>
      <c r="X49" s="42">
        <f t="shared" si="14"/>
        <v>97.502066616307673</v>
      </c>
      <c r="Y49" s="42">
        <f t="shared" si="15"/>
        <v>51.009463770633687</v>
      </c>
      <c r="Z49" s="42">
        <f t="shared" si="16"/>
        <v>55.968974305422087</v>
      </c>
      <c r="AA49" s="42">
        <f t="shared" si="17"/>
        <v>23552.721886209569</v>
      </c>
      <c r="AC49" s="19"/>
    </row>
    <row r="50" spans="2:29">
      <c r="B50" s="117"/>
      <c r="C50" s="111">
        <v>42.922210040026137</v>
      </c>
      <c r="D50" s="111">
        <v>-2.3381643328711612</v>
      </c>
      <c r="E50" s="111">
        <v>0</v>
      </c>
      <c r="F50" s="112">
        <v>0</v>
      </c>
      <c r="G50" s="112">
        <v>0</v>
      </c>
      <c r="H50" s="112">
        <v>0</v>
      </c>
      <c r="I50" s="112">
        <v>0</v>
      </c>
      <c r="J50" s="112">
        <v>0</v>
      </c>
      <c r="K50" s="112">
        <v>0</v>
      </c>
      <c r="L50" s="112">
        <v>0</v>
      </c>
      <c r="M50" s="112">
        <v>206253.99473244269</v>
      </c>
      <c r="Q50" s="108">
        <v>48</v>
      </c>
      <c r="R50" s="27">
        <f t="shared" si="0"/>
        <v>4</v>
      </c>
      <c r="S50" s="18">
        <f t="shared" si="1"/>
        <v>126144000</v>
      </c>
      <c r="T50" s="42">
        <f t="shared" si="10"/>
        <v>9.2269476289808843</v>
      </c>
      <c r="U50" s="42">
        <f t="shared" si="11"/>
        <v>3166.1781404949738</v>
      </c>
      <c r="V50" s="42">
        <f t="shared" si="12"/>
        <v>1327.6637809625688</v>
      </c>
      <c r="W50" s="42">
        <f t="shared" si="13"/>
        <v>189.95886804914534</v>
      </c>
      <c r="X50" s="42">
        <f t="shared" si="14"/>
        <v>97.717813556093915</v>
      </c>
      <c r="Y50" s="42">
        <f t="shared" si="15"/>
        <v>50.934414252520526</v>
      </c>
      <c r="Z50" s="42">
        <f t="shared" si="16"/>
        <v>54.896342688248282</v>
      </c>
      <c r="AA50" s="42">
        <f t="shared" si="17"/>
        <v>23492.080588200093</v>
      </c>
      <c r="AC50" s="19"/>
    </row>
    <row r="51" spans="2:29">
      <c r="C51" s="111">
        <v>1</v>
      </c>
      <c r="D51" s="111">
        <v>-0.98098231321893792</v>
      </c>
      <c r="E51" s="111">
        <v>0</v>
      </c>
      <c r="F51" s="112">
        <v>0</v>
      </c>
      <c r="G51" s="112">
        <v>0</v>
      </c>
      <c r="H51" s="112">
        <v>0</v>
      </c>
      <c r="I51" s="112">
        <v>0</v>
      </c>
      <c r="J51" s="112">
        <v>0</v>
      </c>
      <c r="K51" s="112">
        <v>0</v>
      </c>
      <c r="L51" s="112">
        <v>0</v>
      </c>
      <c r="M51" s="112">
        <v>-289.9152969437547</v>
      </c>
      <c r="Q51" s="108">
        <v>49</v>
      </c>
      <c r="R51" s="27">
        <f t="shared" si="0"/>
        <v>4.083333333333333</v>
      </c>
      <c r="S51" s="18">
        <f t="shared" si="1"/>
        <v>128772000</v>
      </c>
      <c r="T51" s="42">
        <f t="shared" si="10"/>
        <v>9.0887235162226894</v>
      </c>
      <c r="U51" s="42">
        <f t="shared" si="11"/>
        <v>3159.5013364572114</v>
      </c>
      <c r="V51" s="42">
        <f t="shared" si="12"/>
        <v>1330.1195265702156</v>
      </c>
      <c r="W51" s="42">
        <f t="shared" si="13"/>
        <v>189.67478190737069</v>
      </c>
      <c r="X51" s="42">
        <f t="shared" si="14"/>
        <v>97.930994639771598</v>
      </c>
      <c r="Y51" s="42">
        <f t="shared" si="15"/>
        <v>50.859423112712946</v>
      </c>
      <c r="Z51" s="42">
        <f t="shared" si="16"/>
        <v>53.844267635407405</v>
      </c>
      <c r="AA51" s="42">
        <f t="shared" si="17"/>
        <v>23431.595423607199</v>
      </c>
      <c r="AC51" s="19"/>
    </row>
    <row r="52" spans="2:29">
      <c r="F52" s="112">
        <v>0</v>
      </c>
      <c r="G52" s="112">
        <v>0</v>
      </c>
      <c r="H52" s="112">
        <v>0</v>
      </c>
      <c r="I52" s="112">
        <v>0</v>
      </c>
      <c r="J52" s="112">
        <v>0</v>
      </c>
      <c r="K52" s="112">
        <v>0</v>
      </c>
      <c r="L52" s="112">
        <v>0</v>
      </c>
      <c r="M52" s="112">
        <v>1</v>
      </c>
      <c r="Q52" s="108">
        <v>50</v>
      </c>
      <c r="R52" s="27">
        <f t="shared" si="0"/>
        <v>4.166666666666667</v>
      </c>
      <c r="S52" s="18">
        <f t="shared" si="1"/>
        <v>131400000</v>
      </c>
      <c r="T52" s="42">
        <f t="shared" si="10"/>
        <v>8.952570067146139</v>
      </c>
      <c r="U52" s="42">
        <f t="shared" si="11"/>
        <v>3152.8146194268033</v>
      </c>
      <c r="V52" s="42">
        <f t="shared" si="12"/>
        <v>1332.5326213458056</v>
      </c>
      <c r="W52" s="42">
        <f t="shared" si="13"/>
        <v>189.40747555063587</v>
      </c>
      <c r="X52" s="42">
        <f t="shared" si="14"/>
        <v>98.141688723532184</v>
      </c>
      <c r="Y52" s="42">
        <f t="shared" si="15"/>
        <v>50.784557760173968</v>
      </c>
      <c r="Z52" s="42">
        <f t="shared" si="16"/>
        <v>52.812355191605263</v>
      </c>
      <c r="AA52" s="42">
        <f t="shared" si="17"/>
        <v>23371.265990433538</v>
      </c>
      <c r="AC52" s="19"/>
    </row>
    <row r="53" spans="2:29">
      <c r="Q53" s="108">
        <v>51</v>
      </c>
      <c r="R53" s="27">
        <f t="shared" si="0"/>
        <v>4.25</v>
      </c>
      <c r="S53" s="18">
        <f t="shared" si="1"/>
        <v>134028000</v>
      </c>
      <c r="T53" s="42">
        <f t="shared" si="10"/>
        <v>8.8184562622134965</v>
      </c>
      <c r="U53" s="42">
        <f t="shared" si="11"/>
        <v>3146.1185113461866</v>
      </c>
      <c r="V53" s="42">
        <f t="shared" si="12"/>
        <v>1334.9033326815043</v>
      </c>
      <c r="W53" s="42">
        <f t="shared" si="13"/>
        <v>189.15633243446635</v>
      </c>
      <c r="X53" s="42">
        <f t="shared" si="14"/>
        <v>98.349972022866496</v>
      </c>
      <c r="Y53" s="42">
        <f t="shared" si="15"/>
        <v>50.709881997872486</v>
      </c>
      <c r="Z53" s="42">
        <f t="shared" si="16"/>
        <v>51.80021895142162</v>
      </c>
      <c r="AA53" s="42">
        <f t="shared" si="17"/>
        <v>23311.091887716801</v>
      </c>
      <c r="AC53" s="19"/>
    </row>
    <row r="54" spans="2:29">
      <c r="F54" s="114" t="s">
        <v>168</v>
      </c>
      <c r="I54" s="19"/>
      <c r="J54" s="19"/>
      <c r="K54" s="19"/>
      <c r="L54" s="19"/>
      <c r="M54" s="19"/>
      <c r="Q54" s="108">
        <v>52</v>
      </c>
      <c r="R54" s="27">
        <f t="shared" si="0"/>
        <v>4.333333333333333</v>
      </c>
      <c r="S54" s="18">
        <f t="shared" si="1"/>
        <v>136656000</v>
      </c>
      <c r="T54" s="42">
        <f t="shared" si="10"/>
        <v>8.6863515465746097</v>
      </c>
      <c r="U54" s="42">
        <f t="shared" si="11"/>
        <v>3139.41352374487</v>
      </c>
      <c r="V54" s="42">
        <f t="shared" si="12"/>
        <v>1337.231928011103</v>
      </c>
      <c r="W54" s="42">
        <f t="shared" si="13"/>
        <v>188.92075387912854</v>
      </c>
      <c r="X54" s="42">
        <f t="shared" si="14"/>
        <v>98.55591818756443</v>
      </c>
      <c r="Y54" s="42">
        <f t="shared" si="15"/>
        <v>50.635456154275545</v>
      </c>
      <c r="Z54" s="42">
        <f t="shared" si="16"/>
        <v>50.807479914623578</v>
      </c>
      <c r="AA54" s="42">
        <f t="shared" si="17"/>
        <v>23251.072715527029</v>
      </c>
      <c r="AC54" s="19"/>
    </row>
    <row r="55" spans="2:29">
      <c r="E55" s="24"/>
      <c r="F55" s="112">
        <f t="array" ref="F55:M62">_xll.SYSLINSING(F$29:M$36-G42*_xll.M_ID(),,0.0001)</f>
        <v>0</v>
      </c>
      <c r="G55" s="112">
        <v>0</v>
      </c>
      <c r="H55" s="112">
        <v>0</v>
      </c>
      <c r="I55" s="112">
        <v>0</v>
      </c>
      <c r="J55" s="112">
        <v>0</v>
      </c>
      <c r="K55" s="112">
        <v>0</v>
      </c>
      <c r="L55" s="112">
        <v>0</v>
      </c>
      <c r="M55" s="112">
        <v>0</v>
      </c>
      <c r="Q55" s="108">
        <v>53</v>
      </c>
      <c r="R55" s="27">
        <f t="shared" si="0"/>
        <v>4.416666666666667</v>
      </c>
      <c r="S55" s="18">
        <f t="shared" si="1"/>
        <v>139284000</v>
      </c>
      <c r="T55" s="42">
        <f t="shared" si="10"/>
        <v>8.5562258231056809</v>
      </c>
      <c r="U55" s="42">
        <f t="shared" si="11"/>
        <v>3132.7001579315847</v>
      </c>
      <c r="V55" s="42">
        <f t="shared" si="12"/>
        <v>1339.518674770871</v>
      </c>
      <c r="W55" s="42">
        <f t="shared" si="13"/>
        <v>188.70015858073009</v>
      </c>
      <c r="X55" s="42">
        <f t="shared" si="14"/>
        <v>98.759598374720895</v>
      </c>
      <c r="Y55" s="42">
        <f t="shared" si="15"/>
        <v>50.561337210705403</v>
      </c>
      <c r="Z55" s="42">
        <f t="shared" si="16"/>
        <v>49.833766344251465</v>
      </c>
      <c r="AA55" s="42">
        <f t="shared" si="17"/>
        <v>23191.208074963964</v>
      </c>
      <c r="AC55" s="19"/>
    </row>
    <row r="56" spans="2:29">
      <c r="F56" s="112">
        <v>0</v>
      </c>
      <c r="G56" s="112">
        <v>0</v>
      </c>
      <c r="H56" s="112">
        <v>0</v>
      </c>
      <c r="I56" s="112">
        <v>0</v>
      </c>
      <c r="J56" s="112">
        <v>0</v>
      </c>
      <c r="K56" s="112">
        <v>0</v>
      </c>
      <c r="L56" s="112">
        <v>468.14414726278824</v>
      </c>
      <c r="M56" s="112">
        <v>0</v>
      </c>
      <c r="Q56" s="108">
        <v>54</v>
      </c>
      <c r="R56" s="27">
        <f t="shared" si="0"/>
        <v>4.5</v>
      </c>
      <c r="S56" s="18">
        <f t="shared" si="1"/>
        <v>141912000</v>
      </c>
      <c r="T56" s="42">
        <f t="shared" si="10"/>
        <v>8.428049445552297</v>
      </c>
      <c r="U56" s="42">
        <f t="shared" si="11"/>
        <v>3125.9789051829339</v>
      </c>
      <c r="V56" s="42">
        <f t="shared" si="12"/>
        <v>1341.763840361408</v>
      </c>
      <c r="W56" s="42">
        <f t="shared" si="13"/>
        <v>188.49398213555818</v>
      </c>
      <c r="X56" s="42">
        <f t="shared" si="14"/>
        <v>98.961081319794857</v>
      </c>
      <c r="Y56" s="42">
        <f t="shared" si="15"/>
        <v>50.487578924682651</v>
      </c>
      <c r="Z56" s="42">
        <f t="shared" si="16"/>
        <v>48.878713627424595</v>
      </c>
      <c r="AA56" s="42">
        <f t="shared" si="17"/>
        <v>23131.497568154406</v>
      </c>
      <c r="AC56" s="19"/>
    </row>
    <row r="57" spans="2:29">
      <c r="F57" s="112">
        <v>0</v>
      </c>
      <c r="G57" s="112">
        <v>0</v>
      </c>
      <c r="H57" s="112">
        <v>0</v>
      </c>
      <c r="I57" s="112">
        <v>0</v>
      </c>
      <c r="J57" s="112">
        <v>0</v>
      </c>
      <c r="K57" s="112">
        <v>0</v>
      </c>
      <c r="L57" s="112">
        <v>-159.70466341945126</v>
      </c>
      <c r="M57" s="112">
        <v>0</v>
      </c>
      <c r="Q57" s="108">
        <v>55</v>
      </c>
      <c r="R57" s="27">
        <f t="shared" si="0"/>
        <v>4.583333333333333</v>
      </c>
      <c r="S57" s="18">
        <f t="shared" si="1"/>
        <v>144540000</v>
      </c>
      <c r="T57" s="42">
        <f t="shared" si="10"/>
        <v>8.3017932117751982</v>
      </c>
      <c r="U57" s="42">
        <f t="shared" si="11"/>
        <v>3119.2502469285987</v>
      </c>
      <c r="V57" s="42">
        <f t="shared" si="12"/>
        <v>1343.9676921104654</v>
      </c>
      <c r="W57" s="42">
        <f t="shared" si="13"/>
        <v>188.30167657729854</v>
      </c>
      <c r="X57" s="42">
        <f t="shared" si="14"/>
        <v>99.16043340577761</v>
      </c>
      <c r="Y57" s="42">
        <f t="shared" si="15"/>
        <v>50.414231949372649</v>
      </c>
      <c r="Z57" s="42">
        <f t="shared" si="16"/>
        <v>47.941964138814384</v>
      </c>
      <c r="AA57" s="42">
        <f t="shared" si="17"/>
        <v>23071.94079824954</v>
      </c>
      <c r="AC57" s="19"/>
    </row>
    <row r="58" spans="2:29">
      <c r="F58" s="112">
        <v>0</v>
      </c>
      <c r="G58" s="112">
        <v>0</v>
      </c>
      <c r="H58" s="112">
        <v>0</v>
      </c>
      <c r="I58" s="112">
        <v>0</v>
      </c>
      <c r="J58" s="112">
        <v>0</v>
      </c>
      <c r="K58" s="112">
        <v>0</v>
      </c>
      <c r="L58" s="112">
        <v>-62.863985489782984</v>
      </c>
      <c r="M58" s="112">
        <v>0</v>
      </c>
      <c r="Q58" s="108">
        <v>56</v>
      </c>
      <c r="R58" s="27">
        <f t="shared" si="0"/>
        <v>4.666666666666667</v>
      </c>
      <c r="S58" s="18">
        <f t="shared" si="1"/>
        <v>147168000</v>
      </c>
      <c r="T58" s="42">
        <f t="shared" si="10"/>
        <v>8.1774283570972059</v>
      </c>
      <c r="U58" s="42">
        <f t="shared" si="11"/>
        <v>3112.5146549331694</v>
      </c>
      <c r="V58" s="42">
        <f t="shared" si="12"/>
        <v>1346.1304972367298</v>
      </c>
      <c r="W58" s="42">
        <f t="shared" si="13"/>
        <v>188.12270992678521</v>
      </c>
      <c r="X58" s="42">
        <f t="shared" si="14"/>
        <v>99.357718730516751</v>
      </c>
      <c r="Y58" s="42">
        <f t="shared" si="15"/>
        <v>50.341343949251225</v>
      </c>
      <c r="Z58" s="42">
        <f t="shared" si="16"/>
        <v>47.023167106733865</v>
      </c>
      <c r="AA58" s="42">
        <f t="shared" si="17"/>
        <v>23012.537369422338</v>
      </c>
      <c r="AC58" s="19"/>
    </row>
    <row r="59" spans="2:29">
      <c r="F59" s="112">
        <v>0</v>
      </c>
      <c r="G59" s="112">
        <v>0</v>
      </c>
      <c r="H59" s="112">
        <v>0</v>
      </c>
      <c r="I59" s="112">
        <v>0</v>
      </c>
      <c r="J59" s="112">
        <v>0</v>
      </c>
      <c r="K59" s="112">
        <v>0</v>
      </c>
      <c r="L59" s="112">
        <v>-8.0559572658529905</v>
      </c>
      <c r="M59" s="112">
        <v>0</v>
      </c>
      <c r="Q59" s="108">
        <v>57</v>
      </c>
      <c r="R59" s="27">
        <f t="shared" si="0"/>
        <v>4.75</v>
      </c>
      <c r="S59" s="18">
        <f t="shared" si="1"/>
        <v>149796000</v>
      </c>
      <c r="T59" s="42">
        <f t="shared" si="10"/>
        <v>8.0549265477498491</v>
      </c>
      <c r="U59" s="42">
        <f t="shared" si="11"/>
        <v>3105.7725914746602</v>
      </c>
      <c r="V59" s="42">
        <f t="shared" si="12"/>
        <v>1348.2525228145412</v>
      </c>
      <c r="W59" s="42">
        <f t="shared" si="13"/>
        <v>187.95656575394295</v>
      </c>
      <c r="X59" s="42">
        <f t="shared" si="14"/>
        <v>99.552999172242949</v>
      </c>
      <c r="Y59" s="42">
        <f t="shared" si="15"/>
        <v>50.268959712099544</v>
      </c>
      <c r="Z59" s="42">
        <f t="shared" si="16"/>
        <v>46.121978481793626</v>
      </c>
      <c r="AA59" s="42">
        <f t="shared" si="17"/>
        <v>22953.286886864902</v>
      </c>
      <c r="AC59" s="19"/>
    </row>
    <row r="60" spans="2:29">
      <c r="F60" s="112">
        <v>0</v>
      </c>
      <c r="G60" s="112">
        <v>0</v>
      </c>
      <c r="H60" s="112">
        <v>0</v>
      </c>
      <c r="I60" s="112">
        <v>0</v>
      </c>
      <c r="J60" s="112">
        <v>0</v>
      </c>
      <c r="K60" s="112">
        <v>0</v>
      </c>
      <c r="L60" s="112">
        <v>147.90957753893096</v>
      </c>
      <c r="M60" s="112">
        <v>0</v>
      </c>
      <c r="Q60" s="108">
        <v>58</v>
      </c>
      <c r="R60" s="27">
        <f t="shared" si="0"/>
        <v>4.833333333333333</v>
      </c>
      <c r="S60" s="18">
        <f t="shared" si="1"/>
        <v>152424000</v>
      </c>
      <c r="T60" s="42">
        <f t="shared" si="10"/>
        <v>7.9342598744181236</v>
      </c>
      <c r="U60" s="42">
        <f t="shared" si="11"/>
        <v>3099.0245095197624</v>
      </c>
      <c r="V60" s="42">
        <f t="shared" si="12"/>
        <v>1350.3340357395261</v>
      </c>
      <c r="W60" s="42">
        <f t="shared" si="13"/>
        <v>187.80274275158962</v>
      </c>
      <c r="X60" s="42">
        <f t="shared" si="14"/>
        <v>99.746334453356383</v>
      </c>
      <c r="Y60" s="42">
        <f t="shared" si="15"/>
        <v>50.197121257437175</v>
      </c>
      <c r="Z60" s="42">
        <f t="shared" si="16"/>
        <v>45.238060808074586</v>
      </c>
      <c r="AA60" s="42">
        <f t="shared" si="17"/>
        <v>22894.188956785852</v>
      </c>
      <c r="AC60" s="19"/>
    </row>
    <row r="61" spans="2:29">
      <c r="F61" s="112">
        <v>0</v>
      </c>
      <c r="G61" s="112">
        <v>0</v>
      </c>
      <c r="H61" s="112">
        <v>0</v>
      </c>
      <c r="I61" s="112">
        <v>0</v>
      </c>
      <c r="J61" s="112">
        <v>0</v>
      </c>
      <c r="K61" s="112">
        <v>0</v>
      </c>
      <c r="L61" s="112">
        <v>1</v>
      </c>
      <c r="M61" s="112">
        <v>0</v>
      </c>
      <c r="Q61" s="108">
        <v>59</v>
      </c>
      <c r="R61" s="27">
        <f t="shared" si="0"/>
        <v>4.916666666666667</v>
      </c>
      <c r="S61" s="18">
        <f t="shared" si="1"/>
        <v>155052000</v>
      </c>
      <c r="T61" s="42">
        <f t="shared" si="10"/>
        <v>7.815400845881995</v>
      </c>
      <c r="U61" s="42">
        <f t="shared" si="11"/>
        <v>3092.2708528959088</v>
      </c>
      <c r="V61" s="42">
        <f t="shared" si="12"/>
        <v>1352.3753026951299</v>
      </c>
      <c r="W61" s="42">
        <f t="shared" si="13"/>
        <v>187.66075432077994</v>
      </c>
      <c r="X61" s="42">
        <f t="shared" si="14"/>
        <v>99.937782202504138</v>
      </c>
      <c r="Y61" s="42">
        <f t="shared" si="15"/>
        <v>50.125867941498115</v>
      </c>
      <c r="Z61" s="42">
        <f t="shared" si="16"/>
        <v>44.371083096769802</v>
      </c>
      <c r="AA61" s="42">
        <f t="shared" si="17"/>
        <v>22835.243186407686</v>
      </c>
      <c r="AC61" s="19"/>
    </row>
    <row r="62" spans="2:29">
      <c r="F62" s="112">
        <v>0</v>
      </c>
      <c r="G62" s="112">
        <v>0</v>
      </c>
      <c r="H62" s="112">
        <v>0</v>
      </c>
      <c r="I62" s="112">
        <v>0</v>
      </c>
      <c r="J62" s="112">
        <v>0</v>
      </c>
      <c r="K62" s="112">
        <v>0</v>
      </c>
      <c r="L62" s="112">
        <v>0</v>
      </c>
      <c r="M62" s="112">
        <v>0</v>
      </c>
      <c r="Q62" s="108">
        <v>60</v>
      </c>
      <c r="R62" s="27">
        <f t="shared" si="0"/>
        <v>5</v>
      </c>
      <c r="S62" s="18">
        <f t="shared" si="1"/>
        <v>157680000</v>
      </c>
      <c r="T62" s="42">
        <f t="shared" si="10"/>
        <v>7.69832238275312</v>
      </c>
      <c r="U62" s="42">
        <f t="shared" si="11"/>
        <v>3085.512056460193</v>
      </c>
      <c r="V62" s="42">
        <f t="shared" si="12"/>
        <v>1354.3765901200341</v>
      </c>
      <c r="W62" s="42">
        <f t="shared" si="13"/>
        <v>187.53012816737632</v>
      </c>
      <c r="X62" s="42">
        <f t="shared" si="14"/>
        <v>100.12739801500641</v>
      </c>
      <c r="Y62" s="42">
        <f t="shared" si="15"/>
        <v>50.05523655885294</v>
      </c>
      <c r="Z62" s="42">
        <f t="shared" si="16"/>
        <v>43.520720702247758</v>
      </c>
      <c r="AA62" s="42">
        <f t="shared" si="17"/>
        <v>22776.449183964207</v>
      </c>
      <c r="AC62" s="19"/>
    </row>
    <row r="63" spans="2:29">
      <c r="Q63" s="108">
        <v>61</v>
      </c>
      <c r="R63" s="27">
        <f t="shared" si="0"/>
        <v>5.083333333333333</v>
      </c>
      <c r="S63" s="18">
        <f t="shared" si="1"/>
        <v>160308000</v>
      </c>
      <c r="T63" s="42">
        <f t="shared" si="10"/>
        <v>7.5829978113054191</v>
      </c>
      <c r="U63" s="42">
        <f t="shared" si="11"/>
        <v>3078.7485462652135</v>
      </c>
      <c r="V63" s="42">
        <f t="shared" si="12"/>
        <v>1356.3381641764306</v>
      </c>
      <c r="W63" s="42">
        <f t="shared" si="13"/>
        <v>187.4104059095431</v>
      </c>
      <c r="X63" s="42">
        <f t="shared" si="14"/>
        <v>100.31523551166583</v>
      </c>
      <c r="Y63" s="42">
        <f t="shared" si="15"/>
        <v>49.985261440774053</v>
      </c>
      <c r="Z63" s="42">
        <f t="shared" si="16"/>
        <v>42.686655200490677</v>
      </c>
      <c r="AA63" s="42">
        <f t="shared" si="17"/>
        <v>22717.806558697892</v>
      </c>
      <c r="AC63" s="19"/>
    </row>
    <row r="64" spans="2:29">
      <c r="F64" s="114" t="s">
        <v>169</v>
      </c>
      <c r="I64" s="19"/>
      <c r="J64" s="19"/>
      <c r="K64" s="19"/>
      <c r="L64" s="19"/>
      <c r="M64" s="19"/>
      <c r="Q64" s="108">
        <v>62</v>
      </c>
      <c r="R64" s="27">
        <f t="shared" si="0"/>
        <v>5.166666666666667</v>
      </c>
      <c r="S64" s="18">
        <f t="shared" si="1"/>
        <v>162936000</v>
      </c>
      <c r="T64" s="42">
        <f t="shared" si="10"/>
        <v>7.4694008573980515</v>
      </c>
      <c r="U64" s="42">
        <f t="shared" si="11"/>
        <v>3071.9807397218819</v>
      </c>
      <c r="V64" s="42">
        <f t="shared" si="12"/>
        <v>1358.2602907191408</v>
      </c>
      <c r="W64" s="42">
        <f t="shared" si="13"/>
        <v>187.30114269586835</v>
      </c>
      <c r="X64" s="42">
        <f t="shared" si="14"/>
        <v>100.50134639600856</v>
      </c>
      <c r="Y64" s="42">
        <f t="shared" si="15"/>
        <v>49.915974550442954</v>
      </c>
      <c r="Z64" s="42">
        <f t="shared" si="16"/>
        <v>41.868574269862577</v>
      </c>
      <c r="AA64" s="42">
        <f t="shared" si="17"/>
        <v>22659.314920857298</v>
      </c>
      <c r="AC64" s="19"/>
    </row>
    <row r="65" spans="1:29">
      <c r="F65" s="112">
        <f t="array" ref="F65:M72">_xll.SYSLINSING(F$29:M$36-H42*_xll.M_ID(),,0.0001)</f>
        <v>0</v>
      </c>
      <c r="G65" s="112">
        <v>0</v>
      </c>
      <c r="H65" s="112">
        <v>0</v>
      </c>
      <c r="I65" s="112">
        <v>0</v>
      </c>
      <c r="J65" s="112">
        <v>0</v>
      </c>
      <c r="K65" s="112">
        <v>0</v>
      </c>
      <c r="L65" s="112">
        <v>0</v>
      </c>
      <c r="M65" s="112">
        <v>0</v>
      </c>
      <c r="Q65" s="108">
        <v>63</v>
      </c>
      <c r="R65" s="27">
        <f t="shared" si="0"/>
        <v>5.25</v>
      </c>
      <c r="S65" s="18">
        <f t="shared" si="1"/>
        <v>165564000</v>
      </c>
      <c r="T65" s="42">
        <f t="shared" si="10"/>
        <v>7.357505640489447</v>
      </c>
      <c r="U65" s="42">
        <f t="shared" si="11"/>
        <v>3065.2090457592735</v>
      </c>
      <c r="V65" s="42">
        <f t="shared" si="12"/>
        <v>1360.143235265567</v>
      </c>
      <c r="W65" s="42">
        <f t="shared" si="13"/>
        <v>187.201906833826</v>
      </c>
      <c r="X65" s="42">
        <f t="shared" si="14"/>
        <v>100.68578050999588</v>
      </c>
      <c r="Y65" s="42">
        <f t="shared" si="15"/>
        <v>49.847405575091685</v>
      </c>
      <c r="Z65" s="42">
        <f t="shared" si="16"/>
        <v>41.066171574162219</v>
      </c>
      <c r="AA65" s="42">
        <f t="shared" si="17"/>
        <v>22600.973881694477</v>
      </c>
      <c r="AC65" s="19"/>
    </row>
    <row r="66" spans="1:29">
      <c r="F66" s="112">
        <v>0</v>
      </c>
      <c r="G66" s="112">
        <v>0</v>
      </c>
      <c r="H66" s="112">
        <v>0</v>
      </c>
      <c r="I66" s="112">
        <v>0</v>
      </c>
      <c r="J66" s="112">
        <v>0</v>
      </c>
      <c r="K66" s="112">
        <v>0</v>
      </c>
      <c r="L66" s="112">
        <v>0</v>
      </c>
      <c r="M66" s="112">
        <v>0</v>
      </c>
      <c r="Q66" s="108">
        <v>64</v>
      </c>
      <c r="R66" s="27">
        <f t="shared" ref="R66:R129" si="18">S66/(3600*365*24)</f>
        <v>5.333333333333333</v>
      </c>
      <c r="S66" s="18">
        <f t="shared" ref="S66:S129" si="19">Q66*D$5</f>
        <v>168192000</v>
      </c>
      <c r="T66" s="42">
        <f t="shared" ref="T66:T97" si="20">$F$148*EXP($F$24*$S66)+$G$148*EXP($G$24*$S66)+$H$148*EXP($H$24*$S66)+$I$148*EXP($I$24*$S66)+$J$148*EXP($J$24*$S66)+$K$148*EXP($K$24*$S66)+$L$148*EXP($L$24*$S66)+$M$148*EXP($M$24*$S66)</f>
        <v>7.2472866677409904</v>
      </c>
      <c r="U66" s="42">
        <f t="shared" ref="U66:U97" si="21">$F$149*EXP($F$24*$S66)+$G$149*EXP($G$24*$S66)+$H$149*EXP($H$24*$S66)+$I$149*EXP($I$24*$S66)+$J$149*EXP($J$24*$S66)+$K$149*EXP($K$24*$S66)+$L$149*EXP($L$24*$S66)+$M$149*EXP($M$24*$S66)</f>
        <v>3058.43386498155</v>
      </c>
      <c r="V66" s="42">
        <f t="shared" ref="V66:V97" si="22">$F$150*EXP($F$24*$S66)+$G$150*EXP($G$24*$S66)+$H$150*EXP($H$24*$S66)+$I$150*EXP($I$24*$S66)+$J$150*EXP($J$24*$S66)+$K$150*EXP($K$24*$S66)+$L$150*EXP($L$24*$S66)+$M$150*EXP($M$24*$S66)</f>
        <v>1361.9872629664494</v>
      </c>
      <c r="W66" s="42">
        <f t="shared" ref="W66:W97" si="23">$F$151*EXP($F$24*$S66)+$G$151*EXP($G$24*$S66)+$H$151*EXP($H$24*$S66)+$I$151*EXP($I$24*$S66)+$J$151*EXP($J$24*$S66)+$K$151*EXP($K$24*$S66)+$L$151*EXP($L$24*$S66)+$M$151*EXP($M$24*$S66)</f>
        <v>187.112279428297</v>
      </c>
      <c r="X66" s="42">
        <f t="shared" ref="X66:X97" si="24">$F$152*EXP($F$24*$S66)+$G$152*EXP($G$24*$S66)+$H$152*EXP($H$24*$S66)+$I$152*EXP($I$24*$S66)+$J$152*EXP($J$24*$S66)+$K$152*EXP($K$24*$S66)+$L$152*EXP($L$24*$S66)+$M$152*EXP($M$24*$S66)</f>
        <v>100.8685858882447</v>
      </c>
      <c r="Y66" s="42">
        <f t="shared" ref="Y66:Y97" si="25">$F$153*EXP($F$24*$S66)+$G$153*EXP($G$24*$S66)+$H$153*EXP($H$24*$S66)+$I$153*EXP($I$24*$S66)+$J$153*EXP($J$24*$S66)+$K$153*EXP($K$24*$S66)+$L$153*EXP($L$24*$S66)+$M$153*EXP($M$24*$S66)</f>
        <v>49.779582015169481</v>
      </c>
      <c r="Z66" s="42">
        <f t="shared" ref="Z66:Z97" si="26">$F$154*EXP($F$24*$S66)+$G$154*EXP($G$24*$S66)+$H$154*EXP($H$24*$S66)+$I$154*EXP($I$24*$S66)+$J$154*EXP($J$24*$S66)+$K$154*EXP($K$24*$S66)+$L$154*EXP($L$24*$S66)+$M$154*EXP($M$24*$S66)</f>
        <v>40.279146647917202</v>
      </c>
      <c r="AA66" s="42">
        <f t="shared" ref="AA66:AA97" si="27">$F$155*EXP($F$24*$S66)+$G$155*EXP($G$24*$S66)+$H$155*EXP($H$24*$S66)+$I$155*EXP($I$24*$S66)+$J$155*EXP($J$24*$S66)+$K$155*EXP($K$24*$S66)+$L$155*EXP($L$24*$S66)+$M$155*EXP($M$24*$S66)</f>
        <v>22542.783053462401</v>
      </c>
      <c r="AC66" s="19"/>
    </row>
    <row r="67" spans="1:29">
      <c r="F67" s="112">
        <v>0</v>
      </c>
      <c r="G67" s="112">
        <v>0</v>
      </c>
      <c r="H67" s="112">
        <v>0</v>
      </c>
      <c r="I67" s="112">
        <v>0</v>
      </c>
      <c r="J67" s="112">
        <v>0</v>
      </c>
      <c r="K67" s="112">
        <v>12.760061351198786</v>
      </c>
      <c r="L67" s="112">
        <v>0</v>
      </c>
      <c r="M67" s="112">
        <v>0</v>
      </c>
      <c r="Q67" s="108">
        <v>65</v>
      </c>
      <c r="R67" s="27">
        <f t="shared" si="18"/>
        <v>5.416666666666667</v>
      </c>
      <c r="S67" s="18">
        <f t="shared" si="19"/>
        <v>170820000</v>
      </c>
      <c r="T67" s="42">
        <f t="shared" si="20"/>
        <v>7.1387188282090515</v>
      </c>
      <c r="U67" s="42">
        <f t="shared" si="21"/>
        <v>3051.6555898220263</v>
      </c>
      <c r="V67" s="42">
        <f t="shared" si="22"/>
        <v>1363.7926385774181</v>
      </c>
      <c r="W67" s="42">
        <f t="shared" si="23"/>
        <v>187.03185402987867</v>
      </c>
      <c r="X67" s="42">
        <f t="shared" si="24"/>
        <v>101.04980881080172</v>
      </c>
      <c r="Y67" s="42">
        <f t="shared" si="25"/>
        <v>49.712529270623975</v>
      </c>
      <c r="Z67" s="42">
        <f t="shared" si="26"/>
        <v>39.507204783876375</v>
      </c>
      <c r="AA67" s="42">
        <f t="shared" si="27"/>
        <v>22484.742049412369</v>
      </c>
      <c r="AC67" s="19"/>
    </row>
    <row r="68" spans="1:29">
      <c r="F68" s="112">
        <v>0</v>
      </c>
      <c r="G68" s="112">
        <v>0</v>
      </c>
      <c r="H68" s="112">
        <v>0</v>
      </c>
      <c r="I68" s="112">
        <v>0</v>
      </c>
      <c r="J68" s="112">
        <v>0</v>
      </c>
      <c r="K68" s="112">
        <v>2.3223789066452465</v>
      </c>
      <c r="L68" s="112">
        <v>0</v>
      </c>
      <c r="M68" s="112">
        <v>0</v>
      </c>
      <c r="Q68" s="108">
        <v>66</v>
      </c>
      <c r="R68" s="27">
        <f t="shared" si="18"/>
        <v>5.5</v>
      </c>
      <c r="S68" s="18">
        <f t="shared" si="19"/>
        <v>173448000</v>
      </c>
      <c r="T68" s="42">
        <f t="shared" si="20"/>
        <v>7.0317773871240101</v>
      </c>
      <c r="U68" s="42">
        <f t="shared" si="21"/>
        <v>3044.8746046944216</v>
      </c>
      <c r="V68" s="42">
        <f t="shared" si="22"/>
        <v>1365.5596264313253</v>
      </c>
      <c r="W68" s="42">
        <f t="shared" si="23"/>
        <v>186.96023629271616</v>
      </c>
      <c r="X68" s="42">
        <f t="shared" si="24"/>
        <v>101.22949385450153</v>
      </c>
      <c r="Y68" s="42">
        <f t="shared" si="25"/>
        <v>49.646270724381722</v>
      </c>
      <c r="Z68" s="42">
        <f t="shared" si="26"/>
        <v>38.750056922658246</v>
      </c>
      <c r="AA68" s="42">
        <f t="shared" si="27"/>
        <v>22426.850483791437</v>
      </c>
      <c r="AC68" s="19"/>
    </row>
    <row r="69" spans="1:29">
      <c r="F69" s="112">
        <v>0</v>
      </c>
      <c r="G69" s="112">
        <v>0</v>
      </c>
      <c r="H69" s="112">
        <v>0</v>
      </c>
      <c r="I69" s="112">
        <v>0</v>
      </c>
      <c r="J69" s="112">
        <v>0</v>
      </c>
      <c r="K69" s="112">
        <v>-10.778825554741271</v>
      </c>
      <c r="L69" s="112">
        <v>0</v>
      </c>
      <c r="M69" s="112">
        <v>0</v>
      </c>
      <c r="Q69" s="108">
        <v>67</v>
      </c>
      <c r="R69" s="27">
        <f t="shared" si="18"/>
        <v>5.583333333333333</v>
      </c>
      <c r="S69" s="18">
        <f t="shared" si="19"/>
        <v>176076000</v>
      </c>
      <c r="T69" s="42">
        <f t="shared" si="20"/>
        <v>6.92643798025499</v>
      </c>
      <c r="U69" s="42">
        <f t="shared" si="21"/>
        <v>3038.0912861413522</v>
      </c>
      <c r="V69" s="42">
        <f t="shared" si="22"/>
        <v>1367.2884904113339</v>
      </c>
      <c r="W69" s="42">
        <f t="shared" si="23"/>
        <v>186.89704364159846</v>
      </c>
      <c r="X69" s="42">
        <f t="shared" si="24"/>
        <v>101.40768394295355</v>
      </c>
      <c r="Y69" s="42">
        <f t="shared" si="25"/>
        <v>49.580827823111903</v>
      </c>
      <c r="Z69" s="42">
        <f t="shared" si="26"/>
        <v>38.007419544514214</v>
      </c>
      <c r="AA69" s="42">
        <f t="shared" si="27"/>
        <v>22369.107971839861</v>
      </c>
      <c r="AC69" s="19"/>
    </row>
    <row r="70" spans="1:29">
      <c r="F70" s="112">
        <v>0</v>
      </c>
      <c r="G70" s="112">
        <v>0</v>
      </c>
      <c r="H70" s="112">
        <v>0</v>
      </c>
      <c r="I70" s="112">
        <v>0</v>
      </c>
      <c r="J70" s="112">
        <v>0</v>
      </c>
      <c r="K70" s="112">
        <v>1</v>
      </c>
      <c r="L70" s="112">
        <v>0</v>
      </c>
      <c r="M70" s="112">
        <v>0</v>
      </c>
      <c r="Q70" s="108">
        <v>68</v>
      </c>
      <c r="R70" s="27">
        <f t="shared" si="18"/>
        <v>5.666666666666667</v>
      </c>
      <c r="S70" s="18">
        <f t="shared" si="19"/>
        <v>178704000</v>
      </c>
      <c r="T70" s="42">
        <f t="shared" si="20"/>
        <v>6.8226766083590098</v>
      </c>
      <c r="U70" s="42">
        <f t="shared" si="21"/>
        <v>3031.3060029801159</v>
      </c>
      <c r="V70" s="42">
        <f t="shared" si="22"/>
        <v>1368.979493924757</v>
      </c>
      <c r="W70" s="42">
        <f t="shared" si="23"/>
        <v>186.84190494806882</v>
      </c>
      <c r="X70" s="42">
        <f t="shared" si="24"/>
        <v>101.58442039518764</v>
      </c>
      <c r="Y70" s="42">
        <f t="shared" si="25"/>
        <v>49.516220155354802</v>
      </c>
      <c r="Z70" s="42">
        <f t="shared" si="26"/>
        <v>37.279014563166093</v>
      </c>
      <c r="AA70" s="42">
        <f t="shared" si="27"/>
        <v>22311.514129788557</v>
      </c>
      <c r="AC70" s="19"/>
    </row>
    <row r="71" spans="1:29">
      <c r="F71" s="112">
        <v>0</v>
      </c>
      <c r="G71" s="112">
        <v>0</v>
      </c>
      <c r="H71" s="112">
        <v>0</v>
      </c>
      <c r="I71" s="112">
        <v>0</v>
      </c>
      <c r="J71" s="112">
        <v>0</v>
      </c>
      <c r="K71" s="112">
        <v>0</v>
      </c>
      <c r="L71" s="112">
        <v>0</v>
      </c>
      <c r="M71" s="112">
        <v>0</v>
      </c>
      <c r="Q71" s="108">
        <v>69</v>
      </c>
      <c r="R71" s="27">
        <f t="shared" si="18"/>
        <v>5.75</v>
      </c>
      <c r="S71" s="18">
        <f t="shared" si="19"/>
        <v>181332000</v>
      </c>
      <c r="T71" s="42">
        <f t="shared" si="20"/>
        <v>6.7204696317132901</v>
      </c>
      <c r="U71" s="42">
        <f t="shared" si="21"/>
        <v>3024.5191164458083</v>
      </c>
      <c r="V71" s="42">
        <f t="shared" si="22"/>
        <v>1370.6328998776223</v>
      </c>
      <c r="W71" s="42">
        <f t="shared" si="23"/>
        <v>186.79446021530433</v>
      </c>
      <c r="X71" s="42">
        <f t="shared" si="24"/>
        <v>101.75974297299797</v>
      </c>
      <c r="Y71" s="42">
        <f t="shared" si="25"/>
        <v>49.452465527092485</v>
      </c>
      <c r="Z71" s="42">
        <f t="shared" si="26"/>
        <v>36.564569221678042</v>
      </c>
      <c r="AA71" s="42">
        <f t="shared" si="27"/>
        <v>22254.068574856508</v>
      </c>
      <c r="AC71" s="19"/>
    </row>
    <row r="72" spans="1:29">
      <c r="F72" s="112">
        <v>0</v>
      </c>
      <c r="G72" s="112">
        <v>0</v>
      </c>
      <c r="H72" s="112">
        <v>0</v>
      </c>
      <c r="I72" s="112">
        <v>0</v>
      </c>
      <c r="J72" s="112">
        <v>0</v>
      </c>
      <c r="K72" s="112">
        <v>0</v>
      </c>
      <c r="L72" s="112">
        <v>0</v>
      </c>
      <c r="M72" s="112">
        <v>0</v>
      </c>
      <c r="Q72" s="108">
        <v>70</v>
      </c>
      <c r="R72" s="27">
        <f t="shared" si="18"/>
        <v>5.833333333333333</v>
      </c>
      <c r="S72" s="18">
        <f t="shared" si="19"/>
        <v>183960000</v>
      </c>
      <c r="T72" s="42">
        <f t="shared" si="20"/>
        <v>6.6197937647294669</v>
      </c>
      <c r="U72" s="42">
        <f t="shared" si="21"/>
        <v>3017.7309803318385</v>
      </c>
      <c r="V72" s="42">
        <f t="shared" si="22"/>
        <v>1372.248970649958</v>
      </c>
      <c r="W72" s="42">
        <f t="shared" si="23"/>
        <v>186.75436027152841</v>
      </c>
      <c r="X72" s="42">
        <f t="shared" si="24"/>
        <v>101.93368992701659</v>
      </c>
      <c r="Y72" s="42">
        <f t="shared" si="25"/>
        <v>49.389580034839639</v>
      </c>
      <c r="Z72" s="42">
        <f t="shared" si="26"/>
        <v>35.863815990324056</v>
      </c>
      <c r="AA72" s="42">
        <f t="shared" si="27"/>
        <v>22196.770925248253</v>
      </c>
      <c r="AC72" s="19"/>
    </row>
    <row r="73" spans="1:29">
      <c r="D73" s="24"/>
      <c r="F73" s="111"/>
      <c r="P73" s="24"/>
      <c r="Q73" s="108">
        <v>71</v>
      </c>
      <c r="R73" s="27">
        <f t="shared" si="18"/>
        <v>5.916666666666667</v>
      </c>
      <c r="S73" s="18">
        <f t="shared" si="19"/>
        <v>186588000</v>
      </c>
      <c r="T73" s="42">
        <f t="shared" si="20"/>
        <v>6.5206260706484924</v>
      </c>
      <c r="U73" s="42">
        <f t="shared" si="21"/>
        <v>3010.94194112787</v>
      </c>
      <c r="V73" s="42">
        <f t="shared" si="22"/>
        <v>1373.8279680717746</v>
      </c>
      <c r="W73" s="42">
        <f t="shared" si="23"/>
        <v>186.72126647172539</v>
      </c>
      <c r="X73" s="42">
        <f t="shared" si="24"/>
        <v>102.10629804155292</v>
      </c>
      <c r="Y73" s="42">
        <f t="shared" si="25"/>
        <v>49.327578136327745</v>
      </c>
      <c r="Z73" s="42">
        <f t="shared" si="26"/>
        <v>35.176492466412803</v>
      </c>
      <c r="AA73" s="42">
        <f t="shared" si="27"/>
        <v>22139.620800151348</v>
      </c>
      <c r="AC73" s="19"/>
    </row>
    <row r="74" spans="1:29">
      <c r="F74" s="114" t="s">
        <v>170</v>
      </c>
      <c r="I74" s="19"/>
      <c r="J74" s="19"/>
      <c r="K74" s="19"/>
      <c r="L74" s="19"/>
      <c r="M74" s="19"/>
      <c r="Q74" s="108">
        <v>72</v>
      </c>
      <c r="R74" s="27">
        <f t="shared" si="18"/>
        <v>6</v>
      </c>
      <c r="S74" s="18">
        <f t="shared" si="19"/>
        <v>189216000</v>
      </c>
      <c r="T74" s="42">
        <f t="shared" si="20"/>
        <v>6.422943956314989</v>
      </c>
      <c r="U74" s="42">
        <f t="shared" si="21"/>
        <v>3004.1523381552443</v>
      </c>
      <c r="V74" s="42">
        <f t="shared" si="22"/>
        <v>1375.3701533997298</v>
      </c>
      <c r="W74" s="42">
        <f t="shared" si="23"/>
        <v>186.69485040743029</v>
      </c>
      <c r="X74" s="42">
        <f t="shared" si="24"/>
        <v>102.27760267822595</v>
      </c>
      <c r="Y74" s="42">
        <f t="shared" si="25"/>
        <v>49.266472718854935</v>
      </c>
      <c r="Z74" s="42">
        <f t="shared" si="26"/>
        <v>34.502341276032041</v>
      </c>
      <c r="AA74" s="42">
        <f t="shared" si="27"/>
        <v>22082.617819733816</v>
      </c>
      <c r="AC74" s="19"/>
    </row>
    <row r="75" spans="1:29">
      <c r="F75" s="112">
        <f t="array" ref="F75:M82">_xll.SYSLINSING(F$29:M$36-I42*_xll.M_ID(),,0.0001)</f>
        <v>0</v>
      </c>
      <c r="G75" s="112">
        <v>0</v>
      </c>
      <c r="H75" s="112">
        <v>0</v>
      </c>
      <c r="I75" s="112">
        <v>0</v>
      </c>
      <c r="J75" s="112">
        <v>0</v>
      </c>
      <c r="K75" s="112">
        <v>0</v>
      </c>
      <c r="L75" s="112">
        <v>0</v>
      </c>
      <c r="M75" s="112">
        <v>0</v>
      </c>
      <c r="Q75" s="108">
        <v>73</v>
      </c>
      <c r="R75" s="27">
        <f t="shared" si="18"/>
        <v>6.083333333333333</v>
      </c>
      <c r="S75" s="18">
        <f t="shared" si="19"/>
        <v>191844000</v>
      </c>
      <c r="T75" s="42">
        <f t="shared" si="20"/>
        <v>6.326725167029922</v>
      </c>
      <c r="U75" s="42">
        <f t="shared" si="21"/>
        <v>2997.3625036999433</v>
      </c>
      <c r="V75" s="42">
        <f t="shared" si="22"/>
        <v>1376.8757872944745</v>
      </c>
      <c r="W75" s="42">
        <f t="shared" si="23"/>
        <v>186.67479362437948</v>
      </c>
      <c r="X75" s="42">
        <f t="shared" si="24"/>
        <v>102.44763781842954</v>
      </c>
      <c r="Y75" s="42">
        <f t="shared" si="25"/>
        <v>49.206275165372269</v>
      </c>
      <c r="Z75" s="42">
        <f t="shared" si="26"/>
        <v>33.841109977676219</v>
      </c>
      <c r="AA75" s="42">
        <f t="shared" si="27"/>
        <v>22025.761605141652</v>
      </c>
      <c r="AC75" s="19"/>
    </row>
    <row r="76" spans="1:29">
      <c r="F76" s="112">
        <v>0</v>
      </c>
      <c r="G76" s="112">
        <v>0</v>
      </c>
      <c r="H76" s="112">
        <v>0</v>
      </c>
      <c r="I76" s="112">
        <v>0</v>
      </c>
      <c r="J76" s="112">
        <v>0</v>
      </c>
      <c r="K76" s="112">
        <v>0</v>
      </c>
      <c r="L76" s="112">
        <v>0</v>
      </c>
      <c r="M76" s="112">
        <v>0</v>
      </c>
      <c r="Q76" s="108">
        <v>74</v>
      </c>
      <c r="R76" s="27">
        <f t="shared" si="18"/>
        <v>6.166666666666667</v>
      </c>
      <c r="S76" s="18">
        <f t="shared" si="19"/>
        <v>194472000</v>
      </c>
      <c r="T76" s="42">
        <f t="shared" si="20"/>
        <v>6.231947781480347</v>
      </c>
      <c r="U76" s="42">
        <f t="shared" si="21"/>
        <v>2990.572763143105</v>
      </c>
      <c r="V76" s="42">
        <f t="shared" si="22"/>
        <v>1378.3451297986455</v>
      </c>
      <c r="W76" s="42">
        <f t="shared" si="23"/>
        <v>186.66078734780447</v>
      </c>
      <c r="X76" s="42">
        <f t="shared" si="24"/>
        <v>102.61643610465325</v>
      </c>
      <c r="Y76" s="42">
        <f t="shared" si="25"/>
        <v>49.14699541837367</v>
      </c>
      <c r="Z76" s="42">
        <f t="shared" si="26"/>
        <v>33.192550967720756</v>
      </c>
      <c r="AA76" s="42">
        <f t="shared" si="27"/>
        <v>21969.051778496258</v>
      </c>
      <c r="AC76" s="19"/>
    </row>
    <row r="77" spans="1:29">
      <c r="F77" s="112">
        <v>0</v>
      </c>
      <c r="G77" s="112">
        <v>0</v>
      </c>
      <c r="H77" s="112">
        <v>0</v>
      </c>
      <c r="I77" s="112">
        <v>0</v>
      </c>
      <c r="J77" s="112">
        <v>0</v>
      </c>
      <c r="K77" s="112">
        <v>0</v>
      </c>
      <c r="L77" s="112">
        <v>0</v>
      </c>
      <c r="M77" s="112">
        <v>0</v>
      </c>
      <c r="Q77" s="108">
        <v>75</v>
      </c>
      <c r="R77" s="27">
        <f t="shared" si="18"/>
        <v>6.25</v>
      </c>
      <c r="S77" s="18">
        <f t="shared" si="19"/>
        <v>197100000</v>
      </c>
      <c r="T77" s="42">
        <f t="shared" si="20"/>
        <v>6.1385902067451292</v>
      </c>
      <c r="U77" s="42">
        <f t="shared" si="21"/>
        <v>2983.7834350891767</v>
      </c>
      <c r="V77" s="42">
        <f t="shared" si="22"/>
        <v>1379.7784403155092</v>
      </c>
      <c r="W77" s="42">
        <f t="shared" si="23"/>
        <v>186.65253221516684</v>
      </c>
      <c r="X77" s="42">
        <f t="shared" si="24"/>
        <v>102.78402888069274</v>
      </c>
      <c r="Y77" s="42">
        <f t="shared" si="25"/>
        <v>49.088642041656215</v>
      </c>
      <c r="Z77" s="42">
        <f t="shared" si="26"/>
        <v>32.556421387707978</v>
      </c>
      <c r="AA77" s="42">
        <f t="shared" si="27"/>
        <v>21912.487962891995</v>
      </c>
      <c r="AC77" s="19"/>
    </row>
    <row r="78" spans="1:29">
      <c r="A78" s="4"/>
      <c r="B78" s="4"/>
      <c r="D78" s="4"/>
      <c r="F78" s="112">
        <v>0</v>
      </c>
      <c r="G78" s="112">
        <v>0</v>
      </c>
      <c r="H78" s="112">
        <v>0</v>
      </c>
      <c r="I78" s="112">
        <v>0</v>
      </c>
      <c r="J78" s="112">
        <v>0</v>
      </c>
      <c r="K78" s="112">
        <v>-2.7878824382448801</v>
      </c>
      <c r="L78" s="112">
        <v>0</v>
      </c>
      <c r="M78" s="112">
        <v>0</v>
      </c>
      <c r="Q78" s="108">
        <v>76</v>
      </c>
      <c r="R78" s="27">
        <f t="shared" si="18"/>
        <v>6.333333333333333</v>
      </c>
      <c r="S78" s="18">
        <f t="shared" si="19"/>
        <v>199728000</v>
      </c>
      <c r="T78" s="42">
        <f t="shared" si="20"/>
        <v>6.0466311733754754</v>
      </c>
      <c r="U78" s="42">
        <f t="shared" si="21"/>
        <v>2976.9948314917124</v>
      </c>
      <c r="V78" s="42">
        <f t="shared" si="22"/>
        <v>1381.1759775882315</v>
      </c>
      <c r="W78" s="42">
        <f t="shared" si="23"/>
        <v>186.64973801612885</v>
      </c>
      <c r="X78" s="42">
        <f t="shared" si="24"/>
        <v>102.95044623077854</v>
      </c>
      <c r="Y78" s="42">
        <f t="shared" si="25"/>
        <v>49.031222280014632</v>
      </c>
      <c r="Z78" s="42">
        <f t="shared" si="26"/>
        <v>31.932483033409763</v>
      </c>
      <c r="AA78" s="42">
        <f t="shared" si="27"/>
        <v>21856.069782393617</v>
      </c>
      <c r="AC78" s="19"/>
    </row>
    <row r="79" spans="1:29">
      <c r="A79" s="4"/>
      <c r="B79" s="4"/>
      <c r="D79" s="4"/>
      <c r="F79" s="112">
        <v>0</v>
      </c>
      <c r="G79" s="112">
        <v>0</v>
      </c>
      <c r="H79" s="112">
        <v>0</v>
      </c>
      <c r="I79" s="112">
        <v>0</v>
      </c>
      <c r="J79" s="112">
        <v>0</v>
      </c>
      <c r="K79" s="112">
        <v>0.37333855188460408</v>
      </c>
      <c r="L79" s="112">
        <v>0</v>
      </c>
      <c r="M79" s="112">
        <v>0</v>
      </c>
      <c r="Q79" s="108">
        <v>77</v>
      </c>
      <c r="R79" s="27">
        <f t="shared" si="18"/>
        <v>6.416666666666667</v>
      </c>
      <c r="S79" s="18">
        <f t="shared" si="19"/>
        <v>202356000</v>
      </c>
      <c r="T79" s="42">
        <f t="shared" si="20"/>
        <v>5.9560497305491671</v>
      </c>
      <c r="U79" s="42">
        <f t="shared" si="21"/>
        <v>2970.2072577768804</v>
      </c>
      <c r="V79" s="42">
        <f t="shared" si="22"/>
        <v>1382.5379996797683</v>
      </c>
      <c r="W79" s="42">
        <f t="shared" si="23"/>
        <v>186.65212343956716</v>
      </c>
      <c r="X79" s="42">
        <f t="shared" si="24"/>
        <v>103.11571701765115</v>
      </c>
      <c r="Y79" s="42">
        <f t="shared" si="25"/>
        <v>48.974742116932624</v>
      </c>
      <c r="Z79" s="42">
        <f t="shared" si="26"/>
        <v>31.320502265632904</v>
      </c>
      <c r="AA79" s="42">
        <f t="shared" si="27"/>
        <v>21799.796862033814</v>
      </c>
      <c r="AC79" s="19"/>
    </row>
    <row r="80" spans="1:29">
      <c r="A80" s="4"/>
      <c r="B80" s="4"/>
      <c r="D80" s="4"/>
      <c r="F80" s="112">
        <v>0</v>
      </c>
      <c r="G80" s="112">
        <v>0</v>
      </c>
      <c r="H80" s="112">
        <v>0</v>
      </c>
      <c r="I80" s="112">
        <v>0</v>
      </c>
      <c r="J80" s="112">
        <v>0</v>
      </c>
      <c r="K80" s="112">
        <v>1</v>
      </c>
      <c r="L80" s="112">
        <v>0</v>
      </c>
      <c r="M80" s="112">
        <v>0</v>
      </c>
      <c r="Q80" s="108">
        <v>78</v>
      </c>
      <c r="R80" s="27">
        <f t="shared" si="18"/>
        <v>6.5</v>
      </c>
      <c r="S80" s="18">
        <f t="shared" si="19"/>
        <v>204984000</v>
      </c>
      <c r="T80" s="42">
        <f t="shared" si="20"/>
        <v>5.8668252412973754</v>
      </c>
      <c r="U80" s="42">
        <f t="shared" si="21"/>
        <v>2963.4210129647154</v>
      </c>
      <c r="V80" s="42">
        <f t="shared" si="22"/>
        <v>1383.8647639533556</v>
      </c>
      <c r="W80" s="42">
        <f t="shared" si="23"/>
        <v>186.65941582743716</v>
      </c>
      <c r="X80" s="42">
        <f t="shared" si="24"/>
        <v>103.27986891961132</v>
      </c>
      <c r="Y80" s="42">
        <f t="shared" si="25"/>
        <v>48.919206330331434</v>
      </c>
      <c r="Z80" s="42">
        <f t="shared" si="26"/>
        <v>30.7202499227338</v>
      </c>
      <c r="AA80" s="42">
        <f t="shared" si="27"/>
        <v>21743.668827810707</v>
      </c>
      <c r="AC80" s="19"/>
    </row>
    <row r="81" spans="1:29">
      <c r="A81" s="4"/>
      <c r="B81" s="4"/>
      <c r="D81" s="4"/>
      <c r="F81" s="112">
        <v>0</v>
      </c>
      <c r="G81" s="112">
        <v>0</v>
      </c>
      <c r="H81" s="112">
        <v>0</v>
      </c>
      <c r="I81" s="112">
        <v>0</v>
      </c>
      <c r="J81" s="112">
        <v>0</v>
      </c>
      <c r="K81" s="112">
        <v>0</v>
      </c>
      <c r="L81" s="112">
        <v>0</v>
      </c>
      <c r="M81" s="112">
        <v>0</v>
      </c>
      <c r="Q81" s="108">
        <v>79</v>
      </c>
      <c r="R81" s="27">
        <f t="shared" si="18"/>
        <v>6.583333333333333</v>
      </c>
      <c r="S81" s="18">
        <f t="shared" si="19"/>
        <v>207612000</v>
      </c>
      <c r="T81" s="42">
        <f t="shared" si="20"/>
        <v>5.7789373778029889</v>
      </c>
      <c r="U81" s="42">
        <f t="shared" si="21"/>
        <v>2956.6363897881547</v>
      </c>
      <c r="V81" s="42">
        <f t="shared" si="22"/>
        <v>1385.1565270535943</v>
      </c>
      <c r="W81" s="42">
        <f t="shared" si="23"/>
        <v>186.67135093530376</v>
      </c>
      <c r="X81" s="42">
        <f t="shared" si="24"/>
        <v>103.44292846656668</v>
      </c>
      <c r="Y81" s="42">
        <f t="shared" si="25"/>
        <v>48.864618546434727</v>
      </c>
      <c r="Z81" s="42">
        <f t="shared" si="26"/>
        <v>30.131501234809775</v>
      </c>
      <c r="AA81" s="42">
        <f t="shared" si="27"/>
        <v>21687.685306685344</v>
      </c>
      <c r="AC81" s="19"/>
    </row>
    <row r="82" spans="1:29">
      <c r="A82" s="4"/>
      <c r="B82" s="4"/>
      <c r="D82" s="4"/>
      <c r="F82" s="112">
        <v>0</v>
      </c>
      <c r="G82" s="112">
        <v>0</v>
      </c>
      <c r="H82" s="112">
        <v>0</v>
      </c>
      <c r="I82" s="112">
        <v>0</v>
      </c>
      <c r="J82" s="112">
        <v>0</v>
      </c>
      <c r="K82" s="112">
        <v>0</v>
      </c>
      <c r="L82" s="112">
        <v>0</v>
      </c>
      <c r="M82" s="112">
        <v>0</v>
      </c>
      <c r="Q82" s="108">
        <v>80</v>
      </c>
      <c r="R82" s="27">
        <f t="shared" si="18"/>
        <v>6.666666666666667</v>
      </c>
      <c r="S82" s="18">
        <f t="shared" si="19"/>
        <v>210240000</v>
      </c>
      <c r="T82" s="42">
        <f t="shared" si="20"/>
        <v>5.6923661167693753</v>
      </c>
      <c r="U82" s="42">
        <f t="shared" si="21"/>
        <v>2949.8536748098986</v>
      </c>
      <c r="V82" s="42">
        <f t="shared" si="22"/>
        <v>1386.4135448881143</v>
      </c>
      <c r="W82" s="42">
        <f t="shared" si="23"/>
        <v>186.68767269935748</v>
      </c>
      <c r="X82" s="42">
        <f t="shared" si="24"/>
        <v>103.60492107511391</v>
      </c>
      <c r="Y82" s="42">
        <f t="shared" si="25"/>
        <v>48.810981291806605</v>
      </c>
      <c r="Z82" s="42">
        <f t="shared" si="26"/>
        <v>29.554035739534754</v>
      </c>
      <c r="AA82" s="42">
        <f t="shared" si="27"/>
        <v>21631.845926579255</v>
      </c>
      <c r="AC82" s="19"/>
    </row>
    <row r="83" spans="1:29">
      <c r="A83" s="4"/>
      <c r="B83" s="4"/>
      <c r="D83" s="4"/>
      <c r="Q83" s="108">
        <v>81</v>
      </c>
      <c r="R83" s="27">
        <f t="shared" si="18"/>
        <v>6.75</v>
      </c>
      <c r="S83" s="18">
        <f t="shared" si="19"/>
        <v>212868000</v>
      </c>
      <c r="T83" s="42">
        <f t="shared" si="20"/>
        <v>5.6070917348585096</v>
      </c>
      <c r="U83" s="42">
        <f t="shared" si="21"/>
        <v>2943.0731485371398</v>
      </c>
      <c r="V83" s="42">
        <f t="shared" si="22"/>
        <v>1387.636072609801</v>
      </c>
      <c r="W83" s="42">
        <f t="shared" si="23"/>
        <v>186.70813300974092</v>
      </c>
      <c r="X83" s="42">
        <f t="shared" si="24"/>
        <v>103.76587108266421</v>
      </c>
      <c r="Y83" s="42">
        <f t="shared" si="25"/>
        <v>48.758296043618657</v>
      </c>
      <c r="Z83" s="42">
        <f t="shared" si="26"/>
        <v>28.98763719960796</v>
      </c>
      <c r="AA83" s="42">
        <f t="shared" si="27"/>
        <v>21576.150316371957</v>
      </c>
      <c r="AC83" s="19"/>
    </row>
    <row r="84" spans="1:29">
      <c r="A84" s="4"/>
      <c r="B84" s="4"/>
      <c r="D84" s="4"/>
      <c r="F84" s="114" t="s">
        <v>171</v>
      </c>
      <c r="I84" s="19"/>
      <c r="J84" s="19"/>
      <c r="K84" s="19"/>
      <c r="L84" s="19"/>
      <c r="M84" s="19"/>
      <c r="Q84" s="108">
        <v>82</v>
      </c>
      <c r="R84" s="27">
        <f t="shared" si="18"/>
        <v>6.833333333333333</v>
      </c>
      <c r="S84" s="18">
        <f t="shared" si="19"/>
        <v>215496000</v>
      </c>
      <c r="T84" s="42">
        <f t="shared" si="20"/>
        <v>5.523094804197461</v>
      </c>
      <c r="U84" s="42">
        <f t="shared" si="21"/>
        <v>2936.2950855341946</v>
      </c>
      <c r="V84" s="42">
        <f t="shared" si="22"/>
        <v>1388.8243645995824</v>
      </c>
      <c r="W84" s="42">
        <f t="shared" si="23"/>
        <v>186.73249149001529</v>
      </c>
      <c r="X84" s="42">
        <f t="shared" si="24"/>
        <v>103.92580178065498</v>
      </c>
      <c r="Y84" s="42">
        <f t="shared" si="25"/>
        <v>48.70656327819934</v>
      </c>
      <c r="Z84" s="42">
        <f t="shared" si="26"/>
        <v>28.432093521784552</v>
      </c>
      <c r="AA84" s="42">
        <f t="shared" si="27"/>
        <v>21520.598105898491</v>
      </c>
    </row>
    <row r="85" spans="1:29">
      <c r="A85" s="4"/>
      <c r="B85" s="4"/>
      <c r="D85" s="4"/>
      <c r="F85" s="112">
        <f t="array" ref="F85:M92">_xll.SYSLINSING(F$29:M$36-J42*_xll.M_ID(),,0.0001)</f>
        <v>0</v>
      </c>
      <c r="G85" s="112">
        <v>0</v>
      </c>
      <c r="H85" s="112">
        <v>0</v>
      </c>
      <c r="I85" s="112">
        <v>0</v>
      </c>
      <c r="J85" s="112">
        <v>0</v>
      </c>
      <c r="K85" s="112">
        <v>0</v>
      </c>
      <c r="L85" s="112">
        <v>0</v>
      </c>
      <c r="M85" s="112">
        <v>0</v>
      </c>
      <c r="Q85" s="108">
        <v>83</v>
      </c>
      <c r="R85" s="27">
        <f t="shared" si="18"/>
        <v>6.916666666666667</v>
      </c>
      <c r="S85" s="18">
        <f t="shared" si="19"/>
        <v>218124000</v>
      </c>
      <c r="T85" s="42">
        <f t="shared" si="20"/>
        <v>5.4403561879521769</v>
      </c>
      <c r="U85" s="42">
        <f t="shared" si="21"/>
        <v>2929.5197545330789</v>
      </c>
      <c r="V85" s="42">
        <f t="shared" si="22"/>
        <v>1389.9786744497528</v>
      </c>
      <c r="W85" s="42">
        <f t="shared" si="23"/>
        <v>186.7605152826001</v>
      </c>
      <c r="X85" s="42">
        <f t="shared" si="24"/>
        <v>104.08473544685404</v>
      </c>
      <c r="Y85" s="42">
        <f t="shared" si="25"/>
        <v>48.655782517918709</v>
      </c>
      <c r="Z85" s="42">
        <f t="shared" si="26"/>
        <v>27.88719667745799</v>
      </c>
      <c r="AA85" s="42">
        <f t="shared" si="27"/>
        <v>21465.18892594695</v>
      </c>
    </row>
    <row r="86" spans="1:29">
      <c r="A86" s="4"/>
      <c r="B86" s="4"/>
      <c r="D86" s="4"/>
      <c r="F86" s="112">
        <v>0</v>
      </c>
      <c r="G86" s="112">
        <v>0</v>
      </c>
      <c r="H86" s="112">
        <v>0</v>
      </c>
      <c r="I86" s="112">
        <v>0</v>
      </c>
      <c r="J86" s="112">
        <v>0</v>
      </c>
      <c r="K86" s="112">
        <v>0</v>
      </c>
      <c r="L86" s="112">
        <v>0</v>
      </c>
      <c r="M86" s="112">
        <v>0</v>
      </c>
      <c r="Q86" s="108">
        <v>84</v>
      </c>
      <c r="R86" s="27">
        <f t="shared" si="18"/>
        <v>7</v>
      </c>
      <c r="S86" s="18">
        <f t="shared" si="19"/>
        <v>220752000</v>
      </c>
      <c r="T86" s="42">
        <f t="shared" si="20"/>
        <v>5.3588570359675769</v>
      </c>
      <c r="U86" s="42">
        <f t="shared" si="21"/>
        <v>2922.7474185420588</v>
      </c>
      <c r="V86" s="42">
        <f t="shared" si="22"/>
        <v>1391.099254947834</v>
      </c>
      <c r="W86" s="42">
        <f t="shared" si="23"/>
        <v>186.79197884002465</v>
      </c>
      <c r="X86" s="42">
        <f t="shared" si="24"/>
        <v>104.2426933768005</v>
      </c>
      <c r="Y86" s="42">
        <f t="shared" si="25"/>
        <v>48.605952376458994</v>
      </c>
      <c r="Z86" s="42">
        <f t="shared" si="26"/>
        <v>27.352742624764403</v>
      </c>
      <c r="AA86" s="42">
        <f t="shared" si="27"/>
        <v>21409.922408256061</v>
      </c>
    </row>
    <row r="87" spans="1:29">
      <c r="A87" s="4"/>
      <c r="B87" s="4"/>
      <c r="D87" s="4"/>
      <c r="F87" s="112">
        <v>0</v>
      </c>
      <c r="G87" s="112">
        <v>0</v>
      </c>
      <c r="H87" s="112">
        <v>0</v>
      </c>
      <c r="I87" s="112">
        <v>0</v>
      </c>
      <c r="J87" s="112">
        <v>0</v>
      </c>
      <c r="K87" s="112">
        <v>0</v>
      </c>
      <c r="L87" s="112">
        <v>0</v>
      </c>
      <c r="M87" s="112">
        <v>0</v>
      </c>
      <c r="Q87" s="108">
        <v>85</v>
      </c>
      <c r="R87" s="27">
        <f t="shared" si="18"/>
        <v>7.083333333333333</v>
      </c>
      <c r="S87" s="18">
        <f t="shared" si="19"/>
        <v>223380000</v>
      </c>
      <c r="T87" s="42">
        <f t="shared" si="20"/>
        <v>5.2785787804729756</v>
      </c>
      <c r="U87" s="42">
        <f t="shared" si="21"/>
        <v>2915.9783349522263</v>
      </c>
      <c r="V87" s="42">
        <f t="shared" si="22"/>
        <v>1392.1863580609518</v>
      </c>
      <c r="W87" s="42">
        <f t="shared" si="23"/>
        <v>186.8266637218361</v>
      </c>
      <c r="X87" s="42">
        <f t="shared" si="24"/>
        <v>104.39969591438069</v>
      </c>
      <c r="Y87" s="42">
        <f t="shared" si="25"/>
        <v>48.557070602520398</v>
      </c>
      <c r="Z87" s="42">
        <f t="shared" si="26"/>
        <v>26.828531232179692</v>
      </c>
      <c r="AA87" s="42">
        <f t="shared" si="27"/>
        <v>21354.798185512704</v>
      </c>
    </row>
    <row r="88" spans="1:29">
      <c r="A88" s="4"/>
      <c r="B88" s="4"/>
      <c r="D88" s="4"/>
      <c r="F88" s="112">
        <v>0</v>
      </c>
      <c r="G88" s="112">
        <v>0</v>
      </c>
      <c r="H88" s="112">
        <v>0</v>
      </c>
      <c r="I88" s="112">
        <v>0</v>
      </c>
      <c r="J88" s="112">
        <v>0</v>
      </c>
      <c r="K88" s="112">
        <v>0</v>
      </c>
      <c r="L88" s="112">
        <v>0</v>
      </c>
      <c r="M88" s="112">
        <v>0</v>
      </c>
      <c r="Q88" s="108">
        <v>86</v>
      </c>
      <c r="R88" s="27">
        <f t="shared" si="18"/>
        <v>7.166666666666667</v>
      </c>
      <c r="S88" s="18">
        <f t="shared" si="19"/>
        <v>226008000</v>
      </c>
      <c r="T88" s="42">
        <f t="shared" si="20"/>
        <v>5.1995031318518175</v>
      </c>
      <c r="U88" s="42">
        <f t="shared" si="21"/>
        <v>2909.2127556421192</v>
      </c>
      <c r="V88" s="42">
        <f t="shared" si="22"/>
        <v>1393.2402349207225</v>
      </c>
      <c r="W88" s="42">
        <f t="shared" si="23"/>
        <v>186.86435839700704</v>
      </c>
      <c r="X88" s="42">
        <f t="shared" si="24"/>
        <v>104.55576248158695</v>
      </c>
      <c r="Y88" s="42">
        <f t="shared" si="25"/>
        <v>48.509134122009705</v>
      </c>
      <c r="Z88" s="42">
        <f t="shared" si="26"/>
        <v>26.314366203580857</v>
      </c>
      <c r="AA88" s="42">
        <f t="shared" si="27"/>
        <v>21299.815891349474</v>
      </c>
    </row>
    <row r="89" spans="1:29">
      <c r="A89" s="4"/>
      <c r="B89" s="4"/>
      <c r="D89" s="4"/>
      <c r="F89" s="112">
        <v>0</v>
      </c>
      <c r="G89" s="112">
        <v>0</v>
      </c>
      <c r="H89" s="112">
        <v>0</v>
      </c>
      <c r="I89" s="112">
        <v>0</v>
      </c>
      <c r="J89" s="112">
        <v>1</v>
      </c>
      <c r="K89" s="112">
        <v>0</v>
      </c>
      <c r="L89" s="112">
        <v>0</v>
      </c>
      <c r="M89" s="112">
        <v>0</v>
      </c>
      <c r="Q89" s="108">
        <v>87</v>
      </c>
      <c r="R89" s="27">
        <f t="shared" si="18"/>
        <v>7.25</v>
      </c>
      <c r="S89" s="18">
        <f t="shared" si="19"/>
        <v>228636000</v>
      </c>
      <c r="T89" s="42">
        <f t="shared" si="20"/>
        <v>5.1216120744748004</v>
      </c>
      <c r="U89" s="42">
        <f t="shared" si="21"/>
        <v>2902.4509270804333</v>
      </c>
      <c r="V89" s="42">
        <f t="shared" si="22"/>
        <v>1394.2611358086394</v>
      </c>
      <c r="W89" s="42">
        <f t="shared" si="23"/>
        <v>186.90485805169897</v>
      </c>
      <c r="X89" s="42">
        <f t="shared" si="24"/>
        <v>104.7109116074605</v>
      </c>
      <c r="Y89" s="42">
        <f t="shared" si="25"/>
        <v>48.462139078759279</v>
      </c>
      <c r="Z89" s="42">
        <f t="shared" si="26"/>
        <v>25.810055004743475</v>
      </c>
      <c r="AA89" s="42">
        <f t="shared" si="27"/>
        <v>21244.975160342259</v>
      </c>
    </row>
    <row r="90" spans="1:29">
      <c r="A90" s="4"/>
      <c r="B90" s="4"/>
      <c r="D90" s="4"/>
      <c r="F90" s="112">
        <v>0</v>
      </c>
      <c r="G90" s="112">
        <v>0</v>
      </c>
      <c r="H90" s="112">
        <v>0</v>
      </c>
      <c r="I90" s="112">
        <v>0</v>
      </c>
      <c r="J90" s="112">
        <v>0</v>
      </c>
      <c r="K90" s="112">
        <v>0</v>
      </c>
      <c r="L90" s="112">
        <v>0</v>
      </c>
      <c r="M90" s="112">
        <v>0</v>
      </c>
      <c r="Q90" s="108">
        <v>88</v>
      </c>
      <c r="R90" s="27">
        <f t="shared" si="18"/>
        <v>7.333333333333333</v>
      </c>
      <c r="S90" s="18">
        <f t="shared" si="19"/>
        <v>231264000</v>
      </c>
      <c r="T90" s="42">
        <f t="shared" si="20"/>
        <v>5.0448878625954139</v>
      </c>
      <c r="U90" s="42">
        <f t="shared" si="21"/>
        <v>2895.6930904268593</v>
      </c>
      <c r="V90" s="42">
        <f t="shared" si="22"/>
        <v>1395.2493101419439</v>
      </c>
      <c r="W90" s="42">
        <f t="shared" si="23"/>
        <v>186.94796440223271</v>
      </c>
      <c r="X90" s="42">
        <f t="shared" si="24"/>
        <v>104.8651609562512</v>
      </c>
      <c r="Y90" s="42">
        <f t="shared" si="25"/>
        <v>48.416080873820313</v>
      </c>
      <c r="Z90" s="42">
        <f t="shared" si="26"/>
        <v>25.315408791247734</v>
      </c>
      <c r="AA90" s="42">
        <f t="shared" si="27"/>
        <v>21190.275628007807</v>
      </c>
    </row>
    <row r="91" spans="1:29">
      <c r="A91" s="4"/>
      <c r="B91" s="4"/>
      <c r="D91" s="4"/>
      <c r="F91" s="112">
        <v>0</v>
      </c>
      <c r="G91" s="112">
        <v>0</v>
      </c>
      <c r="H91" s="112">
        <v>0</v>
      </c>
      <c r="I91" s="112">
        <v>0</v>
      </c>
      <c r="J91" s="112">
        <v>0</v>
      </c>
      <c r="K91" s="112">
        <v>0</v>
      </c>
      <c r="L91" s="112">
        <v>0</v>
      </c>
      <c r="M91" s="112">
        <v>0</v>
      </c>
      <c r="Q91" s="108">
        <v>89</v>
      </c>
      <c r="R91" s="27">
        <f t="shared" si="18"/>
        <v>7.416666666666667</v>
      </c>
      <c r="S91" s="18">
        <f t="shared" si="19"/>
        <v>233892000</v>
      </c>
      <c r="T91" s="42">
        <f t="shared" si="20"/>
        <v>4.969313016306959</v>
      </c>
      <c r="U91" s="42">
        <f t="shared" si="21"/>
        <v>2888.9394816310728</v>
      </c>
      <c r="V91" s="42">
        <f t="shared" si="22"/>
        <v>1396.2050064599769</v>
      </c>
      <c r="W91" s="42">
        <f t="shared" si="23"/>
        <v>186.99348551312767</v>
      </c>
      <c r="X91" s="42">
        <f t="shared" si="24"/>
        <v>105.01852735481049</v>
      </c>
      <c r="Y91" s="42">
        <f t="shared" si="25"/>
        <v>48.37095420337527</v>
      </c>
      <c r="Z91" s="42">
        <f t="shared" si="26"/>
        <v>24.830242337766098</v>
      </c>
      <c r="AA91" s="42">
        <f t="shared" si="27"/>
        <v>21135.716930801311</v>
      </c>
    </row>
    <row r="92" spans="1:29">
      <c r="A92" s="4"/>
      <c r="B92" s="4"/>
      <c r="D92" s="4"/>
      <c r="F92" s="112">
        <v>0</v>
      </c>
      <c r="G92" s="112">
        <v>0</v>
      </c>
      <c r="H92" s="112">
        <v>0</v>
      </c>
      <c r="I92" s="112">
        <v>0</v>
      </c>
      <c r="J92" s="112">
        <v>0</v>
      </c>
      <c r="K92" s="112">
        <v>0</v>
      </c>
      <c r="L92" s="112">
        <v>0</v>
      </c>
      <c r="M92" s="112">
        <v>0</v>
      </c>
      <c r="Q92" s="108">
        <v>90</v>
      </c>
      <c r="R92" s="27">
        <f t="shared" si="18"/>
        <v>7.5</v>
      </c>
      <c r="S92" s="18">
        <f t="shared" si="19"/>
        <v>236520000</v>
      </c>
      <c r="T92" s="42">
        <f t="shared" si="20"/>
        <v>4.8948703175601533</v>
      </c>
      <c r="U92" s="42">
        <f t="shared" si="21"/>
        <v>2882.1903315299169</v>
      </c>
      <c r="V92" s="42">
        <f t="shared" si="22"/>
        <v>1397.128472410991</v>
      </c>
      <c r="W92" s="42">
        <f t="shared" si="23"/>
        <v>187.04123562007101</v>
      </c>
      <c r="X92" s="42">
        <f t="shared" si="24"/>
        <v>105.1710268192391</v>
      </c>
      <c r="Y92" s="42">
        <f t="shared" si="25"/>
        <v>48.326753095311481</v>
      </c>
      <c r="Z92" s="42">
        <f t="shared" si="26"/>
        <v>24.35437396870617</v>
      </c>
      <c r="AA92" s="42">
        <f t="shared" si="27"/>
        <v>21081.298706113957</v>
      </c>
    </row>
    <row r="93" spans="1:29">
      <c r="A93" s="4"/>
      <c r="B93" s="4"/>
      <c r="D93" s="4"/>
      <c r="Q93" s="108">
        <v>91</v>
      </c>
      <c r="R93" s="27">
        <f t="shared" si="18"/>
        <v>7.583333333333333</v>
      </c>
      <c r="S93" s="18">
        <f t="shared" si="19"/>
        <v>239148000</v>
      </c>
      <c r="T93" s="42">
        <f t="shared" si="20"/>
        <v>4.8215428062403651</v>
      </c>
      <c r="U93" s="42">
        <f t="shared" si="21"/>
        <v>2875.4458659428092</v>
      </c>
      <c r="V93" s="42">
        <f t="shared" si="22"/>
        <v>1398.0199547394261</v>
      </c>
      <c r="W93" s="42">
        <f t="shared" si="23"/>
        <v>187.09103495768579</v>
      </c>
      <c r="X93" s="42">
        <f t="shared" si="24"/>
        <v>105.32267458080753</v>
      </c>
      <c r="Y93" s="42">
        <f t="shared" si="25"/>
        <v>48.283470944497751</v>
      </c>
      <c r="Z93" s="42">
        <f t="shared" si="26"/>
        <v>23.887625490182614</v>
      </c>
      <c r="AA93" s="42">
        <f t="shared" si="27"/>
        <v>21027.020592270572</v>
      </c>
    </row>
    <row r="94" spans="1:29">
      <c r="A94" s="4"/>
      <c r="B94" s="4"/>
      <c r="D94" s="4"/>
      <c r="F94" s="114" t="s">
        <v>172</v>
      </c>
      <c r="I94" s="19"/>
      <c r="J94" s="19"/>
      <c r="K94" s="19"/>
      <c r="L94" s="19"/>
      <c r="M94" s="19"/>
      <c r="Q94" s="108">
        <v>92</v>
      </c>
      <c r="R94" s="27">
        <f t="shared" si="18"/>
        <v>7.666666666666667</v>
      </c>
      <c r="S94" s="18">
        <f t="shared" si="19"/>
        <v>241776000</v>
      </c>
      <c r="T94" s="42">
        <f t="shared" si="20"/>
        <v>4.7493137763036426</v>
      </c>
      <c r="U94" s="42">
        <f t="shared" si="21"/>
        <v>2868.7063057654036</v>
      </c>
      <c r="V94" s="42">
        <f t="shared" si="22"/>
        <v>1398.8796992736266</v>
      </c>
      <c r="W94" s="42">
        <f t="shared" si="23"/>
        <v>187.1427095919656</v>
      </c>
      <c r="X94" s="42">
        <f t="shared" si="24"/>
        <v>105.47348511117048</v>
      </c>
      <c r="Y94" s="42">
        <f t="shared" si="25"/>
        <v>48.241100546803551</v>
      </c>
      <c r="Z94" s="42">
        <f t="shared" si="26"/>
        <v>23.429822123292869</v>
      </c>
      <c r="AA94" s="42">
        <f t="shared" si="27"/>
        <v>20972.882228527167</v>
      </c>
    </row>
    <row r="95" spans="1:29" s="4" customFormat="1">
      <c r="C95" s="2"/>
      <c r="E95" s="19"/>
      <c r="F95" s="112">
        <f t="array" ref="F95:M102">_xll.SYSLINSING(F$29:M$36-K42*_xll.M_ID(),,0.0001)</f>
        <v>0</v>
      </c>
      <c r="G95" s="112">
        <v>0</v>
      </c>
      <c r="H95" s="112">
        <v>0</v>
      </c>
      <c r="I95" s="112">
        <v>0</v>
      </c>
      <c r="J95" s="112">
        <v>0</v>
      </c>
      <c r="K95" s="112">
        <v>0</v>
      </c>
      <c r="L95" s="112">
        <v>0</v>
      </c>
      <c r="M95" s="112">
        <v>0</v>
      </c>
      <c r="Q95" s="108">
        <v>93</v>
      </c>
      <c r="R95" s="27">
        <f t="shared" si="18"/>
        <v>7.75</v>
      </c>
      <c r="S95" s="18">
        <f t="shared" si="19"/>
        <v>244404000</v>
      </c>
      <c r="T95" s="42">
        <f t="shared" si="20"/>
        <v>4.6781667719706013</v>
      </c>
      <c r="U95" s="42">
        <f t="shared" si="21"/>
        <v>2861.9718670615398</v>
      </c>
      <c r="V95" s="42">
        <f t="shared" si="22"/>
        <v>1399.7079509139978</v>
      </c>
      <c r="W95" s="42">
        <f t="shared" si="23"/>
        <v>187.19609125725242</v>
      </c>
      <c r="X95" s="42">
        <f t="shared" si="24"/>
        <v>105.62347214689191</v>
      </c>
      <c r="Y95" s="42">
        <f t="shared" si="25"/>
        <v>48.19963413190051</v>
      </c>
      <c r="Z95" s="42">
        <f t="shared" si="26"/>
        <v>22.980792438671529</v>
      </c>
      <c r="AA95" s="42">
        <f t="shared" si="27"/>
        <v>20918.883255068577</v>
      </c>
    </row>
    <row r="96" spans="1:29" s="4" customFormat="1">
      <c r="C96" s="2"/>
      <c r="E96" s="19"/>
      <c r="F96" s="112">
        <v>0</v>
      </c>
      <c r="G96" s="112">
        <v>0</v>
      </c>
      <c r="H96" s="112">
        <v>0</v>
      </c>
      <c r="I96" s="112">
        <v>0</v>
      </c>
      <c r="J96" s="112">
        <v>0</v>
      </c>
      <c r="K96" s="112">
        <v>0</v>
      </c>
      <c r="L96" s="112">
        <v>0</v>
      </c>
      <c r="M96" s="112">
        <v>0</v>
      </c>
      <c r="Q96" s="108">
        <v>94</v>
      </c>
      <c r="R96" s="27">
        <f t="shared" si="18"/>
        <v>7.833333333333333</v>
      </c>
      <c r="S96" s="18">
        <f t="shared" si="19"/>
        <v>247032000</v>
      </c>
      <c r="T96" s="42">
        <f t="shared" si="20"/>
        <v>4.6080855839773482</v>
      </c>
      <c r="U96" s="42">
        <f t="shared" si="21"/>
        <v>2855.2427611535109</v>
      </c>
      <c r="V96" s="42">
        <f t="shared" si="22"/>
        <v>1400.5049536215893</v>
      </c>
      <c r="W96" s="42">
        <f t="shared" si="23"/>
        <v>187.25101719763239</v>
      </c>
      <c r="X96" s="42">
        <f t="shared" si="24"/>
        <v>105.77264871329777</v>
      </c>
      <c r="Y96" s="42">
        <f t="shared" si="25"/>
        <v>48.159063394883539</v>
      </c>
      <c r="Z96" s="42">
        <f t="shared" si="26"/>
        <v>22.54036829229889</v>
      </c>
      <c r="AA96" s="42">
        <f t="shared" si="27"/>
        <v>20865.023313006037</v>
      </c>
    </row>
    <row r="97" spans="3:27" s="4" customFormat="1">
      <c r="C97" s="2"/>
      <c r="E97" s="19"/>
      <c r="F97" s="112">
        <v>0</v>
      </c>
      <c r="G97" s="112">
        <v>0</v>
      </c>
      <c r="H97" s="112">
        <v>0</v>
      </c>
      <c r="I97" s="112">
        <v>0</v>
      </c>
      <c r="J97" s="112">
        <v>0</v>
      </c>
      <c r="K97" s="112">
        <v>0</v>
      </c>
      <c r="L97" s="112">
        <v>0</v>
      </c>
      <c r="M97" s="112">
        <v>0</v>
      </c>
      <c r="Q97" s="108">
        <v>95</v>
      </c>
      <c r="R97" s="27">
        <f t="shared" si="18"/>
        <v>7.916666666666667</v>
      </c>
      <c r="S97" s="18">
        <f t="shared" si="19"/>
        <v>249660000</v>
      </c>
      <c r="T97" s="42">
        <f t="shared" si="20"/>
        <v>4.539054245882558</v>
      </c>
      <c r="U97" s="42">
        <f t="shared" si="21"/>
        <v>2848.5191947106841</v>
      </c>
      <c r="V97" s="42">
        <f t="shared" si="22"/>
        <v>1401.2709504070956</v>
      </c>
      <c r="W97" s="42">
        <f t="shared" si="23"/>
        <v>187.30733001263252</v>
      </c>
      <c r="X97" s="42">
        <f t="shared" si="24"/>
        <v>105.92102714768004</v>
      </c>
      <c r="Y97" s="42">
        <f t="shared" si="25"/>
        <v>48.119379526748432</v>
      </c>
      <c r="Z97" s="42">
        <f t="shared" si="26"/>
        <v>22.108384762539792</v>
      </c>
      <c r="AA97" s="42">
        <f t="shared" si="27"/>
        <v>20811.302044374828</v>
      </c>
    </row>
    <row r="98" spans="3:27" s="4" customFormat="1">
      <c r="C98" s="2"/>
      <c r="E98" s="19"/>
      <c r="F98" s="112">
        <v>0</v>
      </c>
      <c r="G98" s="112">
        <v>0</v>
      </c>
      <c r="H98" s="112">
        <v>0</v>
      </c>
      <c r="I98" s="112">
        <v>0</v>
      </c>
      <c r="J98" s="112">
        <v>0</v>
      </c>
      <c r="K98" s="112">
        <v>0</v>
      </c>
      <c r="L98" s="112">
        <v>0</v>
      </c>
      <c r="M98" s="112">
        <v>0</v>
      </c>
      <c r="Q98" s="108">
        <v>96</v>
      </c>
      <c r="R98" s="27">
        <f t="shared" si="18"/>
        <v>8</v>
      </c>
      <c r="S98" s="18">
        <f t="shared" si="19"/>
        <v>252288000</v>
      </c>
      <c r="T98" s="42">
        <f t="shared" ref="T98:T129" si="28">$F$148*EXP($F$24*$S98)+$G$148*EXP($G$24*$S98)+$H$148*EXP($H$24*$S98)+$I$148*EXP($I$24*$S98)+$J$148*EXP($J$24*$S98)+$K$148*EXP($K$24*$S98)+$L$148*EXP($L$24*$S98)+$M$148*EXP($M$24*$S98)</f>
        <v>4.4710570304298738</v>
      </c>
      <c r="U98" s="42">
        <f t="shared" ref="U98:U129" si="29">$F$149*EXP($F$24*$S98)+$G$149*EXP($G$24*$S98)+$H$149*EXP($H$24*$S98)+$I$149*EXP($I$24*$S98)+$J$149*EXP($J$24*$S98)+$K$149*EXP($K$24*$S98)+$L$149*EXP($L$24*$S98)+$M$149*EXP($M$24*$S98)</f>
        <v>2841.8013698364971</v>
      </c>
      <c r="V98" s="42">
        <f t="shared" ref="V98:V129" si="30">$F$150*EXP($F$24*$S98)+$G$150*EXP($G$24*$S98)+$H$150*EXP($H$24*$S98)+$I$150*EXP($I$24*$S98)+$J$150*EXP($J$24*$S98)+$K$150*EXP($K$24*$S98)+$L$150*EXP($L$24*$S98)+$M$150*EXP($M$24*$S98)</f>
        <v>1402.0061833202678</v>
      </c>
      <c r="W98" s="42">
        <f t="shared" ref="W98:W129" si="31">$F$151*EXP($F$24*$S98)+$G$151*EXP($G$24*$S98)+$H$151*EXP($H$24*$S98)+$I$151*EXP($I$24*$S98)+$J$151*EXP($J$24*$S98)+$K$151*EXP($K$24*$S98)+$L$151*EXP($L$24*$S98)+$M$151*EXP($M$24*$S98)</f>
        <v>187.36487750709978</v>
      </c>
      <c r="X98" s="42">
        <f t="shared" ref="X98:X129" si="32">$F$152*EXP($F$24*$S98)+$G$152*EXP($G$24*$S98)+$H$152*EXP($H$24*$S98)+$I$152*EXP($I$24*$S98)+$J$152*EXP($J$24*$S98)+$K$152*EXP($K$24*$S98)+$L$152*EXP($L$24*$S98)+$M$152*EXP($M$24*$S98)</f>
        <v>106.06861912185968</v>
      </c>
      <c r="Y98" s="42">
        <f t="shared" ref="Y98:Y129" si="33">$F$153*EXP($F$24*$S98)+$G$153*EXP($G$24*$S98)+$H$153*EXP($H$24*$S98)+$I$153*EXP($I$24*$S98)+$J$153*EXP($J$24*$S98)+$K$153*EXP($K$24*$S98)+$L$153*EXP($L$24*$S98)+$M$153*EXP($M$24*$S98)</f>
        <v>48.080573243761918</v>
      </c>
      <c r="Z98" s="42">
        <f t="shared" ref="Z98:Z129" si="34">$F$154*EXP($F$24*$S98)+$G$154*EXP($G$24*$S98)+$H$154*EXP($H$24*$S98)+$I$154*EXP($I$24*$S98)+$J$154*EXP($J$24*$S98)+$K$154*EXP($K$24*$S98)+$L$154*EXP($L$24*$S98)+$M$154*EXP($M$24*$S98)</f>
        <v>21.684680088388909</v>
      </c>
      <c r="AA98" s="42">
        <f t="shared" ref="AA98:AA129" si="35">$F$155*EXP($F$24*$S98)+$G$155*EXP($G$24*$S98)+$H$155*EXP($H$24*$S98)+$I$155*EXP($I$24*$S98)+$J$155*EXP($J$24*$S98)+$K$155*EXP($K$24*$S98)+$L$155*EXP($L$24*$S98)+$M$155*EXP($M$24*$S98)</f>
        <v>20757.719092131883</v>
      </c>
    </row>
    <row r="99" spans="3:27" s="4" customFormat="1">
      <c r="C99" s="2"/>
      <c r="E99" s="19"/>
      <c r="F99" s="112">
        <v>0</v>
      </c>
      <c r="G99" s="112">
        <v>0</v>
      </c>
      <c r="H99" s="112">
        <v>0</v>
      </c>
      <c r="I99" s="112">
        <v>0</v>
      </c>
      <c r="J99" s="112">
        <v>0</v>
      </c>
      <c r="K99" s="112">
        <v>-0.21485981177938235</v>
      </c>
      <c r="L99" s="112">
        <v>0</v>
      </c>
      <c r="M99" s="112">
        <v>0</v>
      </c>
      <c r="Q99" s="108">
        <v>97</v>
      </c>
      <c r="R99" s="27">
        <f t="shared" si="18"/>
        <v>8.0833333333333339</v>
      </c>
      <c r="S99" s="18">
        <f t="shared" si="19"/>
        <v>254916000</v>
      </c>
      <c r="T99" s="42">
        <f t="shared" si="28"/>
        <v>4.4040784459648048</v>
      </c>
      <c r="U99" s="42">
        <f t="shared" si="29"/>
        <v>2835.0894841538634</v>
      </c>
      <c r="V99" s="42">
        <f t="shared" si="30"/>
        <v>1402.7108934397229</v>
      </c>
      <c r="W99" s="42">
        <f t="shared" si="31"/>
        <v>187.42351254515182</v>
      </c>
      <c r="X99" s="42">
        <f t="shared" si="32"/>
        <v>106.21543566413374</v>
      </c>
      <c r="Y99" s="42">
        <f t="shared" si="33"/>
        <v>48.042634815758376</v>
      </c>
      <c r="Z99" s="42">
        <f t="shared" si="34"/>
        <v>21.269095608899601</v>
      </c>
      <c r="AA99" s="42">
        <f t="shared" si="35"/>
        <v>20704.274100153412</v>
      </c>
    </row>
    <row r="100" spans="3:27" s="4" customFormat="1">
      <c r="C100" s="2"/>
      <c r="E100" s="19"/>
      <c r="F100" s="112">
        <v>0</v>
      </c>
      <c r="G100" s="112">
        <v>0</v>
      </c>
      <c r="H100" s="112">
        <v>0</v>
      </c>
      <c r="I100" s="112">
        <v>0</v>
      </c>
      <c r="J100" s="112">
        <v>0</v>
      </c>
      <c r="K100" s="112">
        <v>1</v>
      </c>
      <c r="L100" s="112">
        <v>0</v>
      </c>
      <c r="M100" s="112">
        <v>0</v>
      </c>
      <c r="Q100" s="108">
        <v>98</v>
      </c>
      <c r="R100" s="27">
        <f t="shared" si="18"/>
        <v>8.1666666666666661</v>
      </c>
      <c r="S100" s="18">
        <f t="shared" si="19"/>
        <v>257544000</v>
      </c>
      <c r="T100" s="42">
        <f t="shared" si="28"/>
        <v>4.3381032329052926</v>
      </c>
      <c r="U100" s="42">
        <f t="shared" si="29"/>
        <v>2828.3837308890179</v>
      </c>
      <c r="V100" s="42">
        <f t="shared" si="30"/>
        <v>1403.3853208631458</v>
      </c>
      <c r="W100" s="42">
        <f t="shared" si="31"/>
        <v>187.48309290808743</v>
      </c>
      <c r="X100" s="42">
        <f t="shared" si="32"/>
        <v>106.36148718061838</v>
      </c>
      <c r="Y100" s="42">
        <f t="shared" si="33"/>
        <v>48.005554093397173</v>
      </c>
      <c r="Z100" s="42">
        <f t="shared" si="34"/>
        <v>20.86147570377355</v>
      </c>
      <c r="AA100" s="42">
        <f t="shared" si="35"/>
        <v>20650.966713232534</v>
      </c>
    </row>
    <row r="101" spans="3:27" s="4" customFormat="1">
      <c r="C101" s="2"/>
      <c r="E101" s="19"/>
      <c r="F101" s="112">
        <v>0</v>
      </c>
      <c r="G101" s="112">
        <v>0</v>
      </c>
      <c r="H101" s="112">
        <v>0</v>
      </c>
      <c r="I101" s="112">
        <v>0</v>
      </c>
      <c r="J101" s="112">
        <v>0</v>
      </c>
      <c r="K101" s="112">
        <v>0</v>
      </c>
      <c r="L101" s="112">
        <v>0</v>
      </c>
      <c r="M101" s="112">
        <v>0</v>
      </c>
      <c r="Q101" s="108">
        <v>99</v>
      </c>
      <c r="R101" s="27">
        <f t="shared" si="18"/>
        <v>8.25</v>
      </c>
      <c r="S101" s="18">
        <f t="shared" si="19"/>
        <v>260172000</v>
      </c>
      <c r="T101" s="42">
        <f t="shared" si="28"/>
        <v>4.2731163602651554</v>
      </c>
      <c r="U101" s="42">
        <f t="shared" si="29"/>
        <v>2821.6842989538295</v>
      </c>
      <c r="V101" s="42">
        <f t="shared" si="30"/>
        <v>1404.0297046978746</v>
      </c>
      <c r="W101" s="42">
        <f t="shared" si="31"/>
        <v>187.5434811561513</v>
      </c>
      <c r="X101" s="42">
        <f t="shared" si="32"/>
        <v>106.50678347600405</v>
      </c>
      <c r="Y101" s="42">
        <f t="shared" si="33"/>
        <v>47.969320534413214</v>
      </c>
      <c r="Z101" s="42">
        <f t="shared" si="34"/>
        <v>20.46166773508892</v>
      </c>
      <c r="AA101" s="42">
        <f t="shared" si="35"/>
        <v>20597.796577076926</v>
      </c>
    </row>
    <row r="102" spans="3:27" s="4" customFormat="1">
      <c r="C102" s="2"/>
      <c r="E102" s="19"/>
      <c r="F102" s="112">
        <v>0</v>
      </c>
      <c r="G102" s="112">
        <v>0</v>
      </c>
      <c r="H102" s="112">
        <v>0</v>
      </c>
      <c r="I102" s="112">
        <v>0</v>
      </c>
      <c r="J102" s="112">
        <v>0</v>
      </c>
      <c r="K102" s="112">
        <v>0</v>
      </c>
      <c r="L102" s="112">
        <v>0</v>
      </c>
      <c r="M102" s="112">
        <v>0</v>
      </c>
      <c r="Q102" s="108">
        <v>100</v>
      </c>
      <c r="R102" s="27">
        <f t="shared" si="18"/>
        <v>8.3333333333333339</v>
      </c>
      <c r="S102" s="18">
        <f t="shared" si="19"/>
        <v>262800000</v>
      </c>
      <c r="T102" s="42">
        <f t="shared" si="28"/>
        <v>4.2091030222296144</v>
      </c>
      <c r="U102" s="42">
        <f t="shared" si="29"/>
        <v>2814.9913730266044</v>
      </c>
      <c r="V102" s="42">
        <f t="shared" si="30"/>
        <v>1404.6442830518567</v>
      </c>
      <c r="W102" s="42">
        <f t="shared" si="31"/>
        <v>187.60454449404799</v>
      </c>
      <c r="X102" s="42">
        <f t="shared" si="32"/>
        <v>106.65133377373883</v>
      </c>
      <c r="Y102" s="42">
        <f t="shared" si="33"/>
        <v>47.933923228892382</v>
      </c>
      <c r="Z102" s="42">
        <f t="shared" si="34"/>
        <v>20.069521990145237</v>
      </c>
      <c r="AA102" s="42">
        <f t="shared" si="35"/>
        <v>20544.763338306457</v>
      </c>
    </row>
    <row r="103" spans="3:27" s="4" customFormat="1">
      <c r="C103" s="2"/>
      <c r="E103" s="19"/>
      <c r="F103" s="19"/>
      <c r="G103" s="111"/>
      <c r="H103" s="111"/>
      <c r="I103" s="111"/>
      <c r="J103" s="111"/>
      <c r="K103" s="111"/>
      <c r="L103" s="111"/>
      <c r="M103" s="111"/>
      <c r="N103" s="111"/>
      <c r="O103" s="111"/>
      <c r="P103" s="19"/>
      <c r="Q103" s="108">
        <v>101</v>
      </c>
      <c r="R103" s="27">
        <f t="shared" si="18"/>
        <v>8.4166666666666661</v>
      </c>
      <c r="S103" s="18">
        <f t="shared" si="19"/>
        <v>265428000</v>
      </c>
      <c r="T103" s="42">
        <f t="shared" si="28"/>
        <v>4.146048634782117</v>
      </c>
      <c r="U103" s="42">
        <f t="shared" si="29"/>
        <v>2808.3051336314134</v>
      </c>
      <c r="V103" s="42">
        <f t="shared" si="30"/>
        <v>1405.2292930249746</v>
      </c>
      <c r="W103" s="42">
        <f t="shared" si="31"/>
        <v>187.6661546401042</v>
      </c>
      <c r="X103" s="42">
        <f t="shared" si="32"/>
        <v>106.79514673565637</v>
      </c>
      <c r="Y103" s="42">
        <f t="shared" si="33"/>
        <v>47.899350923602192</v>
      </c>
      <c r="Z103" s="42">
        <f t="shared" si="34"/>
        <v>19.684891625403647</v>
      </c>
      <c r="AA103" s="42">
        <f t="shared" si="35"/>
        <v>20491.866644450849</v>
      </c>
    </row>
    <row r="104" spans="3:27" s="4" customFormat="1">
      <c r="C104" s="2"/>
      <c r="E104" s="19"/>
      <c r="F104" s="114" t="s">
        <v>173</v>
      </c>
      <c r="G104" s="111"/>
      <c r="H104" s="111"/>
      <c r="I104" s="19"/>
      <c r="J104" s="19"/>
      <c r="K104" s="19"/>
      <c r="L104" s="19"/>
      <c r="M104" s="19"/>
      <c r="N104" s="111"/>
      <c r="O104" s="111"/>
      <c r="P104" s="19"/>
      <c r="Q104" s="108">
        <v>102</v>
      </c>
      <c r="R104" s="27">
        <f t="shared" si="18"/>
        <v>8.5</v>
      </c>
      <c r="S104" s="18">
        <f t="shared" si="19"/>
        <v>268056000</v>
      </c>
      <c r="T104" s="42">
        <f t="shared" si="28"/>
        <v>4.0839388323816914</v>
      </c>
      <c r="U104" s="42">
        <f t="shared" si="29"/>
        <v>2801.6257572159693</v>
      </c>
      <c r="V104" s="42">
        <f t="shared" si="30"/>
        <v>1405.7849707007285</v>
      </c>
      <c r="W104" s="42">
        <f t="shared" si="31"/>
        <v>187.72818769898095</v>
      </c>
      <c r="X104" s="42">
        <f t="shared" si="32"/>
        <v>106.93823048105924</v>
      </c>
      <c r="Y104" s="42">
        <f t="shared" si="33"/>
        <v>47.865592045408647</v>
      </c>
      <c r="Z104" s="42">
        <f t="shared" si="34"/>
        <v>19.307632611501447</v>
      </c>
      <c r="AA104" s="42">
        <f t="shared" si="35"/>
        <v>20439.106143947334</v>
      </c>
    </row>
    <row r="105" spans="3:27" s="4" customFormat="1">
      <c r="C105" s="2"/>
      <c r="E105" s="19"/>
      <c r="F105" s="112">
        <f t="array" ref="F105:M112">_xll.SYSLINSING(F$29:M$36-L42*_xll.M_ID(),,0.0001)</f>
        <v>0</v>
      </c>
      <c r="G105" s="112">
        <v>0</v>
      </c>
      <c r="H105" s="112">
        <v>0</v>
      </c>
      <c r="I105" s="112">
        <v>0</v>
      </c>
      <c r="J105" s="112">
        <v>0</v>
      </c>
      <c r="K105" s="112">
        <v>0</v>
      </c>
      <c r="L105" s="112">
        <v>0</v>
      </c>
      <c r="M105" s="112">
        <v>0</v>
      </c>
      <c r="P105" s="19"/>
      <c r="Q105" s="108">
        <v>103</v>
      </c>
      <c r="R105" s="27">
        <f t="shared" si="18"/>
        <v>8.5833333333333339</v>
      </c>
      <c r="S105" s="18">
        <f t="shared" si="19"/>
        <v>270684000</v>
      </c>
      <c r="T105" s="42">
        <f t="shared" si="28"/>
        <v>4.0227594646900755</v>
      </c>
      <c r="U105" s="42">
        <f t="shared" si="29"/>
        <v>2794.9534162280765</v>
      </c>
      <c r="V105" s="42">
        <f t="shared" si="30"/>
        <v>1406.311551138268</v>
      </c>
      <c r="W105" s="42">
        <f t="shared" si="31"/>
        <v>187.79052403783945</v>
      </c>
      <c r="X105" s="42">
        <f t="shared" si="32"/>
        <v>107.08059260527682</v>
      </c>
      <c r="Y105" s="42">
        <f t="shared" si="33"/>
        <v>47.832634723806812</v>
      </c>
      <c r="Z105" s="42">
        <f t="shared" si="34"/>
        <v>18.937603679320418</v>
      </c>
      <c r="AA105" s="42">
        <f t="shared" si="35"/>
        <v>20386.481486138309</v>
      </c>
    </row>
    <row r="106" spans="3:27" s="4" customFormat="1">
      <c r="C106" s="2"/>
      <c r="E106" s="19"/>
      <c r="F106" s="112">
        <v>0</v>
      </c>
      <c r="G106" s="112">
        <v>0</v>
      </c>
      <c r="H106" s="112">
        <v>0</v>
      </c>
      <c r="I106" s="112">
        <v>0</v>
      </c>
      <c r="J106" s="112">
        <v>0</v>
      </c>
      <c r="K106" s="112">
        <v>0</v>
      </c>
      <c r="L106" s="112">
        <v>0</v>
      </c>
      <c r="M106" s="112">
        <v>0</v>
      </c>
      <c r="P106" s="19"/>
      <c r="Q106" s="108">
        <v>104</v>
      </c>
      <c r="R106" s="27">
        <f t="shared" si="18"/>
        <v>8.6666666666666661</v>
      </c>
      <c r="S106" s="18">
        <f t="shared" si="19"/>
        <v>273312000</v>
      </c>
      <c r="T106" s="42">
        <f t="shared" si="28"/>
        <v>3.9624965933478826</v>
      </c>
      <c r="U106" s="42">
        <f t="shared" si="29"/>
        <v>2788.2882791906823</v>
      </c>
      <c r="V106" s="42">
        <f t="shared" si="30"/>
        <v>1406.8092683647633</v>
      </c>
      <c r="W106" s="42">
        <f t="shared" si="31"/>
        <v>187.85304816586822</v>
      </c>
      <c r="X106" s="42">
        <f t="shared" si="32"/>
        <v>107.22224019770579</v>
      </c>
      <c r="Y106" s="42">
        <f t="shared" si="33"/>
        <v>47.800466812594308</v>
      </c>
      <c r="Z106" s="42">
        <f t="shared" si="34"/>
        <v>18.57466626708867</v>
      </c>
      <c r="AA106" s="42">
        <f t="shared" si="35"/>
        <v>20333.992321269005</v>
      </c>
    </row>
    <row r="107" spans="3:27" s="4" customFormat="1">
      <c r="C107" s="2"/>
      <c r="E107" s="19"/>
      <c r="F107" s="112">
        <v>0</v>
      </c>
      <c r="G107" s="112">
        <v>0</v>
      </c>
      <c r="H107" s="112">
        <v>0</v>
      </c>
      <c r="I107" s="112">
        <v>0</v>
      </c>
      <c r="J107" s="112">
        <v>0</v>
      </c>
      <c r="K107" s="112">
        <v>0</v>
      </c>
      <c r="L107" s="112">
        <v>0</v>
      </c>
      <c r="M107" s="112">
        <v>0</v>
      </c>
      <c r="P107" s="19"/>
      <c r="Q107" s="108">
        <v>105</v>
      </c>
      <c r="R107" s="27">
        <f t="shared" si="18"/>
        <v>8.75</v>
      </c>
      <c r="S107" s="18">
        <f t="shared" si="19"/>
        <v>275940000</v>
      </c>
      <c r="T107" s="42">
        <f t="shared" si="28"/>
        <v>3.9031364887990523</v>
      </c>
      <c r="U107" s="42">
        <f t="shared" si="29"/>
        <v>2781.6305107755602</v>
      </c>
      <c r="V107" s="42">
        <f t="shared" si="30"/>
        <v>1407.2783553681197</v>
      </c>
      <c r="W107" s="42">
        <f t="shared" si="31"/>
        <v>187.91564861707926</v>
      </c>
      <c r="X107" s="42">
        <f t="shared" si="32"/>
        <v>107.3631798593529</v>
      </c>
      <c r="Y107" s="42">
        <f t="shared" si="33"/>
        <v>47.769075910714847</v>
      </c>
      <c r="Z107" s="42">
        <f t="shared" si="34"/>
        <v>18.218684468496264</v>
      </c>
      <c r="AA107" s="42">
        <f t="shared" si="35"/>
        <v>20281.638300485181</v>
      </c>
    </row>
    <row r="108" spans="3:27" s="4" customFormat="1">
      <c r="C108" s="2"/>
      <c r="E108" s="19"/>
      <c r="F108" s="112">
        <v>0</v>
      </c>
      <c r="G108" s="112">
        <v>0</v>
      </c>
      <c r="H108" s="112">
        <v>0</v>
      </c>
      <c r="I108" s="112">
        <v>0</v>
      </c>
      <c r="J108" s="112">
        <v>0</v>
      </c>
      <c r="K108" s="112">
        <v>0</v>
      </c>
      <c r="L108" s="112">
        <v>0</v>
      </c>
      <c r="M108" s="112">
        <v>0</v>
      </c>
      <c r="P108" s="19"/>
      <c r="Q108" s="108">
        <v>106</v>
      </c>
      <c r="R108" s="27">
        <f t="shared" si="18"/>
        <v>8.8333333333333339</v>
      </c>
      <c r="S108" s="18">
        <f t="shared" si="19"/>
        <v>278568000</v>
      </c>
      <c r="T108" s="42">
        <f t="shared" si="28"/>
        <v>3.8446656271628759</v>
      </c>
      <c r="U108" s="42">
        <f t="shared" si="29"/>
        <v>2774.9802718756305</v>
      </c>
      <c r="V108" s="42">
        <f t="shared" si="30"/>
        <v>1407.7190440900038</v>
      </c>
      <c r="W108" s="42">
        <f t="shared" si="31"/>
        <v>187.97821783628638</v>
      </c>
      <c r="X108" s="42">
        <f t="shared" si="32"/>
        <v>107.50341771988764</v>
      </c>
      <c r="Y108" s="42">
        <f t="shared" si="33"/>
        <v>47.738449382297652</v>
      </c>
      <c r="Z108" s="42">
        <f t="shared" si="34"/>
        <v>17.869524981805117</v>
      </c>
      <c r="AA108" s="42">
        <f t="shared" si="35"/>
        <v>20229.419075830778</v>
      </c>
    </row>
    <row r="109" spans="3:27" s="4" customFormat="1">
      <c r="C109" s="2"/>
      <c r="E109" s="19"/>
      <c r="F109" s="112">
        <v>0</v>
      </c>
      <c r="G109" s="112">
        <v>0</v>
      </c>
      <c r="H109" s="112">
        <v>0</v>
      </c>
      <c r="I109" s="112">
        <v>0</v>
      </c>
      <c r="J109" s="112">
        <v>0</v>
      </c>
      <c r="K109" s="112">
        <v>0</v>
      </c>
      <c r="L109" s="112">
        <v>0</v>
      </c>
      <c r="M109" s="112">
        <v>0</v>
      </c>
      <c r="P109" s="19"/>
      <c r="Q109" s="108">
        <v>107</v>
      </c>
      <c r="R109" s="27">
        <f t="shared" si="18"/>
        <v>8.9166666666666661</v>
      </c>
      <c r="S109" s="18">
        <f t="shared" si="19"/>
        <v>281196000</v>
      </c>
      <c r="T109" s="42">
        <f t="shared" si="28"/>
        <v>3.7870706871528812</v>
      </c>
      <c r="U109" s="42">
        <f t="shared" si="29"/>
        <v>2768.337719675978</v>
      </c>
      <c r="V109" s="42">
        <f t="shared" si="30"/>
        <v>1408.1315654192076</v>
      </c>
      <c r="W109" s="42">
        <f t="shared" si="31"/>
        <v>188.04065206817967</v>
      </c>
      <c r="X109" s="42">
        <f t="shared" si="32"/>
        <v>107.64295945422276</v>
      </c>
      <c r="Y109" s="42">
        <f t="shared" si="33"/>
        <v>47.708574375919483</v>
      </c>
      <c r="Z109" s="42">
        <f t="shared" si="34"/>
        <v>17.52705705993424</v>
      </c>
      <c r="AA109" s="42">
        <f t="shared" si="35"/>
        <v>20177.334300245635</v>
      </c>
    </row>
    <row r="110" spans="3:27" s="4" customFormat="1">
      <c r="C110" s="2"/>
      <c r="E110" s="19"/>
      <c r="F110" s="112">
        <v>0</v>
      </c>
      <c r="G110" s="112">
        <v>0</v>
      </c>
      <c r="H110" s="112">
        <v>0</v>
      </c>
      <c r="I110" s="112">
        <v>0</v>
      </c>
      <c r="J110" s="112">
        <v>0</v>
      </c>
      <c r="K110" s="112">
        <v>0</v>
      </c>
      <c r="L110" s="112">
        <v>0</v>
      </c>
      <c r="M110" s="112">
        <v>0</v>
      </c>
      <c r="P110" s="19"/>
      <c r="Q110" s="108">
        <v>108</v>
      </c>
      <c r="R110" s="27">
        <f t="shared" si="18"/>
        <v>9</v>
      </c>
      <c r="S110" s="18">
        <f t="shared" si="19"/>
        <v>283824000</v>
      </c>
      <c r="T110" s="42">
        <f t="shared" si="28"/>
        <v>3.7303385470418724</v>
      </c>
      <c r="U110" s="42">
        <f t="shared" si="29"/>
        <v>2761.7030077235499</v>
      </c>
      <c r="V110" s="42">
        <f t="shared" si="30"/>
        <v>1408.5161491853078</v>
      </c>
      <c r="W110" s="42">
        <f t="shared" si="31"/>
        <v>188.10285124941112</v>
      </c>
      <c r="X110" s="42">
        <f t="shared" si="32"/>
        <v>107.78181029862878</v>
      </c>
      <c r="Y110" s="42">
        <f t="shared" si="33"/>
        <v>47.679437843113305</v>
      </c>
      <c r="Z110" s="42">
        <f t="shared" si="34"/>
        <v>17.191152461501471</v>
      </c>
      <c r="AA110" s="42">
        <f t="shared" si="35"/>
        <v>20125.383627563155</v>
      </c>
    </row>
    <row r="111" spans="3:27" s="4" customFormat="1">
      <c r="C111" s="2"/>
      <c r="E111" s="19"/>
      <c r="F111" s="112">
        <v>0</v>
      </c>
      <c r="G111" s="112">
        <v>0</v>
      </c>
      <c r="H111" s="112">
        <v>0</v>
      </c>
      <c r="I111" s="112">
        <v>0</v>
      </c>
      <c r="J111" s="112">
        <v>0</v>
      </c>
      <c r="K111" s="112">
        <v>0</v>
      </c>
      <c r="L111" s="112">
        <v>1</v>
      </c>
      <c r="M111" s="112">
        <v>0</v>
      </c>
      <c r="P111" s="19"/>
      <c r="Q111" s="108">
        <v>109</v>
      </c>
      <c r="R111" s="27">
        <f t="shared" si="18"/>
        <v>9.0833333333333339</v>
      </c>
      <c r="S111" s="18">
        <f t="shared" si="19"/>
        <v>286452000</v>
      </c>
      <c r="T111" s="42">
        <f t="shared" si="28"/>
        <v>3.6744562816724406</v>
      </c>
      <c r="U111" s="42">
        <f t="shared" si="29"/>
        <v>2755.0762859955885</v>
      </c>
      <c r="V111" s="42">
        <f t="shared" si="30"/>
        <v>1408.8730241526414</v>
      </c>
      <c r="W111" s="42">
        <f t="shared" si="31"/>
        <v>188.16471890361197</v>
      </c>
      <c r="X111" s="42">
        <f t="shared" si="32"/>
        <v>107.91997506640155</v>
      </c>
      <c r="Y111" s="42">
        <f t="shared" si="33"/>
        <v>47.651026556148217</v>
      </c>
      <c r="Z111" s="42">
        <f t="shared" si="34"/>
        <v>16.861685402803474</v>
      </c>
      <c r="AA111" s="42">
        <f t="shared" si="35"/>
        <v>20073.566712508014</v>
      </c>
    </row>
    <row r="112" spans="3:27" s="4" customFormat="1">
      <c r="C112" s="2"/>
      <c r="E112" s="19"/>
      <c r="F112" s="112">
        <v>0</v>
      </c>
      <c r="G112" s="112">
        <v>0</v>
      </c>
      <c r="H112" s="112">
        <v>0</v>
      </c>
      <c r="I112" s="112">
        <v>0</v>
      </c>
      <c r="J112" s="112">
        <v>0</v>
      </c>
      <c r="K112" s="112">
        <v>0</v>
      </c>
      <c r="L112" s="112">
        <v>0</v>
      </c>
      <c r="M112" s="112">
        <v>0</v>
      </c>
      <c r="P112" s="19"/>
      <c r="Q112" s="108">
        <v>110</v>
      </c>
      <c r="R112" s="27">
        <f t="shared" si="18"/>
        <v>9.1666666666666661</v>
      </c>
      <c r="S112" s="18">
        <f t="shared" si="19"/>
        <v>289080000</v>
      </c>
      <c r="T112" s="42">
        <f t="shared" si="28"/>
        <v>3.6194111595122482</v>
      </c>
      <c r="U112" s="42">
        <f t="shared" si="29"/>
        <v>2748.4577009668124</v>
      </c>
      <c r="V112" s="42">
        <f t="shared" si="30"/>
        <v>1409.2024180145754</v>
      </c>
      <c r="W112" s="42">
        <f t="shared" si="31"/>
        <v>188.22616203926168</v>
      </c>
      <c r="X112" s="42">
        <f t="shared" si="32"/>
        <v>108.05745816309047</v>
      </c>
      <c r="Y112" s="42">
        <f t="shared" si="33"/>
        <v>47.62332712510463</v>
      </c>
      <c r="Z112" s="42">
        <f t="shared" si="34"/>
        <v>16.538532510716049</v>
      </c>
      <c r="AA112" s="42">
        <f t="shared" si="35"/>
        <v>20021.883210693897</v>
      </c>
    </row>
    <row r="113" spans="1:27" s="4" customFormat="1">
      <c r="C113" s="2"/>
      <c r="E113" s="19"/>
      <c r="F113" s="19"/>
      <c r="G113" s="111"/>
      <c r="H113" s="111"/>
      <c r="I113" s="111"/>
      <c r="J113" s="111"/>
      <c r="K113" s="111"/>
      <c r="L113" s="111"/>
      <c r="M113" s="111"/>
      <c r="N113" s="111"/>
      <c r="O113" s="111"/>
      <c r="P113" s="19"/>
      <c r="Q113" s="108">
        <v>111</v>
      </c>
      <c r="R113" s="27">
        <f t="shared" si="18"/>
        <v>9.25</v>
      </c>
      <c r="S113" s="18">
        <f t="shared" si="19"/>
        <v>291708000</v>
      </c>
      <c r="T113" s="42">
        <f t="shared" si="28"/>
        <v>3.5651906397534345</v>
      </c>
      <c r="U113" s="42">
        <f t="shared" si="29"/>
        <v>2741.847395675356</v>
      </c>
      <c r="V113" s="42">
        <f t="shared" si="30"/>
        <v>1409.5045573880686</v>
      </c>
      <c r="W113" s="42">
        <f t="shared" si="31"/>
        <v>188.28709105033155</v>
      </c>
      <c r="X113" s="42">
        <f t="shared" si="32"/>
        <v>108.19426360129722</v>
      </c>
      <c r="Y113" s="42">
        <f t="shared" si="33"/>
        <v>47.596326014266147</v>
      </c>
      <c r="Z113" s="42">
        <f t="shared" si="34"/>
        <v>16.221572776497013</v>
      </c>
      <c r="AA113" s="42">
        <f t="shared" si="35"/>
        <v>19970.332778621148</v>
      </c>
    </row>
    <row r="114" spans="1:27" s="4" customFormat="1">
      <c r="C114" s="2"/>
      <c r="E114" s="19"/>
      <c r="F114" s="114" t="s">
        <v>174</v>
      </c>
      <c r="G114" s="111"/>
      <c r="H114" s="111"/>
      <c r="I114" s="19"/>
      <c r="J114" s="19"/>
      <c r="K114" s="19"/>
      <c r="L114" s="19"/>
      <c r="M114" s="19"/>
      <c r="N114" s="111"/>
      <c r="O114" s="111"/>
      <c r="P114" s="19"/>
      <c r="Q114" s="108">
        <v>112</v>
      </c>
      <c r="R114" s="27">
        <f t="shared" si="18"/>
        <v>9.3333333333333339</v>
      </c>
      <c r="S114" s="18">
        <f t="shared" si="19"/>
        <v>294336000</v>
      </c>
      <c r="T114" s="42">
        <f t="shared" si="28"/>
        <v>3.5117823694554726</v>
      </c>
      <c r="U114" s="42">
        <f t="shared" si="29"/>
        <v>2735.2455097875168</v>
      </c>
      <c r="V114" s="42">
        <f t="shared" si="30"/>
        <v>1409.7796678085174</v>
      </c>
      <c r="W114" s="42">
        <f t="shared" si="31"/>
        <v>188.34741961962834</v>
      </c>
      <c r="X114" s="42">
        <f t="shared" si="32"/>
        <v>108.33039501506295</v>
      </c>
      <c r="Y114" s="42">
        <f t="shared" si="33"/>
        <v>47.570009557851805</v>
      </c>
      <c r="Z114" s="42">
        <f t="shared" si="34"/>
        <v>15.910687510474407</v>
      </c>
      <c r="AA114" s="42">
        <f t="shared" si="35"/>
        <v>19918.91507367454</v>
      </c>
    </row>
    <row r="115" spans="1:27" s="4" customFormat="1">
      <c r="C115" s="2"/>
      <c r="E115" s="19"/>
      <c r="F115" s="112">
        <f t="array" ref="F115:M122">_xll.SYSLINSING(F$29:M$36-M42*_xll.M_ID(),,0.0001)</f>
        <v>0</v>
      </c>
      <c r="G115" s="112">
        <v>0</v>
      </c>
      <c r="H115" s="112">
        <v>0</v>
      </c>
      <c r="I115" s="112">
        <v>0</v>
      </c>
      <c r="J115" s="112">
        <v>0</v>
      </c>
      <c r="K115" s="112">
        <v>0</v>
      </c>
      <c r="L115" s="112">
        <v>0</v>
      </c>
      <c r="M115" s="112">
        <v>0</v>
      </c>
      <c r="O115" s="111"/>
      <c r="P115" s="19"/>
      <c r="Q115" s="108">
        <v>113</v>
      </c>
      <c r="R115" s="27">
        <f t="shared" si="18"/>
        <v>9.4166666666666661</v>
      </c>
      <c r="S115" s="18">
        <f t="shared" si="19"/>
        <v>296964000</v>
      </c>
      <c r="T115" s="42">
        <f t="shared" si="28"/>
        <v>3.4591741807308267</v>
      </c>
      <c r="U115" s="42">
        <f t="shared" si="29"/>
        <v>2728.6521796613065</v>
      </c>
      <c r="V115" s="42">
        <f t="shared" si="30"/>
        <v>1410.0279737248825</v>
      </c>
      <c r="W115" s="42">
        <f t="shared" si="31"/>
        <v>188.40706462476493</v>
      </c>
      <c r="X115" s="42">
        <f t="shared" si="32"/>
        <v>108.4658556738479</v>
      </c>
      <c r="Y115" s="42">
        <f t="shared" si="33"/>
        <v>47.54436397510915</v>
      </c>
      <c r="Z115" s="42">
        <f t="shared" si="34"/>
        <v>15.605760297603128</v>
      </c>
      <c r="AA115" s="42">
        <f t="shared" si="35"/>
        <v>19867.629754120975</v>
      </c>
    </row>
    <row r="116" spans="1:27" s="4" customFormat="1">
      <c r="A116" s="2"/>
      <c r="B116" s="2"/>
      <c r="C116" s="2"/>
      <c r="D116" s="2"/>
      <c r="E116" s="19"/>
      <c r="F116" s="112">
        <v>0</v>
      </c>
      <c r="G116" s="112">
        <v>0</v>
      </c>
      <c r="H116" s="112">
        <v>0</v>
      </c>
      <c r="I116" s="112">
        <v>0</v>
      </c>
      <c r="J116" s="112">
        <v>0</v>
      </c>
      <c r="K116" s="112">
        <v>0</v>
      </c>
      <c r="L116" s="112">
        <v>0</v>
      </c>
      <c r="M116" s="112">
        <v>0.13872907855874864</v>
      </c>
      <c r="O116" s="111"/>
      <c r="P116" s="19"/>
      <c r="Q116" s="108">
        <v>114</v>
      </c>
      <c r="R116" s="27">
        <f t="shared" si="18"/>
        <v>9.5</v>
      </c>
      <c r="S116" s="18">
        <f t="shared" si="19"/>
        <v>299592000</v>
      </c>
      <c r="T116" s="42">
        <f t="shared" si="28"/>
        <v>3.4073540879727635</v>
      </c>
      <c r="U116" s="42">
        <f t="shared" si="29"/>
        <v>2722.0675384088399</v>
      </c>
      <c r="V116" s="42">
        <f t="shared" si="30"/>
        <v>1410.2496984950812</v>
      </c>
      <c r="W116" s="42">
        <f t="shared" si="31"/>
        <v>188.46594604668718</v>
      </c>
      <c r="X116" s="42">
        <f t="shared" si="32"/>
        <v>108.60064849611638</v>
      </c>
      <c r="Y116" s="42">
        <f t="shared" si="33"/>
        <v>47.519375384789114</v>
      </c>
      <c r="Z116" s="42">
        <f t="shared" si="34"/>
        <v>15.306676953873195</v>
      </c>
      <c r="AA116" s="42">
        <f t="shared" si="35"/>
        <v>19816.476479107212</v>
      </c>
    </row>
    <row r="117" spans="1:27" s="4" customFormat="1">
      <c r="A117" s="2"/>
      <c r="B117" s="2"/>
      <c r="C117" s="2"/>
      <c r="D117" s="2"/>
      <c r="E117" s="19"/>
      <c r="F117" s="112">
        <v>0</v>
      </c>
      <c r="G117" s="112">
        <v>0</v>
      </c>
      <c r="H117" s="112">
        <v>0</v>
      </c>
      <c r="I117" s="112">
        <v>0</v>
      </c>
      <c r="J117" s="112">
        <v>0</v>
      </c>
      <c r="K117" s="112">
        <v>0</v>
      </c>
      <c r="L117" s="112">
        <v>0</v>
      </c>
      <c r="M117" s="112">
        <v>0.11475330919374595</v>
      </c>
      <c r="O117" s="111"/>
      <c r="P117" s="19"/>
      <c r="Q117" s="108">
        <v>115</v>
      </c>
      <c r="R117" s="27">
        <f t="shared" si="18"/>
        <v>9.5833333333333339</v>
      </c>
      <c r="S117" s="18">
        <f t="shared" si="19"/>
        <v>302220000</v>
      </c>
      <c r="T117" s="42">
        <f t="shared" si="28"/>
        <v>3.3563102851247062</v>
      </c>
      <c r="U117" s="42">
        <f t="shared" si="29"/>
        <v>2715.4917159575839</v>
      </c>
      <c r="V117" s="42">
        <f t="shared" si="30"/>
        <v>1410.4450643816558</v>
      </c>
      <c r="W117" s="42">
        <f t="shared" si="31"/>
        <v>188.52398688068806</v>
      </c>
      <c r="X117" s="42">
        <f t="shared" si="32"/>
        <v>108.73477606253999</v>
      </c>
      <c r="Y117" s="42">
        <f t="shared" si="33"/>
        <v>47.495029819023529</v>
      </c>
      <c r="Z117" s="42">
        <f t="shared" si="34"/>
        <v>15.013325483553482</v>
      </c>
      <c r="AA117" s="42">
        <f t="shared" si="35"/>
        <v>19765.454908657612</v>
      </c>
    </row>
    <row r="118" spans="1:27" s="4" customFormat="1">
      <c r="A118" s="2"/>
      <c r="B118" s="2"/>
      <c r="C118" s="2"/>
      <c r="D118" s="2"/>
      <c r="E118" s="19"/>
      <c r="F118" s="112">
        <v>0</v>
      </c>
      <c r="G118" s="112">
        <v>0</v>
      </c>
      <c r="H118" s="112">
        <v>0</v>
      </c>
      <c r="I118" s="112">
        <v>0</v>
      </c>
      <c r="J118" s="112">
        <v>0</v>
      </c>
      <c r="K118" s="112">
        <v>0</v>
      </c>
      <c r="L118" s="112">
        <v>0</v>
      </c>
      <c r="M118" s="112">
        <v>1.7095090765923773E-2</v>
      </c>
      <c r="O118" s="111"/>
      <c r="P118" s="19"/>
      <c r="Q118" s="108">
        <v>116</v>
      </c>
      <c r="R118" s="27">
        <f t="shared" si="18"/>
        <v>9.6666666666666661</v>
      </c>
      <c r="S118" s="18">
        <f t="shared" si="19"/>
        <v>304848000</v>
      </c>
      <c r="T118" s="42">
        <f t="shared" si="28"/>
        <v>3.3060311429904825</v>
      </c>
      <c r="U118" s="42">
        <f t="shared" si="29"/>
        <v>2708.9248391104825</v>
      </c>
      <c r="V118" s="42">
        <f t="shared" si="30"/>
        <v>1410.6142925476893</v>
      </c>
      <c r="W118" s="42">
        <f t="shared" si="31"/>
        <v>188.58111304984163</v>
      </c>
      <c r="X118" s="42">
        <f t="shared" si="32"/>
        <v>108.86824062882545</v>
      </c>
      <c r="Y118" s="42">
        <f t="shared" si="33"/>
        <v>47.471313236623772</v>
      </c>
      <c r="Z118" s="42">
        <f t="shared" si="34"/>
        <v>14.725596037254801</v>
      </c>
      <c r="AA118" s="42">
        <f t="shared" si="35"/>
        <v>19714.564703671869</v>
      </c>
    </row>
    <row r="119" spans="1:27" s="4" customFormat="1">
      <c r="A119" s="2"/>
      <c r="B119" s="2"/>
      <c r="C119" s="2"/>
      <c r="D119" s="2"/>
      <c r="E119" s="19"/>
      <c r="F119" s="112">
        <v>0</v>
      </c>
      <c r="G119" s="112">
        <v>0</v>
      </c>
      <c r="H119" s="112">
        <v>0</v>
      </c>
      <c r="I119" s="112">
        <v>0</v>
      </c>
      <c r="J119" s="112">
        <v>0</v>
      </c>
      <c r="K119" s="112">
        <v>0</v>
      </c>
      <c r="L119" s="112">
        <v>0</v>
      </c>
      <c r="M119" s="112">
        <v>2.078842081056689E-2</v>
      </c>
      <c r="O119" s="111"/>
      <c r="P119" s="19"/>
      <c r="Q119" s="108">
        <v>117</v>
      </c>
      <c r="R119" s="27">
        <f t="shared" si="18"/>
        <v>9.75</v>
      </c>
      <c r="S119" s="18">
        <f t="shared" si="19"/>
        <v>307476000</v>
      </c>
      <c r="T119" s="42">
        <f t="shared" si="28"/>
        <v>3.2565052065848707</v>
      </c>
      <c r="U119" s="42">
        <f t="shared" si="29"/>
        <v>2702.3670316049788</v>
      </c>
      <c r="V119" s="42">
        <f t="shared" si="30"/>
        <v>1410.7576030529842</v>
      </c>
      <c r="W119" s="42">
        <f t="shared" si="31"/>
        <v>188.63725332079238</v>
      </c>
      <c r="X119" s="42">
        <f t="shared" si="32"/>
        <v>109.00104413817837</v>
      </c>
      <c r="Y119" s="42">
        <f t="shared" si="33"/>
        <v>47.448211535820668</v>
      </c>
      <c r="Z119" s="42">
        <f t="shared" si="34"/>
        <v>14.443380870796691</v>
      </c>
      <c r="AA119" s="42">
        <f t="shared" si="35"/>
        <v>19663.805525922755</v>
      </c>
    </row>
    <row r="120" spans="1:27" s="4" customFormat="1">
      <c r="A120" s="2"/>
      <c r="B120" s="2"/>
      <c r="C120" s="2"/>
      <c r="D120" s="2"/>
      <c r="E120" s="19"/>
      <c r="F120" s="112">
        <v>0</v>
      </c>
      <c r="G120" s="112">
        <v>0</v>
      </c>
      <c r="H120" s="112">
        <v>0</v>
      </c>
      <c r="I120" s="112">
        <v>0</v>
      </c>
      <c r="J120" s="112">
        <v>0</v>
      </c>
      <c r="K120" s="112">
        <v>0</v>
      </c>
      <c r="L120" s="112">
        <v>0</v>
      </c>
      <c r="M120" s="112">
        <v>4.9472675729181712E-3</v>
      </c>
      <c r="O120" s="111"/>
      <c r="P120" s="19"/>
      <c r="Q120" s="108">
        <v>118</v>
      </c>
      <c r="R120" s="27">
        <f t="shared" si="18"/>
        <v>9.8333333333333339</v>
      </c>
      <c r="S120" s="18">
        <f t="shared" si="19"/>
        <v>310104000</v>
      </c>
      <c r="T120" s="42">
        <f t="shared" si="28"/>
        <v>3.2077211925238354</v>
      </c>
      <c r="U120" s="42">
        <f t="shared" si="29"/>
        <v>2695.8184141709598</v>
      </c>
      <c r="V120" s="42">
        <f t="shared" si="30"/>
        <v>1410.8752148504839</v>
      </c>
      <c r="W120" s="42">
        <f t="shared" si="31"/>
        <v>188.69233922183517</v>
      </c>
      <c r="X120" s="42">
        <f t="shared" si="32"/>
        <v>109.13318823341382</v>
      </c>
      <c r="Y120" s="42">
        <f t="shared" si="33"/>
        <v>47.425710566463465</v>
      </c>
      <c r="Z120" s="42">
        <f t="shared" si="34"/>
        <v>14.166574304862499</v>
      </c>
      <c r="AA120" s="42">
        <f t="shared" si="35"/>
        <v>19613.177038053887</v>
      </c>
    </row>
    <row r="121" spans="1:27" s="4" customFormat="1">
      <c r="A121" s="2"/>
      <c r="B121" s="2"/>
      <c r="C121" s="2"/>
      <c r="D121" s="2"/>
      <c r="E121" s="19"/>
      <c r="F121" s="112">
        <v>0</v>
      </c>
      <c r="G121" s="112">
        <v>0</v>
      </c>
      <c r="H121" s="112">
        <v>0</v>
      </c>
      <c r="I121" s="112">
        <v>0</v>
      </c>
      <c r="J121" s="112">
        <v>0</v>
      </c>
      <c r="K121" s="112">
        <v>0</v>
      </c>
      <c r="L121" s="112">
        <v>0</v>
      </c>
      <c r="M121" s="112">
        <v>0</v>
      </c>
      <c r="O121" s="111"/>
      <c r="P121" s="19"/>
      <c r="Q121" s="108">
        <v>119</v>
      </c>
      <c r="R121" s="27">
        <f t="shared" si="18"/>
        <v>9.9166666666666661</v>
      </c>
      <c r="S121" s="18">
        <f t="shared" si="19"/>
        <v>312732000</v>
      </c>
      <c r="T121" s="42">
        <f t="shared" si="28"/>
        <v>3.1596679864538615</v>
      </c>
      <c r="U121" s="42">
        <f t="shared" si="29"/>
        <v>2689.2791045876343</v>
      </c>
      <c r="V121" s="42">
        <f t="shared" si="30"/>
        <v>1410.9673457829358</v>
      </c>
      <c r="W121" s="42">
        <f t="shared" si="31"/>
        <v>188.74630496322501</v>
      </c>
      <c r="X121" s="42">
        <f t="shared" si="32"/>
        <v>109.26467426872136</v>
      </c>
      <c r="Y121" s="42">
        <f t="shared" si="33"/>
        <v>47.403796141695722</v>
      </c>
      <c r="Z121" s="42">
        <f t="shared" si="34"/>
        <v>13.895072685427586</v>
      </c>
      <c r="AA121" s="42">
        <f t="shared" si="35"/>
        <v>19562.678903577475</v>
      </c>
    </row>
    <row r="122" spans="1:27" s="4" customFormat="1">
      <c r="A122" s="2"/>
      <c r="B122" s="2"/>
      <c r="C122" s="2"/>
      <c r="D122" s="2"/>
      <c r="E122" s="19"/>
      <c r="F122" s="112">
        <v>0</v>
      </c>
      <c r="G122" s="112">
        <v>0</v>
      </c>
      <c r="H122" s="112">
        <v>0</v>
      </c>
      <c r="I122" s="112">
        <v>0</v>
      </c>
      <c r="J122" s="112">
        <v>0</v>
      </c>
      <c r="K122" s="112">
        <v>0</v>
      </c>
      <c r="L122" s="112">
        <v>0</v>
      </c>
      <c r="M122" s="112">
        <v>1</v>
      </c>
      <c r="O122" s="111"/>
      <c r="P122" s="19"/>
      <c r="Q122" s="108">
        <v>120</v>
      </c>
      <c r="R122" s="27">
        <f t="shared" si="18"/>
        <v>10</v>
      </c>
      <c r="S122" s="18">
        <f t="shared" si="19"/>
        <v>315360000</v>
      </c>
      <c r="T122" s="42">
        <f t="shared" si="28"/>
        <v>3.1123346405197956</v>
      </c>
      <c r="U122" s="42">
        <f t="shared" si="29"/>
        <v>2682.749217739371</v>
      </c>
      <c r="V122" s="42">
        <f t="shared" si="30"/>
        <v>1411.0342125797927</v>
      </c>
      <c r="W122" s="42">
        <f t="shared" si="31"/>
        <v>188.79908735965637</v>
      </c>
      <c r="X122" s="42">
        <f t="shared" si="32"/>
        <v>109.39550332109184</v>
      </c>
      <c r="Y122" s="42">
        <f t="shared" si="33"/>
        <v>47.382454049126068</v>
      </c>
      <c r="Z122" s="42">
        <f t="shared" si="34"/>
        <v>13.628774344945969</v>
      </c>
      <c r="AA122" s="42">
        <f t="shared" si="35"/>
        <v>19512.310786872069</v>
      </c>
    </row>
    <row r="123" spans="1:27" s="4" customFormat="1">
      <c r="A123" s="2"/>
      <c r="B123" s="2"/>
      <c r="C123" s="2"/>
      <c r="D123" s="2"/>
      <c r="E123" s="19"/>
      <c r="F123" s="19"/>
      <c r="G123" s="111"/>
      <c r="H123" s="111"/>
      <c r="I123" s="111"/>
      <c r="J123" s="111"/>
      <c r="K123" s="111"/>
      <c r="L123" s="111"/>
      <c r="M123" s="111"/>
      <c r="N123" s="111"/>
      <c r="O123" s="111"/>
      <c r="P123" s="19"/>
      <c r="Q123" s="108">
        <v>121</v>
      </c>
      <c r="R123" s="27">
        <f t="shared" si="18"/>
        <v>10.083333333333334</v>
      </c>
      <c r="S123" s="18">
        <f t="shared" si="19"/>
        <v>317988000</v>
      </c>
      <c r="T123" s="42">
        <f t="shared" si="28"/>
        <v>3.0657103708706179</v>
      </c>
      <c r="U123" s="42">
        <f t="shared" si="29"/>
        <v>2676.2288656705164</v>
      </c>
      <c r="V123" s="42">
        <f t="shared" si="30"/>
        <v>1411.0760308543427</v>
      </c>
      <c r="W123" s="42">
        <f t="shared" si="31"/>
        <v>188.85062575485253</v>
      </c>
      <c r="X123" s="42">
        <f t="shared" si="32"/>
        <v>109.52567620142122</v>
      </c>
      <c r="Y123" s="42">
        <f t="shared" si="33"/>
        <v>47.361670061509813</v>
      </c>
      <c r="Z123" s="42">
        <f t="shared" si="34"/>
        <v>13.367579564280719</v>
      </c>
      <c r="AA123" s="42">
        <f t="shared" si="35"/>
        <v>19462.072353180363</v>
      </c>
    </row>
    <row r="124" spans="1:27" s="4" customFormat="1">
      <c r="A124" s="2"/>
      <c r="B124" s="2"/>
      <c r="C124" s="2"/>
      <c r="D124" s="2"/>
      <c r="E124" s="19"/>
      <c r="F124" s="19"/>
      <c r="G124" s="111"/>
      <c r="H124" s="111"/>
      <c r="I124" s="111"/>
      <c r="J124" s="111"/>
      <c r="K124" s="111"/>
      <c r="L124" s="111"/>
      <c r="M124" s="111"/>
      <c r="N124" s="111"/>
      <c r="O124" s="111"/>
      <c r="P124" s="19"/>
      <c r="Q124" s="108">
        <v>122</v>
      </c>
      <c r="R124" s="27">
        <f t="shared" si="18"/>
        <v>10.166666666666666</v>
      </c>
      <c r="S124" s="18">
        <f t="shared" si="19"/>
        <v>320616000</v>
      </c>
      <c r="T124" s="42">
        <f t="shared" si="28"/>
        <v>3.0197845552025826</v>
      </c>
      <c r="U124" s="42">
        <f t="shared" si="29"/>
        <v>2669.7181576391977</v>
      </c>
      <c r="V124" s="42">
        <f t="shared" si="30"/>
        <v>1411.0930151010657</v>
      </c>
      <c r="W124" s="42">
        <f t="shared" si="31"/>
        <v>188.90086194820981</v>
      </c>
      <c r="X124" s="42">
        <f t="shared" si="32"/>
        <v>109.65519346529146</v>
      </c>
      <c r="Y124" s="42">
        <f t="shared" si="33"/>
        <v>47.341429946958627</v>
      </c>
      <c r="Z124" s="42">
        <f t="shared" si="34"/>
        <v>13.111390535363988</v>
      </c>
      <c r="AA124" s="42">
        <f t="shared" si="35"/>
        <v>19411.963268606942</v>
      </c>
    </row>
    <row r="125" spans="1:27" s="4" customFormat="1" ht="15">
      <c r="A125" s="2"/>
      <c r="B125" s="2"/>
      <c r="C125" s="2"/>
      <c r="D125" s="2"/>
      <c r="E125" s="110" t="s">
        <v>183</v>
      </c>
      <c r="F125" s="110" t="s">
        <v>155</v>
      </c>
      <c r="G125" s="110" t="s">
        <v>168</v>
      </c>
      <c r="H125" s="110" t="s">
        <v>169</v>
      </c>
      <c r="I125" s="110" t="s">
        <v>170</v>
      </c>
      <c r="J125" s="110" t="s">
        <v>171</v>
      </c>
      <c r="K125" s="110" t="s">
        <v>172</v>
      </c>
      <c r="L125" s="110" t="s">
        <v>173</v>
      </c>
      <c r="M125" s="110" t="s">
        <v>174</v>
      </c>
      <c r="N125" s="111"/>
      <c r="O125" s="111"/>
      <c r="P125" s="19"/>
      <c r="Q125" s="108">
        <v>123</v>
      </c>
      <c r="R125" s="27">
        <f t="shared" si="18"/>
        <v>10.25</v>
      </c>
      <c r="S125" s="18">
        <f t="shared" si="19"/>
        <v>323244000</v>
      </c>
      <c r="T125" s="42">
        <f t="shared" si="28"/>
        <v>2.9745467303391626</v>
      </c>
      <c r="U125" s="42">
        <f t="shared" si="29"/>
        <v>2663.217200170152</v>
      </c>
      <c r="V125" s="42">
        <f t="shared" si="30"/>
        <v>1411.0853786932062</v>
      </c>
      <c r="W125" s="42">
        <f t="shared" si="31"/>
        <v>188.94974012343962</v>
      </c>
      <c r="X125" s="42">
        <f t="shared" si="32"/>
        <v>109.78405542344444</v>
      </c>
      <c r="Y125" s="42">
        <f t="shared" si="33"/>
        <v>47.321719478693289</v>
      </c>
      <c r="Z125" s="42">
        <f t="shared" si="34"/>
        <v>12.860111324572603</v>
      </c>
      <c r="AA125" s="42">
        <f t="shared" si="35"/>
        <v>19361.983200116072</v>
      </c>
    </row>
    <row r="126" spans="1:27" s="4" customFormat="1">
      <c r="A126" s="2"/>
      <c r="B126" s="2"/>
      <c r="C126" s="2"/>
      <c r="D126" s="2"/>
      <c r="E126" s="19"/>
      <c r="F126" s="112">
        <f>SUM(F45:M45)/SUM(F45:M52)</f>
        <v>0.84379103265390776</v>
      </c>
      <c r="G126" s="112">
        <f>SUM(F55:M55)/SUM(F55:M62)</f>
        <v>0</v>
      </c>
      <c r="H126" s="112">
        <f>SUM(F65:M65)/SUM(F65:M72)</f>
        <v>0</v>
      </c>
      <c r="I126" s="112">
        <f>SUM(F75:M75)/SUM(F75:M82)</f>
        <v>0</v>
      </c>
      <c r="J126" s="112">
        <f>SUM(F85:M85)/SUM(F85:M92)</f>
        <v>0</v>
      </c>
      <c r="K126" s="112">
        <f>SUM(F95:M95)/SUM(F95:M102)</f>
        <v>0</v>
      </c>
      <c r="L126" s="112">
        <f>SUM(F105:M105)/SUM(F105:M112)</f>
        <v>0</v>
      </c>
      <c r="M126" s="112">
        <f>SUM(F115:M115)/SUM(F115:M122)</f>
        <v>0</v>
      </c>
      <c r="N126" s="111"/>
      <c r="O126" s="111"/>
      <c r="P126" s="19"/>
      <c r="Q126" s="108">
        <v>124</v>
      </c>
      <c r="R126" s="27">
        <f t="shared" si="18"/>
        <v>10.333333333333334</v>
      </c>
      <c r="S126" s="18">
        <f t="shared" si="19"/>
        <v>325872000</v>
      </c>
      <c r="T126" s="42">
        <f t="shared" si="28"/>
        <v>2.9299865898472484</v>
      </c>
      <c r="U126" s="42">
        <f t="shared" si="29"/>
        <v>2656.7260971065771</v>
      </c>
      <c r="V126" s="42">
        <f t="shared" si="30"/>
        <v>1411.0533338805635</v>
      </c>
      <c r="W126" s="42">
        <f t="shared" si="31"/>
        <v>188.99720677915519</v>
      </c>
      <c r="X126" s="42">
        <f t="shared" si="32"/>
        <v>109.91226215195155</v>
      </c>
      <c r="Y126" s="42">
        <f t="shared" si="33"/>
        <v>47.302524444355655</v>
      </c>
      <c r="Z126" s="42">
        <f t="shared" si="34"/>
        <v>12.613647836805516</v>
      </c>
      <c r="AA126" s="42">
        <f t="shared" si="35"/>
        <v>19312.131815529498</v>
      </c>
    </row>
    <row r="127" spans="1:27" s="4" customFormat="1">
      <c r="A127" s="2"/>
      <c r="B127" s="2"/>
      <c r="C127" s="2"/>
      <c r="D127" s="2"/>
      <c r="E127" s="19"/>
      <c r="F127" s="112">
        <f>SUM(F46:M46)/SUM(F45:M52)</f>
        <v>1.1061375034106535</v>
      </c>
      <c r="G127" s="112">
        <f>SUM(F56:M56)/SUM(F55:M62)</f>
        <v>1.2114618818751839</v>
      </c>
      <c r="H127" s="112">
        <f>SUM(F66:M66)/SUM(F65:M72)</f>
        <v>0</v>
      </c>
      <c r="I127" s="112">
        <f>SUM(F76:M76)/SUM(F75:M82)</f>
        <v>0</v>
      </c>
      <c r="J127" s="112">
        <f>SUM(F86:M86)/SUM(F85:M92)</f>
        <v>0</v>
      </c>
      <c r="K127" s="112">
        <f>SUM(F96:M96)/SUM(F95:M102)</f>
        <v>0</v>
      </c>
      <c r="L127" s="112">
        <f>SUM(F106:M106)/SUM(F105:M112)</f>
        <v>0</v>
      </c>
      <c r="M127" s="112">
        <f>SUM(F116:M116)/SUM(F115:M122)</f>
        <v>0.10701818210355858</v>
      </c>
      <c r="N127" s="111"/>
      <c r="O127" s="111"/>
      <c r="P127" s="19"/>
      <c r="Q127" s="108">
        <v>125</v>
      </c>
      <c r="R127" s="27">
        <f t="shared" si="18"/>
        <v>10.416666666666666</v>
      </c>
      <c r="S127" s="18">
        <f t="shared" si="19"/>
        <v>328500000</v>
      </c>
      <c r="T127" s="42">
        <f t="shared" si="28"/>
        <v>2.8860939816890534</v>
      </c>
      <c r="U127" s="42">
        <f t="shared" si="29"/>
        <v>2650.2449496610393</v>
      </c>
      <c r="V127" s="42">
        <f t="shared" si="30"/>
        <v>1410.9970917874944</v>
      </c>
      <c r="W127" s="42">
        <f t="shared" si="31"/>
        <v>189.04321066135068</v>
      </c>
      <c r="X127" s="42">
        <f t="shared" si="32"/>
        <v>110.03981350209062</v>
      </c>
      <c r="Y127" s="42">
        <f t="shared" si="33"/>
        <v>47.283830654894061</v>
      </c>
      <c r="Z127" s="42">
        <f t="shared" si="34"/>
        <v>12.371907780249717</v>
      </c>
      <c r="AA127" s="42">
        <f t="shared" si="35"/>
        <v>19262.408783524214</v>
      </c>
    </row>
    <row r="128" spans="1:27" s="4" customFormat="1">
      <c r="A128" s="2"/>
      <c r="B128" s="2"/>
      <c r="C128" s="2"/>
      <c r="D128" s="2"/>
      <c r="E128" s="19"/>
      <c r="F128" s="112">
        <f>SUM(F47:M47)/SUM(F45:M52)</f>
        <v>-0.52604135777211525</v>
      </c>
      <c r="G128" s="112">
        <f>SUM(F57:M57)/SUM(F55:M62)</f>
        <v>-0.41328320181212325</v>
      </c>
      <c r="H128" s="112">
        <f>SUM(F67:M67)/SUM(F65:M72)</f>
        <v>2.4059178627236624</v>
      </c>
      <c r="I128" s="112">
        <f>SUM(F77:M77)/SUM(F75:M82)</f>
        <v>0</v>
      </c>
      <c r="J128" s="112">
        <f>SUM(F87:M87)/SUM(F85:M92)</f>
        <v>0</v>
      </c>
      <c r="K128" s="112">
        <f>SUM(F97:M97)/SUM(F95:M102)</f>
        <v>0</v>
      </c>
      <c r="L128" s="112">
        <f>SUM(F107:M107)/SUM(F105:M112)</f>
        <v>0</v>
      </c>
      <c r="M128" s="112">
        <f>SUM(F117:M117)/SUM(F115:M122)</f>
        <v>8.8522829300575742E-2</v>
      </c>
      <c r="N128" s="111"/>
      <c r="O128" s="111"/>
      <c r="P128" s="19"/>
      <c r="Q128" s="108">
        <v>126</v>
      </c>
      <c r="R128" s="27">
        <f t="shared" si="18"/>
        <v>10.5</v>
      </c>
      <c r="S128" s="18">
        <f t="shared" si="19"/>
        <v>331128000</v>
      </c>
      <c r="T128" s="42">
        <f t="shared" si="28"/>
        <v>2.8428589059091989</v>
      </c>
      <c r="U128" s="42">
        <f t="shared" si="29"/>
        <v>2643.7738564654378</v>
      </c>
      <c r="V128" s="42">
        <f t="shared" si="30"/>
        <v>1410.9168624111094</v>
      </c>
      <c r="W128" s="42">
        <f t="shared" si="31"/>
        <v>189.08770269772111</v>
      </c>
      <c r="X128" s="42">
        <f t="shared" si="32"/>
        <v>110.16670910993554</v>
      </c>
      <c r="Y128" s="42">
        <f t="shared" si="33"/>
        <v>47.265623953036929</v>
      </c>
      <c r="Z128" s="42">
        <f t="shared" si="34"/>
        <v>12.134800631821367</v>
      </c>
      <c r="AA128" s="42">
        <f t="shared" si="35"/>
        <v>19212.813773630271</v>
      </c>
    </row>
    <row r="129" spans="1:27" s="4" customFormat="1">
      <c r="A129" s="2"/>
      <c r="B129" s="2"/>
      <c r="C129" s="2"/>
      <c r="D129" s="2"/>
      <c r="E129" s="19"/>
      <c r="F129" s="112">
        <f>SUM(F48:M48)/SUM(F45:M52)</f>
        <v>-0.15584462434622515</v>
      </c>
      <c r="G129" s="112">
        <f>SUM(F58:M58)/SUM(F55:M62)</f>
        <v>-0.16267921453021297</v>
      </c>
      <c r="H129" s="112">
        <f>SUM(F68:M68)/SUM(F65:M72)</f>
        <v>0.43788605256082996</v>
      </c>
      <c r="I129" s="112">
        <f>SUM(F78:M78)/SUM(F75:M82)</f>
        <v>1.9708702325371494</v>
      </c>
      <c r="J129" s="112">
        <f>SUM(F88:M88)/SUM(F85:M92)</f>
        <v>0</v>
      </c>
      <c r="K129" s="112">
        <f>SUM(F98:M98)/SUM(F95:M102)</f>
        <v>0</v>
      </c>
      <c r="L129" s="112">
        <f>SUM(F108:M108)/SUM(F105:M112)</f>
        <v>0</v>
      </c>
      <c r="M129" s="112">
        <f>SUM(F118:M118)/SUM(F115:M122)</f>
        <v>1.3187469820105142E-2</v>
      </c>
      <c r="N129" s="111"/>
      <c r="O129" s="111"/>
      <c r="P129" s="19"/>
      <c r="Q129" s="108">
        <v>127</v>
      </c>
      <c r="R129" s="27">
        <f t="shared" si="18"/>
        <v>10.583333333333334</v>
      </c>
      <c r="S129" s="18">
        <f t="shared" si="19"/>
        <v>333756000</v>
      </c>
      <c r="T129" s="42">
        <f t="shared" si="28"/>
        <v>2.8002715123564474</v>
      </c>
      <c r="U129" s="42">
        <f t="shared" si="29"/>
        <v>2637.3129136200623</v>
      </c>
      <c r="V129" s="42">
        <f t="shared" si="30"/>
        <v>1410.8128546196785</v>
      </c>
      <c r="W129" s="42">
        <f t="shared" si="31"/>
        <v>189.13063593377396</v>
      </c>
      <c r="X129" s="42">
        <f t="shared" si="32"/>
        <v>110.29294840566729</v>
      </c>
      <c r="Y129" s="42">
        <f t="shared" si="33"/>
        <v>47.24789022136882</v>
      </c>
      <c r="Z129" s="42">
        <f t="shared" si="34"/>
        <v>11.902237603269201</v>
      </c>
      <c r="AA129" s="42">
        <f t="shared" si="35"/>
        <v>19163.346456228599</v>
      </c>
    </row>
    <row r="130" spans="1:27" s="4" customFormat="1">
      <c r="A130" s="2"/>
      <c r="B130" s="2"/>
      <c r="C130" s="2"/>
      <c r="D130" s="2"/>
      <c r="E130" s="19"/>
      <c r="F130" s="112">
        <f>SUM(F49:M49)/SUM(F45:M52)</f>
        <v>0.17464043281892955</v>
      </c>
      <c r="G130" s="112">
        <f>SUM(F59:M59)/SUM(F55:M62)</f>
        <v>-2.0847179670320497E-2</v>
      </c>
      <c r="H130" s="112">
        <f>SUM(F69:M69)/SUM(F65:M72)</f>
        <v>-2.0323545653562203</v>
      </c>
      <c r="I130" s="112">
        <f>SUM(F79:M79)/SUM(F75:M82)</f>
        <v>-0.26392857477559872</v>
      </c>
      <c r="J130" s="112">
        <f>SUM(F89:M89)/SUM(F85:M92)</f>
        <v>1</v>
      </c>
      <c r="K130" s="112">
        <f>SUM(F99:M99)/SUM(F95:M102)</f>
        <v>-0.27365789575276278</v>
      </c>
      <c r="L130" s="112">
        <f>SUM(F109:M109)/SUM(F105:M112)</f>
        <v>0</v>
      </c>
      <c r="M130" s="112">
        <f>SUM(F119:M119)/SUM(F115:M122)</f>
        <v>1.6036573060697779E-2</v>
      </c>
      <c r="N130" s="111"/>
      <c r="O130" s="111"/>
      <c r="P130" s="19"/>
      <c r="Q130" s="108">
        <v>128</v>
      </c>
      <c r="R130" s="27">
        <f t="shared" ref="R130:R136" si="36">S130/(3600*365*24)</f>
        <v>10.666666666666666</v>
      </c>
      <c r="S130" s="18">
        <f t="shared" ref="S130:S136" si="37">Q130*D$5</f>
        <v>336384000</v>
      </c>
      <c r="T130" s="42">
        <f t="shared" ref="T130:T136" si="38">$F$148*EXP($F$24*$S130)+$G$148*EXP($G$24*$S130)+$H$148*EXP($H$24*$S130)+$I$148*EXP($I$24*$S130)+$J$148*EXP($J$24*$S130)+$K$148*EXP($K$24*$S130)+$L$148*EXP($L$24*$S130)+$M$148*EXP($M$24*$S130)</f>
        <v>2.7583220984395642</v>
      </c>
      <c r="U130" s="42">
        <f t="shared" ref="U130:U136" si="39">$F$149*EXP($F$24*$S130)+$G$149*EXP($G$24*$S130)+$H$149*EXP($H$24*$S130)+$I$149*EXP($I$24*$S130)+$J$149*EXP($J$24*$S130)+$K$149*EXP($K$24*$S130)+$L$149*EXP($L$24*$S130)+$M$149*EXP($M$24*$S130)</f>
        <v>2630.8622147417464</v>
      </c>
      <c r="V130" s="42">
        <f t="shared" ref="V130:V136" si="40">$F$150*EXP($F$24*$S130)+$G$150*EXP($G$24*$S130)+$H$150*EXP($H$24*$S130)+$I$150*EXP($I$24*$S130)+$J$150*EXP($J$24*$S130)+$K$150*EXP($K$24*$S130)+$L$150*EXP($L$24*$S130)+$M$150*EXP($M$24*$S130)</f>
        <v>1410.6852761512284</v>
      </c>
      <c r="W130" s="42">
        <f t="shared" ref="W130:W136" si="41">$F$151*EXP($F$24*$S130)+$G$151*EXP($G$24*$S130)+$H$151*EXP($H$24*$S130)+$I$151*EXP($I$24*$S130)+$J$151*EXP($J$24*$S130)+$K$151*EXP($K$24*$S130)+$L$151*EXP($L$24*$S130)+$M$151*EXP($M$24*$S130)</f>
        <v>189.17196547068403</v>
      </c>
      <c r="X130" s="42">
        <f t="shared" ref="X130:X136" si="42">$F$152*EXP($F$24*$S130)+$G$152*EXP($G$24*$S130)+$H$152*EXP($H$24*$S130)+$I$152*EXP($I$24*$S130)+$J$152*EXP($J$24*$S130)+$K$152*EXP($K$24*$S130)+$L$152*EXP($L$24*$S130)+$M$152*EXP($M$24*$S130)</f>
        <v>110.41853062261413</v>
      </c>
      <c r="Y130" s="42">
        <f t="shared" ref="Y130:Y136" si="43">$F$153*EXP($F$24*$S130)+$G$153*EXP($G$24*$S130)+$H$153*EXP($H$24*$S130)+$I$153*EXP($I$24*$S130)+$J$153*EXP($J$24*$S130)+$K$153*EXP($K$24*$S130)+$L$153*EXP($L$24*$S130)+$M$153*EXP($M$24*$S130)</f>
        <v>47.230615390021903</v>
      </c>
      <c r="Z130" s="42">
        <f t="shared" ref="Z130:Z136" si="44">$F$154*EXP($F$24*$S130)+$G$154*EXP($G$24*$S130)+$H$154*EXP($H$24*$S130)+$I$154*EXP($I$24*$S130)+$J$154*EXP($J$24*$S130)+$K$154*EXP($K$24*$S130)+$L$154*EXP($L$24*$S130)+$M$154*EXP($M$24*$S130)</f>
        <v>11.674131607927579</v>
      </c>
      <c r="AA130" s="42">
        <f t="shared" ref="AA130:AA136" si="45">$F$155*EXP($F$24*$S130)+$G$155*EXP($G$24*$S130)+$H$155*EXP($H$24*$S130)+$I$155*EXP($I$24*$S130)+$J$155*EXP($J$24*$S130)+$K$155*EXP($K$24*$S130)+$L$155*EXP($L$24*$S130)+$M$155*EXP($M$24*$S130)</f>
        <v>19114.006502548778</v>
      </c>
    </row>
    <row r="131" spans="1:27" s="4" customFormat="1">
      <c r="A131" s="2"/>
      <c r="B131" s="2"/>
      <c r="C131" s="2"/>
      <c r="D131" s="2"/>
      <c r="E131" s="19"/>
      <c r="F131" s="112">
        <f>SUM(F50:M50)/SUM(F45:M52)</f>
        <v>-0.44330395555716001</v>
      </c>
      <c r="G131" s="112">
        <f>SUM(F60:M60)/SUM(F55:M62)</f>
        <v>0.382759917432209</v>
      </c>
      <c r="H131" s="112">
        <f>SUM(F70:M70)/SUM(F65:M72)</f>
        <v>0.18855065007172794</v>
      </c>
      <c r="I131" s="112">
        <f>SUM(F80:M80)/SUM(F75:M82)</f>
        <v>-0.7069416577615506</v>
      </c>
      <c r="J131" s="112">
        <f>SUM(F90:M90)/SUM(F85:M92)</f>
        <v>0</v>
      </c>
      <c r="K131" s="112">
        <f>SUM(F100:M100)/SUM(F95:M102)</f>
        <v>1.2736578957527627</v>
      </c>
      <c r="L131" s="112">
        <f>SUM(F110:M110)/SUM(F105:M112)</f>
        <v>0</v>
      </c>
      <c r="M131" s="112">
        <f>SUM(F120:M120)/SUM(F115:M122)</f>
        <v>3.8164138876578641E-3</v>
      </c>
      <c r="N131" s="111"/>
      <c r="O131" s="111"/>
      <c r="P131" s="19"/>
      <c r="Q131" s="108">
        <v>129</v>
      </c>
      <c r="R131" s="27">
        <f t="shared" si="36"/>
        <v>10.75</v>
      </c>
      <c r="S131" s="18">
        <f t="shared" si="37"/>
        <v>339012000</v>
      </c>
      <c r="T131" s="42">
        <f t="shared" si="38"/>
        <v>2.7170011069167974</v>
      </c>
      <c r="U131" s="42">
        <f t="shared" si="39"/>
        <v>2624.4218510111355</v>
      </c>
      <c r="V131" s="42">
        <f t="shared" si="40"/>
        <v>1410.5343336123265</v>
      </c>
      <c r="W131" s="42">
        <f t="shared" si="41"/>
        <v>189.21164840484386</v>
      </c>
      <c r="X131" s="42">
        <f t="shared" si="42"/>
        <v>110.54345480602655</v>
      </c>
      <c r="Y131" s="42">
        <f t="shared" si="43"/>
        <v>47.213785443996613</v>
      </c>
      <c r="Z131" s="42">
        <f t="shared" si="44"/>
        <v>11.450397228106652</v>
      </c>
      <c r="AA131" s="42">
        <f t="shared" si="45"/>
        <v>19064.793584666884</v>
      </c>
    </row>
    <row r="132" spans="1:27" s="4" customFormat="1">
      <c r="A132" s="2"/>
      <c r="B132" s="2"/>
      <c r="C132" s="2"/>
      <c r="D132" s="2"/>
      <c r="E132" s="19"/>
      <c r="F132" s="112">
        <f>SUM(F51:M51)/SUM(F45:M52)</f>
        <v>6.2311810289257617E-4</v>
      </c>
      <c r="G132" s="112">
        <f>SUM(F61:M61)/SUM(F55:M62)</f>
        <v>2.5877967052638198E-3</v>
      </c>
      <c r="H132" s="112">
        <f>SUM(F71:M71)/SUM(F65:M72)</f>
        <v>0</v>
      </c>
      <c r="I132" s="112">
        <f>SUM(F81:M81)/SUM(F75:M82)</f>
        <v>0</v>
      </c>
      <c r="J132" s="112">
        <f>SUM(F91:M91)/SUM(F85:M92)</f>
        <v>0</v>
      </c>
      <c r="K132" s="112">
        <f>SUM(F101:M101)/SUM(F95:M102)</f>
        <v>0</v>
      </c>
      <c r="L132" s="112">
        <f>SUM(F111:M111)/SUM(F105:M112)</f>
        <v>1</v>
      </c>
      <c r="M132" s="112">
        <f>SUM(F121:M121)/SUM(F115:M122)</f>
        <v>0</v>
      </c>
      <c r="N132" s="111"/>
      <c r="O132" s="111"/>
      <c r="P132" s="19"/>
      <c r="Q132" s="108">
        <v>130</v>
      </c>
      <c r="R132" s="27">
        <f t="shared" si="36"/>
        <v>10.833333333333334</v>
      </c>
      <c r="S132" s="18">
        <f t="shared" si="37"/>
        <v>341640000</v>
      </c>
      <c r="T132" s="42">
        <f t="shared" si="38"/>
        <v>2.6762991237184717</v>
      </c>
      <c r="U132" s="42">
        <f t="shared" si="39"/>
        <v>2617.9919112190942</v>
      </c>
      <c r="V132" s="42">
        <f t="shared" si="40"/>
        <v>1410.3602324770529</v>
      </c>
      <c r="W132" s="42">
        <f t="shared" si="41"/>
        <v>189.24964376906567</v>
      </c>
      <c r="X132" s="42">
        <f t="shared" si="42"/>
        <v>110.66771982159491</v>
      </c>
      <c r="Y132" s="42">
        <f t="shared" si="43"/>
        <v>47.197386430123757</v>
      </c>
      <c r="Z132" s="42">
        <f t="shared" si="44"/>
        <v>11.230950683107475</v>
      </c>
      <c r="AA132" s="42">
        <f t="shared" si="45"/>
        <v>19015.707375503313</v>
      </c>
    </row>
    <row r="133" spans="1:27">
      <c r="F133" s="112">
        <f>SUM(F52:M52)/SUM(F45:M52)</f>
        <v>-2.1493108830799803E-6</v>
      </c>
      <c r="G133" s="112">
        <f>SUM(F62:M62)/SUM(F55:M62)</f>
        <v>0</v>
      </c>
      <c r="H133" s="112">
        <f>SUM(F72:M72)/SUM(F65:M72)</f>
        <v>0</v>
      </c>
      <c r="I133" s="112">
        <f>SUM(F82:M82)/SUM(F75:M82)</f>
        <v>0</v>
      </c>
      <c r="J133" s="112">
        <f>SUM(F92:M92)/SUM(F85:M92)</f>
        <v>0</v>
      </c>
      <c r="K133" s="112">
        <f>SUM(F102:M102)/SUM(F95:M102)</f>
        <v>0</v>
      </c>
      <c r="L133" s="112">
        <f>SUM(F112:M112)/SUM(F105:M112)</f>
        <v>0</v>
      </c>
      <c r="M133" s="112">
        <f>SUM(F122:M122)/SUM(F115:M122)</f>
        <v>0.77141853182740483</v>
      </c>
      <c r="Q133" s="108">
        <v>131</v>
      </c>
      <c r="R133" s="27">
        <f t="shared" si="36"/>
        <v>10.916666666666666</v>
      </c>
      <c r="S133" s="18">
        <f t="shared" si="37"/>
        <v>344268000</v>
      </c>
      <c r="T133" s="42">
        <f t="shared" si="38"/>
        <v>2.6362068758022037</v>
      </c>
      <c r="U133" s="42">
        <f t="shared" si="39"/>
        <v>2611.5724818122521</v>
      </c>
      <c r="V133" s="42">
        <f t="shared" si="40"/>
        <v>1410.1631770861522</v>
      </c>
      <c r="W133" s="42">
        <f t="shared" si="41"/>
        <v>189.28591247538782</v>
      </c>
      <c r="X133" s="42">
        <f t="shared" si="42"/>
        <v>110.79132436371765</v>
      </c>
      <c r="Y133" s="42">
        <f t="shared" si="43"/>
        <v>47.181404463681019</v>
      </c>
      <c r="Z133" s="42">
        <f t="shared" si="44"/>
        <v>11.015709797850082</v>
      </c>
      <c r="AA133" s="42">
        <f t="shared" si="45"/>
        <v>18966.74754882056</v>
      </c>
    </row>
    <row r="134" spans="1:27">
      <c r="Q134" s="108">
        <v>132</v>
      </c>
      <c r="R134" s="27">
        <f t="shared" si="36"/>
        <v>11</v>
      </c>
      <c r="S134" s="18">
        <f t="shared" si="37"/>
        <v>346896000</v>
      </c>
      <c r="T134" s="42">
        <f t="shared" si="38"/>
        <v>2.5967152290402442</v>
      </c>
      <c r="U134" s="42">
        <f t="shared" si="39"/>
        <v>2605.1636469377254</v>
      </c>
      <c r="V134" s="42">
        <f t="shared" si="40"/>
        <v>1409.9433706463622</v>
      </c>
      <c r="W134" s="42">
        <f t="shared" si="41"/>
        <v>189.32041725944555</v>
      </c>
      <c r="X134" s="42">
        <f t="shared" si="42"/>
        <v>110.91426696352306</v>
      </c>
      <c r="Y134" s="42">
        <f t="shared" si="43"/>
        <v>47.165825734675238</v>
      </c>
      <c r="Z134" s="42">
        <f t="shared" si="44"/>
        <v>10.804593972102811</v>
      </c>
      <c r="AA134" s="42">
        <f t="shared" si="45"/>
        <v>18917.91377922113</v>
      </c>
    </row>
    <row r="135" spans="1:27" ht="15">
      <c r="E135" s="110" t="s">
        <v>184</v>
      </c>
      <c r="Q135" s="108">
        <v>133</v>
      </c>
      <c r="R135" s="27">
        <f t="shared" si="36"/>
        <v>11.083333333333334</v>
      </c>
      <c r="S135" s="18">
        <f t="shared" si="37"/>
        <v>349524000</v>
      </c>
      <c r="T135" s="42">
        <f t="shared" si="38"/>
        <v>2.5578151861384688</v>
      </c>
      <c r="U135" s="42">
        <f t="shared" si="39"/>
        <v>2598.7654884870058</v>
      </c>
      <c r="V135" s="42">
        <f t="shared" si="40"/>
        <v>1409.7010152299099</v>
      </c>
      <c r="W135" s="42">
        <f t="shared" si="41"/>
        <v>189.35312262636052</v>
      </c>
      <c r="X135" s="42">
        <f t="shared" si="42"/>
        <v>111.03654599665668</v>
      </c>
      <c r="Y135" s="42">
        <f t="shared" si="43"/>
        <v>47.150636513802638</v>
      </c>
      <c r="Z135" s="42">
        <f t="shared" si="44"/>
        <v>10.597524150301282</v>
      </c>
      <c r="AA135" s="42">
        <f t="shared" si="45"/>
        <v>18869.205742145288</v>
      </c>
    </row>
    <row r="136" spans="1:27">
      <c r="F136" s="112">
        <f t="array" ref="F136:M143">MINVERSE(F126:M133)</f>
        <v>1.1851275508993984</v>
      </c>
      <c r="G136" s="112">
        <v>5.3116407281719904E-23</v>
      </c>
      <c r="H136" s="112">
        <v>0</v>
      </c>
      <c r="I136" s="112">
        <v>0</v>
      </c>
      <c r="J136" s="112">
        <v>0</v>
      </c>
      <c r="K136" s="112">
        <v>0</v>
      </c>
      <c r="L136" s="112">
        <v>0</v>
      </c>
      <c r="M136" s="112">
        <v>0</v>
      </c>
      <c r="Q136" s="108">
        <v>134</v>
      </c>
      <c r="R136" s="27">
        <f t="shared" si="36"/>
        <v>11.166666666666666</v>
      </c>
      <c r="S136" s="18">
        <f t="shared" si="37"/>
        <v>352152000</v>
      </c>
      <c r="T136" s="42">
        <f t="shared" si="38"/>
        <v>2.5194978845865501</v>
      </c>
      <c r="U136" s="42">
        <f t="shared" si="39"/>
        <v>2592.3780861390537</v>
      </c>
      <c r="V136" s="42">
        <f t="shared" si="40"/>
        <v>1409.4363117741811</v>
      </c>
      <c r="W136" s="42">
        <f t="shared" si="41"/>
        <v>189.38399479811096</v>
      </c>
      <c r="X136" s="42">
        <f t="shared" si="42"/>
        <v>111.15815969083536</v>
      </c>
      <c r="Y136" s="42">
        <f t="shared" si="43"/>
        <v>47.135823158097722</v>
      </c>
      <c r="Z136" s="42">
        <f t="shared" si="44"/>
        <v>10.394422791945809</v>
      </c>
      <c r="AA136" s="42">
        <f t="shared" si="45"/>
        <v>18820.623113868965</v>
      </c>
    </row>
    <row r="137" spans="1:27">
      <c r="F137" s="112">
        <v>-1.0820929683050984</v>
      </c>
      <c r="G137" s="112">
        <v>0.8254490008815889</v>
      </c>
      <c r="H137" s="112">
        <v>0</v>
      </c>
      <c r="I137" s="112">
        <v>0</v>
      </c>
      <c r="J137" s="112">
        <v>0</v>
      </c>
      <c r="K137" s="112">
        <v>0</v>
      </c>
      <c r="L137" s="112">
        <v>0</v>
      </c>
      <c r="M137" s="112">
        <v>-0.11451377928954252</v>
      </c>
    </row>
    <row r="138" spans="1:27">
      <c r="F138" s="112">
        <v>7.3242303836908065E-2</v>
      </c>
      <c r="G138" s="112">
        <v>0.14179378743660134</v>
      </c>
      <c r="H138" s="112">
        <v>0.41564178706746541</v>
      </c>
      <c r="I138" s="112">
        <v>0</v>
      </c>
      <c r="J138" s="112">
        <v>0</v>
      </c>
      <c r="K138" s="112">
        <v>0</v>
      </c>
      <c r="L138" s="112">
        <v>0</v>
      </c>
      <c r="M138" s="112">
        <v>-6.7367191981628757E-2</v>
      </c>
    </row>
    <row r="139" spans="1:27">
      <c r="F139" s="112">
        <v>-1.1878053981501272E-2</v>
      </c>
      <c r="G139" s="112">
        <v>3.6630454937140254E-2</v>
      </c>
      <c r="H139" s="112">
        <v>-9.2346892460800731E-2</v>
      </c>
      <c r="I139" s="112">
        <v>0.50739007748504861</v>
      </c>
      <c r="J139" s="112">
        <v>0</v>
      </c>
      <c r="K139" s="112">
        <v>0</v>
      </c>
      <c r="L139" s="112">
        <v>0</v>
      </c>
      <c r="M139" s="112">
        <v>-3.1584771853173602E-3</v>
      </c>
    </row>
    <row r="140" spans="1:27">
      <c r="F140" s="112">
        <v>0.11329045371735705</v>
      </c>
      <c r="G140" s="112">
        <v>0.24698623949663151</v>
      </c>
      <c r="H140" s="112">
        <v>0.78949315850630153</v>
      </c>
      <c r="I140" s="112">
        <v>0.21098391940597341</v>
      </c>
      <c r="J140" s="112">
        <v>1</v>
      </c>
      <c r="K140" s="112">
        <v>0.21485981177938235</v>
      </c>
      <c r="L140" s="112">
        <v>0</v>
      </c>
      <c r="M140" s="112">
        <v>-0.15031930498898058</v>
      </c>
    </row>
    <row r="141" spans="1:27">
      <c r="F141" s="112">
        <v>0.72024564966729243</v>
      </c>
      <c r="G141" s="112">
        <v>-0.24872338854711737</v>
      </c>
      <c r="H141" s="112">
        <v>-0.11278805311296626</v>
      </c>
      <c r="I141" s="112">
        <v>0.28162600310897795</v>
      </c>
      <c r="J141" s="112">
        <v>0</v>
      </c>
      <c r="K141" s="112">
        <v>0.78514018822061771</v>
      </c>
      <c r="L141" s="112">
        <v>0</v>
      </c>
      <c r="M141" s="112">
        <v>3.8749248162813027E-2</v>
      </c>
    </row>
    <row r="142" spans="1:27">
      <c r="F142" s="112">
        <v>2.0617621869669224E-3</v>
      </c>
      <c r="G142" s="112">
        <v>-2.1360942048446875E-3</v>
      </c>
      <c r="H142" s="112">
        <v>0</v>
      </c>
      <c r="I142" s="112">
        <v>0</v>
      </c>
      <c r="J142" s="112">
        <v>0</v>
      </c>
      <c r="K142" s="112">
        <v>0</v>
      </c>
      <c r="L142" s="112">
        <v>1</v>
      </c>
      <c r="M142" s="112">
        <v>2.9633838075278639E-4</v>
      </c>
    </row>
    <row r="143" spans="1:27">
      <c r="F143" s="112">
        <v>3.3019786768045996E-6</v>
      </c>
      <c r="G143" s="112">
        <v>-5.4900998116273751E-22</v>
      </c>
      <c r="H143" s="112">
        <v>0</v>
      </c>
      <c r="I143" s="112">
        <v>0</v>
      </c>
      <c r="J143" s="112">
        <v>0</v>
      </c>
      <c r="K143" s="112">
        <v>0</v>
      </c>
      <c r="L143" s="112">
        <v>0</v>
      </c>
      <c r="M143" s="112">
        <v>1.2963131669019035</v>
      </c>
    </row>
    <row r="146" spans="5:13" ht="15">
      <c r="E146" s="110" t="s">
        <v>185</v>
      </c>
      <c r="F146" s="111">
        <f t="array" ref="F146:M146">TRANSPOSE(MMULT(F136:M143,B2:B9))</f>
        <v>22.56685279962792</v>
      </c>
      <c r="G146" s="111">
        <v>-207.78120096107978</v>
      </c>
      <c r="H146" s="111">
        <v>-818.97086368414375</v>
      </c>
      <c r="I146" s="111">
        <v>58.532161475144292</v>
      </c>
      <c r="J146" s="111">
        <v>-2083.535154220649</v>
      </c>
      <c r="K146" s="111">
        <v>161.67101547725565</v>
      </c>
      <c r="L146" s="111">
        <v>139.49678335064939</v>
      </c>
      <c r="M146" s="111">
        <v>34464.601905926669</v>
      </c>
    </row>
    <row r="147" spans="5:13" ht="15">
      <c r="F147" s="110" t="s">
        <v>175</v>
      </c>
      <c r="G147" s="110" t="s">
        <v>176</v>
      </c>
      <c r="H147" s="110" t="s">
        <v>177</v>
      </c>
      <c r="I147" s="110" t="s">
        <v>178</v>
      </c>
      <c r="J147" s="110" t="s">
        <v>179</v>
      </c>
      <c r="K147" s="110" t="s">
        <v>180</v>
      </c>
      <c r="L147" s="110" t="s">
        <v>181</v>
      </c>
      <c r="M147" s="110" t="s">
        <v>182</v>
      </c>
    </row>
    <row r="148" spans="5:13" ht="15">
      <c r="E148" s="105" t="s">
        <v>7</v>
      </c>
      <c r="F148" s="112">
        <f t="shared" ref="F148:M155" si="46">F$146*F126</f>
        <v>19.041708027546772</v>
      </c>
      <c r="G148" s="112">
        <f t="shared" si="46"/>
        <v>0</v>
      </c>
      <c r="H148" s="112">
        <f t="shared" si="46"/>
        <v>0</v>
      </c>
      <c r="I148" s="112">
        <f t="shared" si="46"/>
        <v>0</v>
      </c>
      <c r="J148" s="112">
        <f t="shared" si="46"/>
        <v>0</v>
      </c>
      <c r="K148" s="112">
        <f t="shared" si="46"/>
        <v>0</v>
      </c>
      <c r="L148" s="112">
        <f t="shared" si="46"/>
        <v>0</v>
      </c>
      <c r="M148" s="112">
        <f t="shared" si="46"/>
        <v>0</v>
      </c>
    </row>
    <row r="149" spans="5:13" ht="15">
      <c r="E149" s="105" t="s">
        <v>9</v>
      </c>
      <c r="F149" s="112">
        <f t="shared" si="46"/>
        <v>24.962042215616144</v>
      </c>
      <c r="G149" s="112">
        <f t="shared" si="46"/>
        <v>-251.71900473459547</v>
      </c>
      <c r="H149" s="112">
        <f t="shared" si="46"/>
        <v>0</v>
      </c>
      <c r="I149" s="112">
        <f t="shared" si="46"/>
        <v>0</v>
      </c>
      <c r="J149" s="112">
        <f t="shared" si="46"/>
        <v>0</v>
      </c>
      <c r="K149" s="112">
        <f t="shared" si="46"/>
        <v>0</v>
      </c>
      <c r="L149" s="112">
        <f t="shared" si="46"/>
        <v>0</v>
      </c>
      <c r="M149" s="112">
        <f t="shared" si="46"/>
        <v>3688.3390428951125</v>
      </c>
    </row>
    <row r="150" spans="5:13" ht="15">
      <c r="E150" s="105" t="s">
        <v>10</v>
      </c>
      <c r="F150" s="112">
        <f t="shared" si="46"/>
        <v>-11.871097887359731</v>
      </c>
      <c r="G150" s="112">
        <f t="shared" si="46"/>
        <v>85.872480009563276</v>
      </c>
      <c r="H150" s="112">
        <f t="shared" si="46"/>
        <v>-1970.3766299879069</v>
      </c>
      <c r="I150" s="112">
        <f t="shared" si="46"/>
        <v>0</v>
      </c>
      <c r="J150" s="112">
        <f t="shared" si="46"/>
        <v>0</v>
      </c>
      <c r="K150" s="112">
        <f t="shared" si="46"/>
        <v>0</v>
      </c>
      <c r="L150" s="112">
        <f t="shared" si="46"/>
        <v>0</v>
      </c>
      <c r="M150" s="112">
        <f t="shared" si="46"/>
        <v>3050.9040714306439</v>
      </c>
    </row>
    <row r="151" spans="5:13" ht="15">
      <c r="E151" s="105" t="s">
        <v>11</v>
      </c>
      <c r="F151" s="112">
        <f t="shared" si="46"/>
        <v>-3.5169226972345724</v>
      </c>
      <c r="G151" s="112">
        <f t="shared" si="46"/>
        <v>33.801682566492794</v>
      </c>
      <c r="H151" s="112">
        <f t="shared" si="46"/>
        <v>-358.61591866098325</v>
      </c>
      <c r="I151" s="112">
        <f t="shared" si="46"/>
        <v>115.35929469741961</v>
      </c>
      <c r="J151" s="112">
        <f t="shared" si="46"/>
        <v>0</v>
      </c>
      <c r="K151" s="112">
        <f t="shared" si="46"/>
        <v>0</v>
      </c>
      <c r="L151" s="112">
        <f t="shared" si="46"/>
        <v>0</v>
      </c>
      <c r="M151" s="112">
        <f t="shared" si="46"/>
        <v>454.50089749634611</v>
      </c>
    </row>
    <row r="152" spans="5:13" ht="15">
      <c r="E152" s="105" t="s">
        <v>13</v>
      </c>
      <c r="F152" s="112">
        <f t="shared" si="46"/>
        <v>3.9410849402880919</v>
      </c>
      <c r="G152" s="112">
        <f t="shared" si="46"/>
        <v>4.3316520285506002</v>
      </c>
      <c r="H152" s="112">
        <f t="shared" si="46"/>
        <v>1664.4391737021963</v>
      </c>
      <c r="I152" s="112">
        <f t="shared" si="46"/>
        <v>-15.448309956670039</v>
      </c>
      <c r="J152" s="112">
        <f t="shared" si="46"/>
        <v>-2083.535154220649</v>
      </c>
      <c r="K152" s="112">
        <f t="shared" si="46"/>
        <v>-44.242549899718128</v>
      </c>
      <c r="L152" s="112">
        <f t="shared" si="46"/>
        <v>0</v>
      </c>
      <c r="M152" s="112">
        <f t="shared" si="46"/>
        <v>552.69410647225698</v>
      </c>
    </row>
    <row r="153" spans="5:13" ht="15">
      <c r="E153" s="105" t="s">
        <v>14</v>
      </c>
      <c r="F153" s="112">
        <f t="shared" si="46"/>
        <v>-10.003975110551227</v>
      </c>
      <c r="G153" s="112">
        <f t="shared" si="46"/>
        <v>-79.53031532382812</v>
      </c>
      <c r="H153" s="112">
        <f t="shared" si="46"/>
        <v>-154.41748873744979</v>
      </c>
      <c r="I153" s="112">
        <f t="shared" si="46"/>
        <v>-41.37882326560527</v>
      </c>
      <c r="J153" s="112">
        <f t="shared" si="46"/>
        <v>0</v>
      </c>
      <c r="K153" s="112">
        <f t="shared" si="46"/>
        <v>205.91356537697376</v>
      </c>
      <c r="L153" s="112">
        <f t="shared" si="46"/>
        <v>0</v>
      </c>
      <c r="M153" s="112">
        <f t="shared" si="46"/>
        <v>131.53118534637824</v>
      </c>
    </row>
    <row r="154" spans="5:13" ht="15">
      <c r="E154" s="105" t="s">
        <v>15</v>
      </c>
      <c r="F154" s="112">
        <f t="shared" si="46"/>
        <v>1.4061814504760172E-2</v>
      </c>
      <c r="G154" s="112">
        <f t="shared" si="46"/>
        <v>-0.53769550726284188</v>
      </c>
      <c r="H154" s="112">
        <f t="shared" si="46"/>
        <v>0</v>
      </c>
      <c r="I154" s="112">
        <f t="shared" si="46"/>
        <v>0</v>
      </c>
      <c r="J154" s="112">
        <f t="shared" si="46"/>
        <v>0</v>
      </c>
      <c r="K154" s="112">
        <f t="shared" si="46"/>
        <v>0</v>
      </c>
      <c r="L154" s="112">
        <f t="shared" si="46"/>
        <v>139.49678335064939</v>
      </c>
      <c r="M154" s="112">
        <f t="shared" si="46"/>
        <v>0</v>
      </c>
    </row>
    <row r="155" spans="5:13" ht="15">
      <c r="E155" s="105" t="s">
        <v>16</v>
      </c>
      <c r="F155" s="112">
        <f t="shared" si="46"/>
        <v>-4.850318231910421E-5</v>
      </c>
      <c r="G155" s="112">
        <f t="shared" si="46"/>
        <v>0</v>
      </c>
      <c r="H155" s="112">
        <f t="shared" si="46"/>
        <v>0</v>
      </c>
      <c r="I155" s="112">
        <f t="shared" si="46"/>
        <v>0</v>
      </c>
      <c r="J155" s="112">
        <f t="shared" si="46"/>
        <v>0</v>
      </c>
      <c r="K155" s="112">
        <f t="shared" si="46"/>
        <v>0</v>
      </c>
      <c r="L155" s="112">
        <f t="shared" si="46"/>
        <v>0</v>
      </c>
      <c r="M155" s="112">
        <f t="shared" si="46"/>
        <v>26586.632602285928</v>
      </c>
    </row>
    <row r="157" spans="5:13">
      <c r="F157" s="111">
        <v>19.041699999999999</v>
      </c>
      <c r="G157" s="111">
        <v>2.2549200000000001E-5</v>
      </c>
      <c r="H157" s="111">
        <v>0</v>
      </c>
      <c r="I157" s="111">
        <v>0</v>
      </c>
      <c r="J157" s="111">
        <v>0</v>
      </c>
      <c r="K157" s="111">
        <v>0</v>
      </c>
      <c r="L157" s="111">
        <v>0</v>
      </c>
      <c r="M157" s="111">
        <v>0</v>
      </c>
    </row>
    <row r="158" spans="5:13">
      <c r="F158" s="111">
        <v>24.962</v>
      </c>
      <c r="G158" s="111">
        <v>-251.72</v>
      </c>
      <c r="H158" s="111">
        <v>-1.09955E-2</v>
      </c>
      <c r="I158" s="111">
        <v>-2.1534899999999999E-5</v>
      </c>
      <c r="J158" s="111">
        <v>1.61689E-2</v>
      </c>
      <c r="K158" s="111">
        <v>6.1950700000000004E-4</v>
      </c>
      <c r="L158" s="111">
        <v>0</v>
      </c>
      <c r="M158" s="111">
        <v>3688.33</v>
      </c>
    </row>
    <row r="159" spans="5:13">
      <c r="F159" s="111">
        <v>-11.8711</v>
      </c>
      <c r="G159" s="111">
        <v>85.872799999999998</v>
      </c>
      <c r="H159" s="111">
        <v>-1970.43</v>
      </c>
      <c r="I159" s="111">
        <v>3.9496399999999997E-6</v>
      </c>
      <c r="J159" s="111">
        <v>6.0970000000000003E-2</v>
      </c>
      <c r="K159" s="111">
        <v>-2.5001899999999998E-4</v>
      </c>
      <c r="L159" s="111">
        <v>0</v>
      </c>
      <c r="M159" s="111">
        <v>3050.9</v>
      </c>
    </row>
    <row r="160" spans="5:13">
      <c r="F160" s="111">
        <v>-3.5169199999999998</v>
      </c>
      <c r="G160" s="111">
        <v>33.8018</v>
      </c>
      <c r="H160" s="111">
        <v>-358.62599999999998</v>
      </c>
      <c r="I160" s="111">
        <v>115.36</v>
      </c>
      <c r="J160" s="111">
        <v>1.0582100000000001E-2</v>
      </c>
      <c r="K160" s="111">
        <v>-8.3410600000000004E-5</v>
      </c>
      <c r="L160" s="111">
        <v>0</v>
      </c>
      <c r="M160" s="111">
        <v>454.5</v>
      </c>
    </row>
    <row r="161" spans="6:14">
      <c r="F161" s="111">
        <v>3.9410799999999999</v>
      </c>
      <c r="G161" s="111">
        <v>4.3316699999999999</v>
      </c>
      <c r="H161" s="111">
        <v>1664.49</v>
      </c>
      <c r="I161" s="111">
        <v>-15.448399999999999</v>
      </c>
      <c r="J161" s="111">
        <v>-2083.58</v>
      </c>
      <c r="K161" s="111">
        <v>-44.242699999999999</v>
      </c>
      <c r="L161" s="111">
        <v>0</v>
      </c>
      <c r="M161" s="111">
        <v>552.69299999999998</v>
      </c>
    </row>
    <row r="162" spans="6:14">
      <c r="F162" s="111">
        <v>-10.004</v>
      </c>
      <c r="G162" s="111">
        <v>-79.530600000000007</v>
      </c>
      <c r="H162" s="111">
        <v>-154.422</v>
      </c>
      <c r="I162" s="111">
        <v>-41.378900000000002</v>
      </c>
      <c r="J162" s="111">
        <v>4.1160399999999996E-3</v>
      </c>
      <c r="K162" s="111">
        <v>205.91499999999999</v>
      </c>
      <c r="L162" s="111">
        <v>0</v>
      </c>
      <c r="M162" s="111">
        <v>131.53100000000001</v>
      </c>
    </row>
    <row r="163" spans="6:14">
      <c r="F163" s="111">
        <v>1.4061799999999999E-2</v>
      </c>
      <c r="G163" s="111">
        <v>-0.53769800000000001</v>
      </c>
      <c r="H163" s="111">
        <v>-2.1592699999999998E-6</v>
      </c>
      <c r="I163" s="111">
        <v>6.1375100000000002E-9</v>
      </c>
      <c r="J163" s="111">
        <v>2.9341800000000001E-6</v>
      </c>
      <c r="K163" s="111">
        <v>5.2346400000000001E-7</v>
      </c>
      <c r="L163" s="111">
        <v>138.97</v>
      </c>
      <c r="M163" s="111">
        <v>0.52695999999999998</v>
      </c>
    </row>
    <row r="164" spans="6:14">
      <c r="F164" s="111">
        <v>-4.85031E-5</v>
      </c>
      <c r="G164" s="111">
        <v>-4.2641600000000002E-5</v>
      </c>
      <c r="H164" s="111">
        <v>-5.6115499999999999E-2</v>
      </c>
      <c r="I164" s="111">
        <v>9.4520999999999998E-5</v>
      </c>
      <c r="J164" s="111">
        <v>8.9983599999999997E-2</v>
      </c>
      <c r="K164" s="111">
        <v>4.8910200000000005E-4</v>
      </c>
      <c r="L164" s="111">
        <v>0</v>
      </c>
      <c r="M164" s="111">
        <v>26586.6</v>
      </c>
    </row>
    <row r="165" spans="6:14">
      <c r="F165" s="111"/>
    </row>
    <row r="166" spans="6:14">
      <c r="F166" s="111">
        <f>(F148-F157)/F157</f>
        <v>4.2157721070559923E-7</v>
      </c>
      <c r="G166" s="111">
        <f t="shared" ref="G166:M166" si="47">(G148-G157)/G157</f>
        <v>-1</v>
      </c>
      <c r="H166" s="111" t="e">
        <f t="shared" si="47"/>
        <v>#DIV/0!</v>
      </c>
      <c r="I166" s="111" t="e">
        <f t="shared" si="47"/>
        <v>#DIV/0!</v>
      </c>
      <c r="J166" s="111" t="e">
        <f t="shared" si="47"/>
        <v>#DIV/0!</v>
      </c>
      <c r="K166" s="111" t="e">
        <f t="shared" si="47"/>
        <v>#DIV/0!</v>
      </c>
      <c r="L166" s="111" t="e">
        <f t="shared" si="47"/>
        <v>#DIV/0!</v>
      </c>
      <c r="M166" s="111" t="e">
        <f t="shared" si="47"/>
        <v>#DIV/0!</v>
      </c>
    </row>
    <row r="167" spans="6:14">
      <c r="F167" s="111">
        <f t="shared" ref="F167:M173" si="48">(F149-F158)/F158</f>
        <v>1.6911952625650114E-6</v>
      </c>
      <c r="G167" s="111">
        <f t="shared" si="48"/>
        <v>-3.9538590677198292E-6</v>
      </c>
      <c r="H167" s="111">
        <f t="shared" si="48"/>
        <v>-1</v>
      </c>
      <c r="I167" s="111">
        <f t="shared" si="48"/>
        <v>-1</v>
      </c>
      <c r="J167" s="111">
        <f t="shared" si="48"/>
        <v>-1</v>
      </c>
      <c r="K167" s="111">
        <f t="shared" si="48"/>
        <v>-1</v>
      </c>
      <c r="L167" s="111" t="e">
        <f t="shared" si="48"/>
        <v>#DIV/0!</v>
      </c>
      <c r="M167" s="111">
        <f t="shared" si="48"/>
        <v>2.4517586855143636E-6</v>
      </c>
    </row>
    <row r="168" spans="6:14">
      <c r="F168" s="111">
        <f t="shared" si="48"/>
        <v>-1.7796499641545685E-7</v>
      </c>
      <c r="G168" s="111">
        <f t="shared" si="48"/>
        <v>-3.7263305344899745E-6</v>
      </c>
      <c r="H168" s="111">
        <f t="shared" si="48"/>
        <v>-2.7085464641313112E-5</v>
      </c>
      <c r="I168" s="111">
        <f t="shared" si="48"/>
        <v>-1</v>
      </c>
      <c r="J168" s="111">
        <f t="shared" si="48"/>
        <v>-1</v>
      </c>
      <c r="K168" s="111">
        <f t="shared" si="48"/>
        <v>-1</v>
      </c>
      <c r="L168" s="111" t="e">
        <f t="shared" si="48"/>
        <v>#DIV/0!</v>
      </c>
      <c r="M168" s="111">
        <f t="shared" si="48"/>
        <v>1.3345015057072149E-6</v>
      </c>
    </row>
    <row r="169" spans="6:14">
      <c r="F169" s="111">
        <f t="shared" si="48"/>
        <v>7.6693088628104483E-7</v>
      </c>
      <c r="G169" s="111">
        <f t="shared" si="48"/>
        <v>-3.4741791030802841E-6</v>
      </c>
      <c r="H169" s="111">
        <f t="shared" si="48"/>
        <v>-2.8111009845136197E-5</v>
      </c>
      <c r="I169" s="111">
        <f t="shared" si="48"/>
        <v>-6.1139266676975701E-6</v>
      </c>
      <c r="J169" s="111">
        <f t="shared" si="48"/>
        <v>-1</v>
      </c>
      <c r="K169" s="111">
        <f t="shared" si="48"/>
        <v>-1</v>
      </c>
      <c r="L169" s="111" t="e">
        <f t="shared" si="48"/>
        <v>#DIV/0!</v>
      </c>
      <c r="M169" s="111">
        <f t="shared" si="48"/>
        <v>1.974689430391205E-6</v>
      </c>
    </row>
    <row r="170" spans="6:14">
      <c r="F170" s="111">
        <f t="shared" si="48"/>
        <v>1.2535366173607286E-6</v>
      </c>
      <c r="G170" s="111">
        <f t="shared" si="48"/>
        <v>-4.1488500739311059E-6</v>
      </c>
      <c r="H170" s="111">
        <f t="shared" si="48"/>
        <v>-3.0535658251911229E-5</v>
      </c>
      <c r="I170" s="111">
        <f t="shared" si="48"/>
        <v>-5.8286508609441705E-6</v>
      </c>
      <c r="J170" s="111">
        <f t="shared" si="48"/>
        <v>-2.1523425714831124E-5</v>
      </c>
      <c r="K170" s="111">
        <f t="shared" si="48"/>
        <v>-3.3926564579319514E-6</v>
      </c>
      <c r="L170" s="111" t="e">
        <f t="shared" si="48"/>
        <v>#DIV/0!</v>
      </c>
      <c r="M170" s="111">
        <f t="shared" si="48"/>
        <v>2.0019653894525068E-6</v>
      </c>
    </row>
    <row r="171" spans="6:14">
      <c r="F171" s="111">
        <f t="shared" si="48"/>
        <v>-2.4879496973424627E-6</v>
      </c>
      <c r="G171" s="111">
        <f t="shared" si="48"/>
        <v>-3.5794545984451184E-6</v>
      </c>
      <c r="H171" s="111">
        <f t="shared" si="48"/>
        <v>-2.921385910174683E-5</v>
      </c>
      <c r="I171" s="111">
        <f t="shared" si="48"/>
        <v>-1.8544329291416397E-6</v>
      </c>
      <c r="J171" s="111">
        <f t="shared" si="48"/>
        <v>-1</v>
      </c>
      <c r="K171" s="111">
        <f t="shared" si="48"/>
        <v>-6.967064207210038E-6</v>
      </c>
      <c r="L171" s="111" t="e">
        <f t="shared" si="48"/>
        <v>#DIV/0!</v>
      </c>
      <c r="M171" s="111">
        <f t="shared" si="48"/>
        <v>1.4091459673467717E-6</v>
      </c>
    </row>
    <row r="172" spans="6:14">
      <c r="F172" s="111">
        <f t="shared" si="48"/>
        <v>1.0315009580896585E-6</v>
      </c>
      <c r="G172" s="111">
        <f t="shared" si="48"/>
        <v>-4.6359427748158226E-6</v>
      </c>
      <c r="H172" s="111">
        <f t="shared" si="48"/>
        <v>-1</v>
      </c>
      <c r="I172" s="111">
        <f t="shared" si="48"/>
        <v>-1</v>
      </c>
      <c r="J172" s="111">
        <f t="shared" si="48"/>
        <v>-1</v>
      </c>
      <c r="K172" s="111">
        <f t="shared" si="48"/>
        <v>-1</v>
      </c>
      <c r="L172" s="111">
        <f t="shared" si="48"/>
        <v>3.7906263988587161E-3</v>
      </c>
      <c r="M172" s="111">
        <f t="shared" si="48"/>
        <v>-1</v>
      </c>
    </row>
    <row r="173" spans="6:14">
      <c r="F173" s="111">
        <f t="shared" si="48"/>
        <v>1.6971926373902271E-6</v>
      </c>
      <c r="G173" s="111">
        <f t="shared" si="48"/>
        <v>-1</v>
      </c>
      <c r="H173" s="111">
        <f t="shared" si="48"/>
        <v>-1</v>
      </c>
      <c r="I173" s="111">
        <f t="shared" si="48"/>
        <v>-1</v>
      </c>
      <c r="J173" s="111">
        <f t="shared" si="48"/>
        <v>-1</v>
      </c>
      <c r="K173" s="111">
        <f t="shared" si="48"/>
        <v>-1</v>
      </c>
      <c r="L173" s="111" t="e">
        <f t="shared" si="48"/>
        <v>#DIV/0!</v>
      </c>
      <c r="M173" s="111">
        <f t="shared" si="48"/>
        <v>1.2262675908125648E-6</v>
      </c>
    </row>
    <row r="175" spans="6:14">
      <c r="N175" s="111" t="s">
        <v>188</v>
      </c>
    </row>
    <row r="177" spans="1:18">
      <c r="A177" s="111"/>
      <c r="B177" s="111"/>
      <c r="C177" s="111"/>
      <c r="D177" s="111"/>
      <c r="P177" s="111"/>
      <c r="Q177" s="111"/>
      <c r="R177" s="111"/>
    </row>
    <row r="178" spans="1:18">
      <c r="A178" s="111"/>
      <c r="B178" s="111"/>
      <c r="C178" s="111"/>
      <c r="D178" s="111"/>
      <c r="P178" s="111"/>
      <c r="Q178" s="111"/>
      <c r="R178" s="111"/>
    </row>
    <row r="179" spans="1:18">
      <c r="A179" s="111"/>
      <c r="B179" s="111"/>
      <c r="C179" s="111"/>
      <c r="D179" s="111"/>
      <c r="P179" s="111"/>
      <c r="Q179" s="111"/>
      <c r="R179" s="111"/>
    </row>
    <row r="180" spans="1:18">
      <c r="A180" s="111"/>
      <c r="B180" s="111"/>
      <c r="C180" s="111"/>
      <c r="D180" s="111"/>
      <c r="P180" s="111"/>
      <c r="Q180" s="111"/>
      <c r="R180" s="111"/>
    </row>
    <row r="181" spans="1:18">
      <c r="A181" s="111"/>
      <c r="B181" s="111"/>
      <c r="C181" s="111"/>
      <c r="D181" s="111"/>
      <c r="P181" s="111"/>
      <c r="Q181" s="111"/>
      <c r="R181" s="111"/>
    </row>
    <row r="182" spans="1:18">
      <c r="A182" s="111"/>
      <c r="B182" s="111"/>
      <c r="C182" s="111"/>
      <c r="D182" s="111"/>
      <c r="P182" s="111"/>
      <c r="Q182" s="111"/>
      <c r="R182" s="111"/>
    </row>
    <row r="183" spans="1:18">
      <c r="A183" s="111"/>
      <c r="B183" s="111"/>
      <c r="C183" s="111"/>
      <c r="D183" s="111"/>
      <c r="P183" s="111"/>
      <c r="Q183" s="111"/>
      <c r="R183" s="111"/>
    </row>
    <row r="184" spans="1:18">
      <c r="A184" s="111"/>
      <c r="B184" s="111"/>
      <c r="C184" s="111"/>
      <c r="D184" s="111"/>
      <c r="P184" s="111"/>
      <c r="Q184" s="111"/>
      <c r="R184" s="111"/>
    </row>
  </sheetData>
  <conditionalFormatting sqref="F45:M52">
    <cfRule type="cellIs" dxfId="10" priority="13" operator="notBetween">
      <formula>-1E-20</formula>
      <formula>1E-20</formula>
    </cfRule>
  </conditionalFormatting>
  <conditionalFormatting sqref="F73:M73">
    <cfRule type="cellIs" dxfId="9" priority="12" operator="notBetween">
      <formula>-0.0001</formula>
      <formula>0.0001</formula>
    </cfRule>
  </conditionalFormatting>
  <conditionalFormatting sqref="F115:M122">
    <cfRule type="cellIs" dxfId="8" priority="4" operator="notBetween">
      <formula>-1E-20</formula>
      <formula>1E-20</formula>
    </cfRule>
  </conditionalFormatting>
  <conditionalFormatting sqref="F55:M62">
    <cfRule type="cellIs" dxfId="7" priority="10" operator="notBetween">
      <formula>-1E-20</formula>
      <formula>1E-20</formula>
    </cfRule>
  </conditionalFormatting>
  <conditionalFormatting sqref="F65:M72">
    <cfRule type="cellIs" dxfId="6" priority="9" operator="notBetween">
      <formula>-1E-20</formula>
      <formula>1E-20</formula>
    </cfRule>
  </conditionalFormatting>
  <conditionalFormatting sqref="F75:M82">
    <cfRule type="cellIs" dxfId="5" priority="8" operator="notBetween">
      <formula>-1E-20</formula>
      <formula>1E-20</formula>
    </cfRule>
  </conditionalFormatting>
  <conditionalFormatting sqref="F85:M92">
    <cfRule type="cellIs" dxfId="4" priority="7" operator="notBetween">
      <formula>-1E-20</formula>
      <formula>1E-20</formula>
    </cfRule>
  </conditionalFormatting>
  <conditionalFormatting sqref="F95:M102">
    <cfRule type="cellIs" dxfId="3" priority="6" operator="notBetween">
      <formula>-1E-20</formula>
      <formula>1E-20</formula>
    </cfRule>
  </conditionalFormatting>
  <conditionalFormatting sqref="F105:M112">
    <cfRule type="cellIs" dxfId="2" priority="5" operator="notBetween">
      <formula>-1E-20</formula>
      <formula>1E-20</formula>
    </cfRule>
  </conditionalFormatting>
  <conditionalFormatting sqref="F126:M133">
    <cfRule type="cellIs" dxfId="1" priority="3" operator="notBetween">
      <formula>-0.1</formula>
      <formula>0.1</formula>
    </cfRule>
  </conditionalFormatting>
  <conditionalFormatting sqref="F148:M155">
    <cfRule type="cellIs" dxfId="0" priority="2" operator="notBetween">
      <formula>-1E-20</formula>
      <formula>1E-20</formula>
    </cfRule>
  </conditionalFormatting>
  <pageMargins left="0" right="0" top="0.39370078740157505" bottom="0.39370078740157505" header="0" footer="0"/>
  <pageSetup paperSize="9" fitToWidth="0" fitToHeight="0" orientation="portrait" r:id="rId1"/>
  <headerFooter>
    <oddHeader>&amp;C&amp;A</oddHeader>
    <oddFooter>&amp;CPage &amp;P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3"/>
  <dimension ref="A1"/>
  <sheetViews>
    <sheetView topLeftCell="A4" workbookViewId="0">
      <selection activeCell="M20" sqref="M20"/>
    </sheetView>
  </sheetViews>
  <sheetFormatPr baseColWidth="10" defaultRowHeight="14.25"/>
  <cols>
    <col min="1" max="1" width="10.625" customWidth="1"/>
    <col min="2" max="2" width="11" customWidth="1"/>
  </cols>
  <sheetData/>
  <pageMargins left="0" right="0" top="0.39370078740157505" bottom="0.39370078740157505" header="0" footer="0"/>
  <headerFooter>
    <oddHeader>&amp;C&amp;A</oddHeader>
    <oddFooter>&amp;CPage &amp;P</oddFooter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4"/>
  <dimension ref="A1"/>
  <sheetViews>
    <sheetView zoomScale="85" zoomScaleNormal="85" workbookViewId="0">
      <selection activeCell="N25" sqref="N25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5"/>
  <dimension ref="A1"/>
  <sheetViews>
    <sheetView topLeftCell="A4" workbookViewId="0">
      <selection activeCell="N17" sqref="N17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6"/>
  <dimension ref="A1"/>
  <sheetViews>
    <sheetView topLeftCell="A4" workbookViewId="0">
      <selection activeCell="N18" sqref="N1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"/>
  <sheetViews>
    <sheetView topLeftCell="A2" workbookViewId="0">
      <selection activeCell="J32" sqref="J32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8"/>
  <dimension ref="A1"/>
  <sheetViews>
    <sheetView zoomScale="85" zoomScaleNormal="85" workbookViewId="0">
      <selection activeCell="N19" sqref="N19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A1"/>
  <sheetViews>
    <sheetView topLeftCell="A4" workbookViewId="0">
      <selection activeCell="N23" sqref="N23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0"/>
  <dimension ref="A1"/>
  <sheetViews>
    <sheetView topLeftCell="A4" workbookViewId="0">
      <selection activeCell="O18" sqref="O18"/>
    </sheetView>
  </sheetViews>
  <sheetFormatPr baseColWidth="10" defaultRowHeight="14.25"/>
  <cols>
    <col min="1" max="1" width="11" customWidth="1"/>
  </cols>
  <sheetData/>
  <pageMargins left="0.70000000000000007" right="0.70000000000000007" top="0.75" bottom="0.75" header="0.30000000000000004" footer="0.30000000000000004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3</TotalTime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11</vt:i4>
      </vt:variant>
      <vt:variant>
        <vt:lpstr>Graphiques</vt:lpstr>
      </vt:variant>
      <vt:variant>
        <vt:i4>3</vt:i4>
      </vt:variant>
    </vt:vector>
  </HeadingPairs>
  <TitlesOfParts>
    <vt:vector size="14" baseType="lpstr">
      <vt:lpstr>Données</vt:lpstr>
      <vt:lpstr>mod.RK1</vt:lpstr>
      <vt:lpstr>mod.math.</vt:lpstr>
      <vt:lpstr>Pu238</vt:lpstr>
      <vt:lpstr>Pu239</vt:lpstr>
      <vt:lpstr>Pu240</vt:lpstr>
      <vt:lpstr>Pu241</vt:lpstr>
      <vt:lpstr>Pu242</vt:lpstr>
      <vt:lpstr>Am241</vt:lpstr>
      <vt:lpstr>U235</vt:lpstr>
      <vt:lpstr>U238</vt:lpstr>
      <vt:lpstr>M.Pu</vt:lpstr>
      <vt:lpstr>V.Pu</vt:lpstr>
      <vt:lpstr>V.Pu Mod.Math.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JACQUET Philippe</dc:creator>
  <cp:lastModifiedBy>imed Limaiem</cp:lastModifiedBy>
  <cp:revision>1</cp:revision>
  <dcterms:created xsi:type="dcterms:W3CDTF">2014-07-10T09:50:10Z</dcterms:created>
  <dcterms:modified xsi:type="dcterms:W3CDTF">2014-08-25T13:47:03Z</dcterms:modified>
</cp:coreProperties>
</file>