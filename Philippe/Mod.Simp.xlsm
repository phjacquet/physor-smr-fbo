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15090" windowHeight="6630" tabRatio="872" activeTab="6"/>
  </bookViews>
  <sheets>
    <sheet name="Données" sheetId="1" r:id="rId1"/>
    <sheet name="mod.RK1" sheetId="2" r:id="rId2"/>
    <sheet name="mod.simp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simp." sheetId="15" r:id="rId14"/>
  </sheets>
  <externalReferences>
    <externalReference r:id="rId15"/>
  </externalReferences>
  <calcPr calcId="145621" iterate="1"/>
</workbook>
</file>

<file path=xl/calcChain.xml><?xml version="1.0" encoding="utf-8"?>
<calcChain xmlns="http://schemas.openxmlformats.org/spreadsheetml/2006/main">
  <c r="T2" i="14" l="1"/>
  <c r="F29" i="14" l="1" a="1"/>
  <c r="I29" i="14" s="1"/>
  <c r="F28" i="14"/>
  <c r="L36" i="14" l="1"/>
  <c r="H36" i="14"/>
  <c r="H35" i="14"/>
  <c r="L34" i="14"/>
  <c r="H34" i="14"/>
  <c r="L33" i="14"/>
  <c r="H33" i="14"/>
  <c r="L32" i="14"/>
  <c r="L31" i="14"/>
  <c r="L30" i="14"/>
  <c r="H30" i="14"/>
  <c r="L29" i="14"/>
  <c r="H29" i="14"/>
  <c r="K36" i="14"/>
  <c r="G36" i="14"/>
  <c r="K35" i="14"/>
  <c r="G35" i="14"/>
  <c r="G34" i="14"/>
  <c r="G33" i="14"/>
  <c r="K32" i="14"/>
  <c r="G32" i="14"/>
  <c r="K31" i="14"/>
  <c r="K30" i="14"/>
  <c r="K29" i="14"/>
  <c r="G29" i="14"/>
  <c r="J36" i="14"/>
  <c r="F36" i="14"/>
  <c r="J35" i="14"/>
  <c r="F35" i="14"/>
  <c r="J34" i="14"/>
  <c r="F34" i="14"/>
  <c r="F33" i="14"/>
  <c r="J32" i="14"/>
  <c r="F32" i="14"/>
  <c r="J31" i="14"/>
  <c r="F31" i="14"/>
  <c r="J30" i="14"/>
  <c r="J29" i="14"/>
  <c r="I36" i="14"/>
  <c r="M35" i="14"/>
  <c r="I35" i="14"/>
  <c r="M34" i="14"/>
  <c r="I34" i="14"/>
  <c r="M33" i="14"/>
  <c r="M32" i="14"/>
  <c r="M31" i="14"/>
  <c r="I31" i="14"/>
  <c r="I30" i="14"/>
  <c r="M29" i="14"/>
  <c r="D5" i="14"/>
  <c r="S2" i="14" s="1"/>
  <c r="R2" i="14" s="1"/>
  <c r="S135" i="14" l="1"/>
  <c r="R135" i="14" s="1"/>
  <c r="S131" i="14"/>
  <c r="R131" i="14" s="1"/>
  <c r="S127" i="14"/>
  <c r="R127" i="14" s="1"/>
  <c r="S123" i="14"/>
  <c r="R123" i="14" s="1"/>
  <c r="S134" i="14"/>
  <c r="R134" i="14" s="1"/>
  <c r="S130" i="14"/>
  <c r="R130" i="14" s="1"/>
  <c r="S126" i="14"/>
  <c r="R126" i="14" s="1"/>
  <c r="S122" i="14"/>
  <c r="R122" i="14" s="1"/>
  <c r="S133" i="14"/>
  <c r="R133" i="14" s="1"/>
  <c r="S125" i="14"/>
  <c r="R125" i="14" s="1"/>
  <c r="S118" i="14"/>
  <c r="R118" i="14" s="1"/>
  <c r="S114" i="14"/>
  <c r="R114" i="14" s="1"/>
  <c r="S136" i="14"/>
  <c r="R136" i="14" s="1"/>
  <c r="S128" i="14"/>
  <c r="R128" i="14" s="1"/>
  <c r="S117" i="14"/>
  <c r="R117" i="14" s="1"/>
  <c r="S113" i="14"/>
  <c r="R113" i="14" s="1"/>
  <c r="S129" i="14"/>
  <c r="R129" i="14" s="1"/>
  <c r="S120" i="14"/>
  <c r="R120" i="14" s="1"/>
  <c r="S112" i="14"/>
  <c r="R112" i="14" s="1"/>
  <c r="S111" i="14"/>
  <c r="R111" i="14" s="1"/>
  <c r="S107" i="14"/>
  <c r="R107" i="14" s="1"/>
  <c r="S103" i="14"/>
  <c r="R103" i="14" s="1"/>
  <c r="S99" i="14"/>
  <c r="R99" i="14" s="1"/>
  <c r="S132" i="14"/>
  <c r="R132" i="14" s="1"/>
  <c r="S115" i="14"/>
  <c r="R115" i="14" s="1"/>
  <c r="S110" i="14"/>
  <c r="R110" i="14" s="1"/>
  <c r="S106" i="14"/>
  <c r="R106" i="14" s="1"/>
  <c r="S102" i="14"/>
  <c r="R102" i="14" s="1"/>
  <c r="S98" i="14"/>
  <c r="R98" i="14" s="1"/>
  <c r="S94" i="14"/>
  <c r="R94" i="14" s="1"/>
  <c r="S90" i="14"/>
  <c r="R90" i="14" s="1"/>
  <c r="S121" i="14"/>
  <c r="R121" i="14" s="1"/>
  <c r="S105" i="14"/>
  <c r="R105" i="14" s="1"/>
  <c r="S89" i="14"/>
  <c r="R89" i="14" s="1"/>
  <c r="S88" i="14"/>
  <c r="R88" i="14" s="1"/>
  <c r="S84" i="14"/>
  <c r="R84" i="14" s="1"/>
  <c r="S80" i="14"/>
  <c r="R80" i="14" s="1"/>
  <c r="S76" i="14"/>
  <c r="R76" i="14" s="1"/>
  <c r="S124" i="14"/>
  <c r="R124" i="14" s="1"/>
  <c r="S108" i="14"/>
  <c r="R108" i="14" s="1"/>
  <c r="S100" i="14"/>
  <c r="R100" i="14" s="1"/>
  <c r="S93" i="14"/>
  <c r="R93" i="14" s="1"/>
  <c r="S92" i="14"/>
  <c r="R92" i="14" s="1"/>
  <c r="S91" i="14"/>
  <c r="R91" i="14" s="1"/>
  <c r="S87" i="14"/>
  <c r="R87" i="14" s="1"/>
  <c r="S83" i="14"/>
  <c r="R83" i="14" s="1"/>
  <c r="S79" i="14"/>
  <c r="R79" i="14" s="1"/>
  <c r="S75" i="14"/>
  <c r="R75" i="14" s="1"/>
  <c r="S71" i="14"/>
  <c r="R71" i="14" s="1"/>
  <c r="S67" i="14"/>
  <c r="R67" i="14" s="1"/>
  <c r="S116" i="14"/>
  <c r="R116" i="14" s="1"/>
  <c r="S101" i="14"/>
  <c r="R101" i="14" s="1"/>
  <c r="S82" i="14"/>
  <c r="R82" i="14" s="1"/>
  <c r="S62" i="14"/>
  <c r="R62" i="14" s="1"/>
  <c r="S58" i="14"/>
  <c r="R58" i="14" s="1"/>
  <c r="S54" i="14"/>
  <c r="R54" i="14" s="1"/>
  <c r="S50" i="14"/>
  <c r="R50" i="14" s="1"/>
  <c r="S46" i="14"/>
  <c r="R46" i="14" s="1"/>
  <c r="S42" i="14"/>
  <c r="R42" i="14" s="1"/>
  <c r="S38" i="14"/>
  <c r="R38" i="14" s="1"/>
  <c r="S119" i="14"/>
  <c r="R119" i="14" s="1"/>
  <c r="S104" i="14"/>
  <c r="R104" i="14" s="1"/>
  <c r="S85" i="14"/>
  <c r="R85" i="14" s="1"/>
  <c r="S77" i="14"/>
  <c r="R77" i="14" s="1"/>
  <c r="S66" i="14"/>
  <c r="R66" i="14" s="1"/>
  <c r="S65" i="14"/>
  <c r="R65" i="14" s="1"/>
  <c r="S61" i="14"/>
  <c r="R61" i="14" s="1"/>
  <c r="S57" i="14"/>
  <c r="R57" i="14" s="1"/>
  <c r="S53" i="14"/>
  <c r="R53" i="14" s="1"/>
  <c r="S49" i="14"/>
  <c r="R49" i="14" s="1"/>
  <c r="S45" i="14"/>
  <c r="R45" i="14" s="1"/>
  <c r="S41" i="14"/>
  <c r="R41" i="14" s="1"/>
  <c r="S37" i="14"/>
  <c r="R37" i="14" s="1"/>
  <c r="S33" i="14"/>
  <c r="R33" i="14" s="1"/>
  <c r="S29" i="14"/>
  <c r="R29" i="14" s="1"/>
  <c r="S25" i="14"/>
  <c r="R25" i="14" s="1"/>
  <c r="S109" i="14"/>
  <c r="R109" i="14" s="1"/>
  <c r="S86" i="14"/>
  <c r="R86" i="14" s="1"/>
  <c r="S70" i="14"/>
  <c r="R70" i="14" s="1"/>
  <c r="S69" i="14"/>
  <c r="R69" i="14" s="1"/>
  <c r="S68" i="14"/>
  <c r="R68" i="14" s="1"/>
  <c r="S60" i="14"/>
  <c r="R60" i="14" s="1"/>
  <c r="S52" i="14"/>
  <c r="R52" i="14" s="1"/>
  <c r="S44" i="14"/>
  <c r="R44" i="14" s="1"/>
  <c r="S36" i="14"/>
  <c r="R36" i="14" s="1"/>
  <c r="S24" i="14"/>
  <c r="R24" i="14" s="1"/>
  <c r="S21" i="14"/>
  <c r="R21" i="14" s="1"/>
  <c r="S17" i="14"/>
  <c r="R17" i="14" s="1"/>
  <c r="S13" i="14"/>
  <c r="R13" i="14" s="1"/>
  <c r="S9" i="14"/>
  <c r="R9" i="14" s="1"/>
  <c r="S7" i="14"/>
  <c r="R7" i="14" s="1"/>
  <c r="S5" i="14"/>
  <c r="R5" i="14" s="1"/>
  <c r="S40" i="14"/>
  <c r="R40" i="14" s="1"/>
  <c r="S74" i="14"/>
  <c r="R74" i="14" s="1"/>
  <c r="S73" i="14"/>
  <c r="R73" i="14" s="1"/>
  <c r="S72" i="14"/>
  <c r="R72" i="14" s="1"/>
  <c r="S63" i="14"/>
  <c r="R63" i="14" s="1"/>
  <c r="S55" i="14"/>
  <c r="R55" i="14" s="1"/>
  <c r="S47" i="14"/>
  <c r="R47" i="14" s="1"/>
  <c r="S39" i="14"/>
  <c r="R39" i="14" s="1"/>
  <c r="S28" i="14"/>
  <c r="R28" i="14" s="1"/>
  <c r="S27" i="14"/>
  <c r="R27" i="14" s="1"/>
  <c r="S26" i="14"/>
  <c r="R26" i="14" s="1"/>
  <c r="S20" i="14"/>
  <c r="R20" i="14" s="1"/>
  <c r="S16" i="14"/>
  <c r="R16" i="14" s="1"/>
  <c r="S12" i="14"/>
  <c r="R12" i="14" s="1"/>
  <c r="S3" i="14"/>
  <c r="R3" i="14" s="1"/>
  <c r="S97" i="14"/>
  <c r="R97" i="14" s="1"/>
  <c r="S96" i="14"/>
  <c r="R96" i="14" s="1"/>
  <c r="S95" i="14"/>
  <c r="R95" i="14" s="1"/>
  <c r="S78" i="14"/>
  <c r="R78" i="14" s="1"/>
  <c r="S64" i="14"/>
  <c r="R64" i="14" s="1"/>
  <c r="S56" i="14"/>
  <c r="R56" i="14" s="1"/>
  <c r="S48" i="14"/>
  <c r="R48" i="14" s="1"/>
  <c r="S8" i="14"/>
  <c r="R8" i="14" s="1"/>
  <c r="S11" i="14"/>
  <c r="R11" i="14" s="1"/>
  <c r="S19" i="14"/>
  <c r="R19" i="14" s="1"/>
  <c r="S4" i="14"/>
  <c r="R4" i="14" s="1"/>
  <c r="S10" i="14"/>
  <c r="R10" i="14" s="1"/>
  <c r="S18" i="14"/>
  <c r="R18" i="14" s="1"/>
  <c r="S43" i="14"/>
  <c r="R43" i="14" s="1"/>
  <c r="S15" i="14"/>
  <c r="R15" i="14" s="1"/>
  <c r="S23" i="14"/>
  <c r="R23" i="14" s="1"/>
  <c r="S30" i="14"/>
  <c r="R30" i="14" s="1"/>
  <c r="S31" i="14"/>
  <c r="R31" i="14" s="1"/>
  <c r="S32" i="14"/>
  <c r="R32" i="14" s="1"/>
  <c r="S51" i="14"/>
  <c r="R51" i="14" s="1"/>
  <c r="S81" i="14"/>
  <c r="R81" i="14" s="1"/>
  <c r="S6" i="14"/>
  <c r="R6" i="14" s="1"/>
  <c r="S14" i="14"/>
  <c r="R14" i="14" s="1"/>
  <c r="S22" i="14"/>
  <c r="R22" i="14" s="1"/>
  <c r="S34" i="14"/>
  <c r="R34" i="14" s="1"/>
  <c r="S35" i="14"/>
  <c r="R35" i="14" s="1"/>
  <c r="S59" i="14"/>
  <c r="R59" i="14" s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2" i="14" s="1"/>
  <c r="B9" i="2" l="1"/>
  <c r="Y2" i="2" s="1"/>
  <c r="B9" i="14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6" i="14"/>
  <c r="B8" i="2"/>
  <c r="W2" i="2" s="1"/>
  <c r="B8" i="14"/>
  <c r="B3" i="2"/>
  <c r="K2" i="2" s="1"/>
  <c r="B3" i="14"/>
  <c r="B4" i="2"/>
  <c r="M2" i="2" s="1"/>
  <c r="B4" i="14"/>
  <c r="B5" i="2"/>
  <c r="O2" i="2" s="1"/>
  <c r="B5" i="14"/>
  <c r="B7" i="2"/>
  <c r="S2" i="2" s="1"/>
  <c r="B7" i="14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J9" i="14" s="1"/>
  <c r="C47" i="1"/>
  <c r="F47" i="1" s="1"/>
  <c r="I7" i="14" s="1"/>
  <c r="C46" i="1"/>
  <c r="F46" i="1" s="1"/>
  <c r="C45" i="1"/>
  <c r="F45" i="1" s="1"/>
  <c r="G8" i="14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14" s="1"/>
  <c r="F3" i="14" s="1"/>
  <c r="F30" i="14" s="1"/>
  <c r="U2" i="2"/>
  <c r="F2" i="14" l="1"/>
  <c r="F29" i="14" s="1"/>
  <c r="K6" i="14"/>
  <c r="K33" i="14" s="1"/>
  <c r="L8" i="14"/>
  <c r="G4" i="14"/>
  <c r="G31" i="14" s="1"/>
  <c r="M3" i="14"/>
  <c r="M30" i="14" s="1"/>
  <c r="J6" i="14"/>
  <c r="G3" i="14"/>
  <c r="I5" i="14"/>
  <c r="M9" i="14"/>
  <c r="M36" i="14" s="1"/>
  <c r="H4" i="14"/>
  <c r="K7" i="14"/>
  <c r="I6" i="14"/>
  <c r="I33" i="14" s="1"/>
  <c r="H5" i="14"/>
  <c r="H32" i="14" s="1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I24" i="14" l="1"/>
  <c r="I32" i="14"/>
  <c r="K24" i="14"/>
  <c r="K34" i="14"/>
  <c r="G24" i="14"/>
  <c r="G30" i="14"/>
  <c r="L24" i="14"/>
  <c r="L35" i="14"/>
  <c r="H24" i="14"/>
  <c r="H31" i="14"/>
  <c r="J24" i="14"/>
  <c r="J33" i="14"/>
  <c r="M24" i="14"/>
  <c r="F14" i="14" a="1"/>
  <c r="F24" i="14"/>
  <c r="J2" i="2"/>
  <c r="I3" i="2" s="1"/>
  <c r="J3" i="2" s="1"/>
  <c r="Z2" i="2"/>
  <c r="Y3" i="2" s="1"/>
  <c r="Q3" i="2"/>
  <c r="X2" i="2"/>
  <c r="W3" i="2" s="1"/>
  <c r="L2" i="2"/>
  <c r="K3" i="2" s="1"/>
  <c r="T2" i="2"/>
  <c r="S3" i="2" s="1"/>
  <c r="N2" i="2"/>
  <c r="M3" i="2" s="1"/>
  <c r="P2" i="2"/>
  <c r="O3" i="2" s="1"/>
  <c r="C43" i="14" a="1"/>
  <c r="C46" i="14" l="1"/>
  <c r="C51" i="14"/>
  <c r="C49" i="14"/>
  <c r="C45" i="14"/>
  <c r="C50" i="14"/>
  <c r="C44" i="14"/>
  <c r="C43" i="14"/>
  <c r="C48" i="14"/>
  <c r="C47" i="14"/>
  <c r="F42" i="14"/>
  <c r="H42" i="14"/>
  <c r="M42" i="14"/>
  <c r="K42" i="14"/>
  <c r="I42" i="14"/>
  <c r="G42" i="14"/>
  <c r="L42" i="14"/>
  <c r="J42" i="14"/>
  <c r="F14" i="14"/>
  <c r="M14" i="14"/>
  <c r="M15" i="14"/>
  <c r="M17" i="14"/>
  <c r="M19" i="14"/>
  <c r="M21" i="14"/>
  <c r="H14" i="14"/>
  <c r="H15" i="14"/>
  <c r="I16" i="14"/>
  <c r="I18" i="14"/>
  <c r="I20" i="14"/>
  <c r="I14" i="14"/>
  <c r="I15" i="14"/>
  <c r="M16" i="14"/>
  <c r="M18" i="14"/>
  <c r="M20" i="14"/>
  <c r="L14" i="14"/>
  <c r="L15" i="14"/>
  <c r="I17" i="14"/>
  <c r="I19" i="14"/>
  <c r="I21" i="14"/>
  <c r="L21" i="14"/>
  <c r="L19" i="14"/>
  <c r="L17" i="14"/>
  <c r="K21" i="14"/>
  <c r="K19" i="14"/>
  <c r="K17" i="14"/>
  <c r="K15" i="14"/>
  <c r="J21" i="14"/>
  <c r="J19" i="14"/>
  <c r="J17" i="14"/>
  <c r="J15" i="14"/>
  <c r="L18" i="14"/>
  <c r="L16" i="14"/>
  <c r="K18" i="14"/>
  <c r="K14" i="14"/>
  <c r="J18" i="14"/>
  <c r="J14" i="14"/>
  <c r="H18" i="14"/>
  <c r="G18" i="14"/>
  <c r="G14" i="14"/>
  <c r="F18" i="14"/>
  <c r="H21" i="14"/>
  <c r="H19" i="14"/>
  <c r="H17" i="14"/>
  <c r="G21" i="14"/>
  <c r="G19" i="14"/>
  <c r="G17" i="14"/>
  <c r="G15" i="14"/>
  <c r="F21" i="14"/>
  <c r="F19" i="14"/>
  <c r="F17" i="14"/>
  <c r="F15" i="14"/>
  <c r="L20" i="14"/>
  <c r="K20" i="14"/>
  <c r="K16" i="14"/>
  <c r="J20" i="14"/>
  <c r="J16" i="14"/>
  <c r="H20" i="14"/>
  <c r="H16" i="14"/>
  <c r="G20" i="14"/>
  <c r="G16" i="14"/>
  <c r="F20" i="14"/>
  <c r="F16" i="14"/>
  <c r="R3" i="2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F95" i="14" a="1"/>
  <c r="F85" i="14" a="1"/>
  <c r="D44" i="14" a="1"/>
  <c r="F45" i="14" a="1"/>
  <c r="F65" i="14" a="1"/>
  <c r="F55" i="14" a="1"/>
  <c r="F115" i="14" a="1"/>
  <c r="F105" i="14" a="1"/>
  <c r="F75" i="14" a="1"/>
  <c r="F75" i="14" l="1"/>
  <c r="F77" i="14"/>
  <c r="F79" i="14"/>
  <c r="F81" i="14"/>
  <c r="G75" i="14"/>
  <c r="G77" i="14"/>
  <c r="G79" i="14"/>
  <c r="G81" i="14"/>
  <c r="H75" i="14"/>
  <c r="H77" i="14"/>
  <c r="H79" i="14"/>
  <c r="H81" i="14"/>
  <c r="I75" i="14"/>
  <c r="I77" i="14"/>
  <c r="I79" i="14"/>
  <c r="I81" i="14"/>
  <c r="F76" i="14"/>
  <c r="F78" i="14"/>
  <c r="F80" i="14"/>
  <c r="F82" i="14"/>
  <c r="G76" i="14"/>
  <c r="G78" i="14"/>
  <c r="G80" i="14"/>
  <c r="G82" i="14"/>
  <c r="H76" i="14"/>
  <c r="H78" i="14"/>
  <c r="H80" i="14"/>
  <c r="H82" i="14"/>
  <c r="I76" i="14"/>
  <c r="I78" i="14"/>
  <c r="I80" i="14"/>
  <c r="I82" i="14"/>
  <c r="J75" i="14"/>
  <c r="J79" i="14"/>
  <c r="K75" i="14"/>
  <c r="K79" i="14"/>
  <c r="L75" i="14"/>
  <c r="L79" i="14"/>
  <c r="M75" i="14"/>
  <c r="M79" i="14"/>
  <c r="J78" i="14"/>
  <c r="J82" i="14"/>
  <c r="K78" i="14"/>
  <c r="K82" i="14"/>
  <c r="L78" i="14"/>
  <c r="L82" i="14"/>
  <c r="M78" i="14"/>
  <c r="M82" i="14"/>
  <c r="J76" i="14"/>
  <c r="K76" i="14"/>
  <c r="L76" i="14"/>
  <c r="M76" i="14"/>
  <c r="J80" i="14"/>
  <c r="K80" i="14"/>
  <c r="L80" i="14"/>
  <c r="M80" i="14"/>
  <c r="J81" i="14"/>
  <c r="K81" i="14"/>
  <c r="L81" i="14"/>
  <c r="M81" i="14"/>
  <c r="J77" i="14"/>
  <c r="L77" i="14"/>
  <c r="M77" i="14"/>
  <c r="K77" i="14"/>
  <c r="F105" i="14"/>
  <c r="F107" i="14"/>
  <c r="F109" i="14"/>
  <c r="F111" i="14"/>
  <c r="G105" i="14"/>
  <c r="G107" i="14"/>
  <c r="G109" i="14"/>
  <c r="G111" i="14"/>
  <c r="H105" i="14"/>
  <c r="H107" i="14"/>
  <c r="H109" i="14"/>
  <c r="H111" i="14"/>
  <c r="I105" i="14"/>
  <c r="I107" i="14"/>
  <c r="I109" i="14"/>
  <c r="I111" i="14"/>
  <c r="F106" i="14"/>
  <c r="F108" i="14"/>
  <c r="F110" i="14"/>
  <c r="F112" i="14"/>
  <c r="G106" i="14"/>
  <c r="G108" i="14"/>
  <c r="G110" i="14"/>
  <c r="G112" i="14"/>
  <c r="H106" i="14"/>
  <c r="H108" i="14"/>
  <c r="H110" i="14"/>
  <c r="H112" i="14"/>
  <c r="I106" i="14"/>
  <c r="I108" i="14"/>
  <c r="I110" i="14"/>
  <c r="I112" i="14"/>
  <c r="J105" i="14"/>
  <c r="J109" i="14"/>
  <c r="K105" i="14"/>
  <c r="K109" i="14"/>
  <c r="L105" i="14"/>
  <c r="L109" i="14"/>
  <c r="M105" i="14"/>
  <c r="M109" i="14"/>
  <c r="J108" i="14"/>
  <c r="J112" i="14"/>
  <c r="K108" i="14"/>
  <c r="K112" i="14"/>
  <c r="L108" i="14"/>
  <c r="L112" i="14"/>
  <c r="M108" i="14"/>
  <c r="M112" i="14"/>
  <c r="J106" i="14"/>
  <c r="K106" i="14"/>
  <c r="L106" i="14"/>
  <c r="M106" i="14"/>
  <c r="J110" i="14"/>
  <c r="K110" i="14"/>
  <c r="L110" i="14"/>
  <c r="M110" i="14"/>
  <c r="J111" i="14"/>
  <c r="K111" i="14"/>
  <c r="L111" i="14"/>
  <c r="M111" i="14"/>
  <c r="J107" i="14"/>
  <c r="L107" i="14"/>
  <c r="M107" i="14"/>
  <c r="K107" i="14"/>
  <c r="F115" i="14"/>
  <c r="F117" i="14"/>
  <c r="F119" i="14"/>
  <c r="F121" i="14"/>
  <c r="G115" i="14"/>
  <c r="G117" i="14"/>
  <c r="G119" i="14"/>
  <c r="G121" i="14"/>
  <c r="H115" i="14"/>
  <c r="H117" i="14"/>
  <c r="H119" i="14"/>
  <c r="H121" i="14"/>
  <c r="I115" i="14"/>
  <c r="I117" i="14"/>
  <c r="I119" i="14"/>
  <c r="I121" i="14"/>
  <c r="F116" i="14"/>
  <c r="F118" i="14"/>
  <c r="F120" i="14"/>
  <c r="F122" i="14"/>
  <c r="G116" i="14"/>
  <c r="G118" i="14"/>
  <c r="G120" i="14"/>
  <c r="G122" i="14"/>
  <c r="H116" i="14"/>
  <c r="H118" i="14"/>
  <c r="H120" i="14"/>
  <c r="H122" i="14"/>
  <c r="I116" i="14"/>
  <c r="I118" i="14"/>
  <c r="I120" i="14"/>
  <c r="I122" i="14"/>
  <c r="J115" i="14"/>
  <c r="J119" i="14"/>
  <c r="K115" i="14"/>
  <c r="K119" i="14"/>
  <c r="L115" i="14"/>
  <c r="L119" i="14"/>
  <c r="M115" i="14"/>
  <c r="M119" i="14"/>
  <c r="J118" i="14"/>
  <c r="J122" i="14"/>
  <c r="K118" i="14"/>
  <c r="K122" i="14"/>
  <c r="L118" i="14"/>
  <c r="L122" i="14"/>
  <c r="M118" i="14"/>
  <c r="M122" i="14"/>
  <c r="J116" i="14"/>
  <c r="K116" i="14"/>
  <c r="L116" i="14"/>
  <c r="M116" i="14"/>
  <c r="J120" i="14"/>
  <c r="K120" i="14"/>
  <c r="L120" i="14"/>
  <c r="M120" i="14"/>
  <c r="J121" i="14"/>
  <c r="K121" i="14"/>
  <c r="L121" i="14"/>
  <c r="M121" i="14"/>
  <c r="J117" i="14"/>
  <c r="M117" i="14"/>
  <c r="K117" i="14"/>
  <c r="L117" i="14"/>
  <c r="I56" i="14"/>
  <c r="I58" i="14"/>
  <c r="I60" i="14"/>
  <c r="I62" i="14"/>
  <c r="F56" i="14"/>
  <c r="F58" i="14"/>
  <c r="F60" i="14"/>
  <c r="F62" i="14"/>
  <c r="G56" i="14"/>
  <c r="G58" i="14"/>
  <c r="G60" i="14"/>
  <c r="G62" i="14"/>
  <c r="H56" i="14"/>
  <c r="H58" i="14"/>
  <c r="H60" i="14"/>
  <c r="H62" i="14"/>
  <c r="I57" i="14"/>
  <c r="M59" i="14"/>
  <c r="M62" i="14"/>
  <c r="F57" i="14"/>
  <c r="J59" i="14"/>
  <c r="J62" i="14"/>
  <c r="G57" i="14"/>
  <c r="K59" i="14"/>
  <c r="K62" i="14"/>
  <c r="H57" i="14"/>
  <c r="L59" i="14"/>
  <c r="L62" i="14"/>
  <c r="M55" i="14"/>
  <c r="M58" i="14"/>
  <c r="I61" i="14"/>
  <c r="J55" i="14"/>
  <c r="J58" i="14"/>
  <c r="F61" i="14"/>
  <c r="K55" i="14"/>
  <c r="K58" i="14"/>
  <c r="G61" i="14"/>
  <c r="L55" i="14"/>
  <c r="L58" i="14"/>
  <c r="H61" i="14"/>
  <c r="M56" i="14"/>
  <c r="I55" i="14"/>
  <c r="M61" i="14"/>
  <c r="F59" i="14"/>
  <c r="K56" i="14"/>
  <c r="K61" i="14"/>
  <c r="H59" i="14"/>
  <c r="J56" i="14"/>
  <c r="J61" i="14"/>
  <c r="L56" i="14"/>
  <c r="M60" i="14"/>
  <c r="J57" i="14"/>
  <c r="G55" i="14"/>
  <c r="K60" i="14"/>
  <c r="L57" i="14"/>
  <c r="M57" i="14"/>
  <c r="F55" i="14"/>
  <c r="J60" i="14"/>
  <c r="K57" i="14"/>
  <c r="H55" i="14"/>
  <c r="L60" i="14"/>
  <c r="I59" i="14"/>
  <c r="G59" i="14"/>
  <c r="L61" i="14"/>
  <c r="I65" i="14"/>
  <c r="I67" i="14"/>
  <c r="I69" i="14"/>
  <c r="I71" i="14"/>
  <c r="F65" i="14"/>
  <c r="M66" i="14"/>
  <c r="M69" i="14"/>
  <c r="I72" i="14"/>
  <c r="J66" i="14"/>
  <c r="J68" i="14"/>
  <c r="J70" i="14"/>
  <c r="J72" i="14"/>
  <c r="K66" i="14"/>
  <c r="K68" i="14"/>
  <c r="K70" i="14"/>
  <c r="K72" i="14"/>
  <c r="L66" i="14"/>
  <c r="L68" i="14"/>
  <c r="L70" i="14"/>
  <c r="I66" i="14"/>
  <c r="M68" i="14"/>
  <c r="M71" i="14"/>
  <c r="F66" i="14"/>
  <c r="F68" i="14"/>
  <c r="F70" i="14"/>
  <c r="F72" i="14"/>
  <c r="G66" i="14"/>
  <c r="G68" i="14"/>
  <c r="G70" i="14"/>
  <c r="G72" i="14"/>
  <c r="H66" i="14"/>
  <c r="H68" i="14"/>
  <c r="H70" i="14"/>
  <c r="H72" i="14"/>
  <c r="M67" i="14"/>
  <c r="M72" i="14"/>
  <c r="F69" i="14"/>
  <c r="G65" i="14"/>
  <c r="G69" i="14"/>
  <c r="H65" i="14"/>
  <c r="H69" i="14"/>
  <c r="L72" i="14"/>
  <c r="I70" i="14"/>
  <c r="F67" i="14"/>
  <c r="F71" i="14"/>
  <c r="G67" i="14"/>
  <c r="G71" i="14"/>
  <c r="H67" i="14"/>
  <c r="H71" i="14"/>
  <c r="M65" i="14"/>
  <c r="M70" i="14"/>
  <c r="J67" i="14"/>
  <c r="J71" i="14"/>
  <c r="K67" i="14"/>
  <c r="K71" i="14"/>
  <c r="L67" i="14"/>
  <c r="L71" i="14"/>
  <c r="K65" i="14"/>
  <c r="J65" i="14"/>
  <c r="L65" i="14"/>
  <c r="J69" i="14"/>
  <c r="L69" i="14"/>
  <c r="I68" i="14"/>
  <c r="K69" i="14"/>
  <c r="I46" i="14"/>
  <c r="I48" i="14"/>
  <c r="I50" i="14"/>
  <c r="I52" i="14"/>
  <c r="F46" i="14"/>
  <c r="F48" i="14"/>
  <c r="F50" i="14"/>
  <c r="F52" i="14"/>
  <c r="G46" i="14"/>
  <c r="G48" i="14"/>
  <c r="G50" i="14"/>
  <c r="G52" i="14"/>
  <c r="H46" i="14"/>
  <c r="I47" i="14"/>
  <c r="M49" i="14"/>
  <c r="M52" i="14"/>
  <c r="F47" i="14"/>
  <c r="J49" i="14"/>
  <c r="J52" i="14"/>
  <c r="G47" i="14"/>
  <c r="K49" i="14"/>
  <c r="K52" i="14"/>
  <c r="H47" i="14"/>
  <c r="H49" i="14"/>
  <c r="H51" i="14"/>
  <c r="M45" i="14"/>
  <c r="M48" i="14"/>
  <c r="I51" i="14"/>
  <c r="J45" i="14"/>
  <c r="J48" i="14"/>
  <c r="F51" i="14"/>
  <c r="K45" i="14"/>
  <c r="K48" i="14"/>
  <c r="G51" i="14"/>
  <c r="L45" i="14"/>
  <c r="H48" i="14"/>
  <c r="H50" i="14"/>
  <c r="H52" i="14"/>
  <c r="M46" i="14"/>
  <c r="M51" i="14"/>
  <c r="F49" i="14"/>
  <c r="K46" i="14"/>
  <c r="K51" i="14"/>
  <c r="L48" i="14"/>
  <c r="L52" i="14"/>
  <c r="I49" i="14"/>
  <c r="J51" i="14"/>
  <c r="L46" i="14"/>
  <c r="I45" i="14"/>
  <c r="M50" i="14"/>
  <c r="J47" i="14"/>
  <c r="G45" i="14"/>
  <c r="K50" i="14"/>
  <c r="L47" i="14"/>
  <c r="L51" i="14"/>
  <c r="M47" i="14"/>
  <c r="F45" i="14"/>
  <c r="J50" i="14"/>
  <c r="K47" i="14"/>
  <c r="H45" i="14"/>
  <c r="L49" i="14"/>
  <c r="J46" i="14"/>
  <c r="G49" i="14"/>
  <c r="L50" i="14"/>
  <c r="E45" i="14"/>
  <c r="E49" i="14"/>
  <c r="E47" i="14"/>
  <c r="D48" i="14"/>
  <c r="D44" i="14"/>
  <c r="E48" i="14"/>
  <c r="D46" i="14"/>
  <c r="D49" i="14"/>
  <c r="E44" i="14"/>
  <c r="D50" i="14"/>
  <c r="E46" i="14"/>
  <c r="E51" i="14"/>
  <c r="D45" i="14"/>
  <c r="D51" i="14"/>
  <c r="D47" i="14"/>
  <c r="E50" i="14"/>
  <c r="I85" i="14"/>
  <c r="I87" i="14"/>
  <c r="I89" i="14"/>
  <c r="I91" i="14"/>
  <c r="F85" i="14"/>
  <c r="F87" i="14"/>
  <c r="F89" i="14"/>
  <c r="F91" i="14"/>
  <c r="G85" i="14"/>
  <c r="G87" i="14"/>
  <c r="G89" i="14"/>
  <c r="G91" i="14"/>
  <c r="H85" i="14"/>
  <c r="H87" i="14"/>
  <c r="H89" i="14"/>
  <c r="H91" i="14"/>
  <c r="I86" i="14"/>
  <c r="I88" i="14"/>
  <c r="I90" i="14"/>
  <c r="I92" i="14"/>
  <c r="F86" i="14"/>
  <c r="F88" i="14"/>
  <c r="F90" i="14"/>
  <c r="F92" i="14"/>
  <c r="G86" i="14"/>
  <c r="G88" i="14"/>
  <c r="G90" i="14"/>
  <c r="G92" i="14"/>
  <c r="H86" i="14"/>
  <c r="H88" i="14"/>
  <c r="H90" i="14"/>
  <c r="H92" i="14"/>
  <c r="M85" i="14"/>
  <c r="M89" i="14"/>
  <c r="J85" i="14"/>
  <c r="J89" i="14"/>
  <c r="K85" i="14"/>
  <c r="K89" i="14"/>
  <c r="L85" i="14"/>
  <c r="L89" i="14"/>
  <c r="M88" i="14"/>
  <c r="M92" i="14"/>
  <c r="J88" i="14"/>
  <c r="J92" i="14"/>
  <c r="K88" i="14"/>
  <c r="K92" i="14"/>
  <c r="L88" i="14"/>
  <c r="L92" i="14"/>
  <c r="M86" i="14"/>
  <c r="J86" i="14"/>
  <c r="K86" i="14"/>
  <c r="L86" i="14"/>
  <c r="M90" i="14"/>
  <c r="J90" i="14"/>
  <c r="K90" i="14"/>
  <c r="L90" i="14"/>
  <c r="M91" i="14"/>
  <c r="J91" i="14"/>
  <c r="K91" i="14"/>
  <c r="L91" i="14"/>
  <c r="M87" i="14"/>
  <c r="K87" i="14"/>
  <c r="L87" i="14"/>
  <c r="J87" i="14"/>
  <c r="I95" i="14"/>
  <c r="I97" i="14"/>
  <c r="I99" i="14"/>
  <c r="I101" i="14"/>
  <c r="F95" i="14"/>
  <c r="F97" i="14"/>
  <c r="F99" i="14"/>
  <c r="F101" i="14"/>
  <c r="G95" i="14"/>
  <c r="G97" i="14"/>
  <c r="G99" i="14"/>
  <c r="G101" i="14"/>
  <c r="H95" i="14"/>
  <c r="H97" i="14"/>
  <c r="H99" i="14"/>
  <c r="H101" i="14"/>
  <c r="I96" i="14"/>
  <c r="I98" i="14"/>
  <c r="I100" i="14"/>
  <c r="I102" i="14"/>
  <c r="F96" i="14"/>
  <c r="F98" i="14"/>
  <c r="F100" i="14"/>
  <c r="F102" i="14"/>
  <c r="G96" i="14"/>
  <c r="G98" i="14"/>
  <c r="M95" i="14"/>
  <c r="M99" i="14"/>
  <c r="J95" i="14"/>
  <c r="J99" i="14"/>
  <c r="K95" i="14"/>
  <c r="K99" i="14"/>
  <c r="G102" i="14"/>
  <c r="L96" i="14"/>
  <c r="L99" i="14"/>
  <c r="H102" i="14"/>
  <c r="M98" i="14"/>
  <c r="M102" i="14"/>
  <c r="J98" i="14"/>
  <c r="J102" i="14"/>
  <c r="K98" i="14"/>
  <c r="K101" i="14"/>
  <c r="H96" i="14"/>
  <c r="L98" i="14"/>
  <c r="L101" i="14"/>
  <c r="M96" i="14"/>
  <c r="J96" i="14"/>
  <c r="K96" i="14"/>
  <c r="K102" i="14"/>
  <c r="H100" i="14"/>
  <c r="M100" i="14"/>
  <c r="J100" i="14"/>
  <c r="G100" i="14"/>
  <c r="L97" i="14"/>
  <c r="L102" i="14"/>
  <c r="M101" i="14"/>
  <c r="J101" i="14"/>
  <c r="K100" i="14"/>
  <c r="H98" i="14"/>
  <c r="M97" i="14"/>
  <c r="L100" i="14"/>
  <c r="K97" i="14"/>
  <c r="L95" i="14"/>
  <c r="J97" i="14"/>
  <c r="R4" i="2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K129" i="14" l="1"/>
  <c r="K128" i="14"/>
  <c r="J128" i="14"/>
  <c r="F129" i="14"/>
  <c r="H133" i="14"/>
  <c r="K133" i="14"/>
  <c r="K132" i="14"/>
  <c r="J133" i="14"/>
  <c r="J132" i="14"/>
  <c r="F133" i="14"/>
  <c r="H128" i="14"/>
  <c r="H129" i="14"/>
  <c r="G130" i="14"/>
  <c r="G128" i="14"/>
  <c r="G133" i="14"/>
  <c r="M133" i="14"/>
  <c r="M132" i="14"/>
  <c r="L133" i="14"/>
  <c r="L132" i="14"/>
  <c r="I133" i="14"/>
  <c r="I132" i="14"/>
  <c r="K131" i="14"/>
  <c r="K130" i="14"/>
  <c r="J131" i="14"/>
  <c r="J130" i="14"/>
  <c r="F132" i="14"/>
  <c r="F131" i="14"/>
  <c r="H127" i="14"/>
  <c r="G131" i="14"/>
  <c r="M131" i="14"/>
  <c r="M130" i="14"/>
  <c r="L131" i="14"/>
  <c r="L130" i="14"/>
  <c r="I131" i="14"/>
  <c r="I130" i="14"/>
  <c r="J129" i="14"/>
  <c r="G132" i="14"/>
  <c r="G129" i="14"/>
  <c r="M129" i="14"/>
  <c r="M128" i="14"/>
  <c r="L129" i="14"/>
  <c r="L128" i="14"/>
  <c r="I129" i="14"/>
  <c r="I128" i="14"/>
  <c r="K127" i="14"/>
  <c r="K126" i="14"/>
  <c r="J127" i="14"/>
  <c r="J126" i="14"/>
  <c r="F126" i="14"/>
  <c r="F130" i="14"/>
  <c r="F128" i="14"/>
  <c r="F127" i="14"/>
  <c r="H132" i="14"/>
  <c r="H130" i="14"/>
  <c r="H131" i="14"/>
  <c r="H126" i="14"/>
  <c r="G126" i="14"/>
  <c r="G127" i="14"/>
  <c r="M127" i="14"/>
  <c r="M126" i="14"/>
  <c r="L127" i="14"/>
  <c r="L126" i="14"/>
  <c r="I127" i="14"/>
  <c r="I126" i="14"/>
  <c r="R5" i="2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G138" i="14" l="1"/>
  <c r="H141" i="14"/>
  <c r="L139" i="14"/>
  <c r="G140" i="14"/>
  <c r="I142" i="14"/>
  <c r="F143" i="14"/>
  <c r="L144" i="14"/>
  <c r="L137" i="14"/>
  <c r="I137" i="14"/>
  <c r="M137" i="14"/>
  <c r="H137" i="14"/>
  <c r="J137" i="14"/>
  <c r="L142" i="14"/>
  <c r="J142" i="14"/>
  <c r="F141" i="14"/>
  <c r="K137" i="14"/>
  <c r="M142" i="14"/>
  <c r="K142" i="14"/>
  <c r="G139" i="14"/>
  <c r="F144" i="14"/>
  <c r="G137" i="14"/>
  <c r="G142" i="14"/>
  <c r="F138" i="14"/>
  <c r="I139" i="14"/>
  <c r="M139" i="14"/>
  <c r="J140" i="14"/>
  <c r="H138" i="14"/>
  <c r="I144" i="14"/>
  <c r="M144" i="14"/>
  <c r="H140" i="14"/>
  <c r="J144" i="14"/>
  <c r="F140" i="14"/>
  <c r="I138" i="14"/>
  <c r="M138" i="14"/>
  <c r="H142" i="14"/>
  <c r="F139" i="14"/>
  <c r="J138" i="14"/>
  <c r="I140" i="14"/>
  <c r="M140" i="14"/>
  <c r="I141" i="14"/>
  <c r="M141" i="14"/>
  <c r="F142" i="14"/>
  <c r="K141" i="14"/>
  <c r="L143" i="14"/>
  <c r="G144" i="14"/>
  <c r="H139" i="14"/>
  <c r="K143" i="14"/>
  <c r="J139" i="14"/>
  <c r="K144" i="14"/>
  <c r="K139" i="14"/>
  <c r="L138" i="14"/>
  <c r="H143" i="14"/>
  <c r="F137" i="14"/>
  <c r="K138" i="14"/>
  <c r="L140" i="14"/>
  <c r="G143" i="14"/>
  <c r="L141" i="14"/>
  <c r="J141" i="14"/>
  <c r="I143" i="14"/>
  <c r="M143" i="14"/>
  <c r="G141" i="14"/>
  <c r="J143" i="14"/>
  <c r="H144" i="14"/>
  <c r="K140" i="14"/>
  <c r="R6" i="2"/>
  <c r="Q7" i="2" s="1"/>
  <c r="Z6" i="2"/>
  <c r="Y7" i="2" s="1"/>
  <c r="I7" i="2"/>
  <c r="J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R7" i="2" l="1"/>
  <c r="Q8" i="2" s="1"/>
  <c r="I8" i="2"/>
  <c r="J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R9" i="2" l="1"/>
  <c r="Q10" i="2" s="1"/>
  <c r="I10" i="2"/>
  <c r="J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R11" i="2" l="1"/>
  <c r="Q12" i="2" s="1"/>
  <c r="I12" i="2"/>
  <c r="J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R13" i="2" l="1"/>
  <c r="Q14" i="2" s="1"/>
  <c r="I14" i="2"/>
  <c r="J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R15" i="2" l="1"/>
  <c r="Q16" i="2" s="1"/>
  <c r="I16" i="2"/>
  <c r="J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R16" i="2" l="1"/>
  <c r="Q17" i="2" s="1"/>
  <c r="I17" i="2"/>
  <c r="J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R17" i="2" l="1"/>
  <c r="Q18" i="2" s="1"/>
  <c r="I18" i="2"/>
  <c r="J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R19" i="2" l="1"/>
  <c r="Q20" i="2" s="1"/>
  <c r="I20" i="2"/>
  <c r="J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R21" i="2" l="1"/>
  <c r="I22" i="2"/>
  <c r="J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R23" i="2" l="1"/>
  <c r="Q24" i="2" s="1"/>
  <c r="I24" i="2"/>
  <c r="J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R25" i="2" l="1"/>
  <c r="Q26" i="2" s="1"/>
  <c r="Z25" i="2"/>
  <c r="Y26" i="2" s="1"/>
  <c r="I26" i="2"/>
  <c r="J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R26" i="2" l="1"/>
  <c r="Q27" i="2" s="1"/>
  <c r="I27" i="2"/>
  <c r="J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I28" i="2"/>
  <c r="J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6" i="1"/>
  <c r="H15" i="1"/>
  <c r="H13" i="1"/>
  <c r="H12" i="1"/>
  <c r="H14" i="1"/>
  <c r="H17" i="1"/>
  <c r="H11" i="1"/>
  <c r="R28" i="2" l="1"/>
  <c r="Q29" i="2" s="1"/>
  <c r="I29" i="2"/>
  <c r="J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R29" i="2" l="1"/>
  <c r="Q30" i="2" s="1"/>
  <c r="I30" i="2"/>
  <c r="J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R31" i="2" l="1"/>
  <c r="Q32" i="2" s="1"/>
  <c r="I32" i="2"/>
  <c r="J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R33" i="2" l="1"/>
  <c r="Q34" i="2" s="1"/>
  <c r="I34" i="2"/>
  <c r="J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R34" i="2" l="1"/>
  <c r="Q35" i="2" s="1"/>
  <c r="I35" i="2"/>
  <c r="J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R35" i="2" l="1"/>
  <c r="Q36" i="2" s="1"/>
  <c r="I36" i="2"/>
  <c r="J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R40" i="2" l="1"/>
  <c r="Q41" i="2" s="1"/>
  <c r="I41" i="2"/>
  <c r="J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R41" i="2" l="1"/>
  <c r="Q42" i="2" s="1"/>
  <c r="I42" i="2"/>
  <c r="J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R42" i="2" l="1"/>
  <c r="Q43" i="2" s="1"/>
  <c r="I43" i="2"/>
  <c r="J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R43" i="2" l="1"/>
  <c r="Q44" i="2" s="1"/>
  <c r="I44" i="2"/>
  <c r="J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I45" i="2"/>
  <c r="J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R45" i="2" l="1"/>
  <c r="Q46" i="2" s="1"/>
  <c r="I46" i="2"/>
  <c r="J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R47" i="2" l="1"/>
  <c r="Q48" i="2" s="1"/>
  <c r="I48" i="2"/>
  <c r="J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I50" i="2"/>
  <c r="J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R50" i="2" l="1"/>
  <c r="Q51" i="2" s="1"/>
  <c r="I51" i="2"/>
  <c r="J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R53" i="2" l="1"/>
  <c r="Q54" i="2" s="1"/>
  <c r="I54" i="2"/>
  <c r="J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R55" i="2" l="1"/>
  <c r="Q56" i="2" s="1"/>
  <c r="I56" i="2"/>
  <c r="J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R57" i="2" l="1"/>
  <c r="Q58" i="2" s="1"/>
  <c r="I58" i="2"/>
  <c r="J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R59" i="2" l="1"/>
  <c r="Q60" i="2" s="1"/>
  <c r="I60" i="2"/>
  <c r="J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R65" i="2" l="1"/>
  <c r="Q66" i="2" s="1"/>
  <c r="I66" i="2"/>
  <c r="J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R69" i="2" l="1"/>
  <c r="Q70" i="2" s="1"/>
  <c r="I70" i="2"/>
  <c r="J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R72" i="2" l="1"/>
  <c r="Q73" i="2" s="1"/>
  <c r="I73" i="2"/>
  <c r="J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R75" i="2" l="1"/>
  <c r="Q76" i="2" s="1"/>
  <c r="I76" i="2"/>
  <c r="J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R76" i="2" l="1"/>
  <c r="Q77" i="2" s="1"/>
  <c r="I77" i="2"/>
  <c r="J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R77" i="2" l="1"/>
  <c r="Q78" i="2" s="1"/>
  <c r="I78" i="2"/>
  <c r="J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R78" i="2" l="1"/>
  <c r="Q79" i="2" s="1"/>
  <c r="I79" i="2"/>
  <c r="J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R81" i="2" l="1"/>
  <c r="Q82" i="2" s="1"/>
  <c r="I82" i="2"/>
  <c r="J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R83" i="2" l="1"/>
  <c r="Q84" i="2" s="1"/>
  <c r="I84" i="2"/>
  <c r="J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R84" i="2" l="1"/>
  <c r="Q85" i="2" s="1"/>
  <c r="I85" i="2"/>
  <c r="J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R87" i="2" l="1"/>
  <c r="Q88" i="2" s="1"/>
  <c r="I88" i="2"/>
  <c r="J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R89" i="2" l="1"/>
  <c r="Q90" i="2" s="1"/>
  <c r="I90" i="2"/>
  <c r="J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R90" i="2" l="1"/>
  <c r="Q91" i="2" s="1"/>
  <c r="I91" i="2"/>
  <c r="J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R93" i="2" l="1"/>
  <c r="Q94" i="2" s="1"/>
  <c r="I94" i="2"/>
  <c r="J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I98" i="2"/>
  <c r="J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R99" i="2" l="1"/>
  <c r="Q100" i="2" s="1"/>
  <c r="I100" i="2"/>
  <c r="J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R101" i="2" l="1"/>
  <c r="Q102" i="2" s="1"/>
  <c r="I102" i="2"/>
  <c r="J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R102" i="2" l="1"/>
  <c r="Q103" i="2" s="1"/>
  <c r="I103" i="2"/>
  <c r="J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R104" i="2" l="1"/>
  <c r="Q105" i="2" s="1"/>
  <c r="I105" i="2"/>
  <c r="J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R111" i="2" l="1"/>
  <c r="Q112" i="2" s="1"/>
  <c r="Z111" i="2"/>
  <c r="Y112" i="2" s="1"/>
  <c r="I112" i="2"/>
  <c r="J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R112" i="2" l="1"/>
  <c r="Q113" i="2" s="1"/>
  <c r="I113" i="2"/>
  <c r="J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R114" i="2" l="1"/>
  <c r="Q115" i="2" s="1"/>
  <c r="I115" i="2"/>
  <c r="J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R115" i="2" l="1"/>
  <c r="Q116" i="2" s="1"/>
  <c r="I116" i="2"/>
  <c r="J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R119" i="2" l="1"/>
  <c r="Q120" i="2" s="1"/>
  <c r="I120" i="2"/>
  <c r="J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R121" i="2" l="1"/>
  <c r="Q122" i="2" s="1"/>
  <c r="Z121" i="2"/>
  <c r="Y122" i="2" s="1"/>
  <c r="I122" i="2"/>
  <c r="J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R122" i="2" l="1"/>
  <c r="Q123" i="2" s="1"/>
  <c r="I123" i="2"/>
  <c r="J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R124" i="2" l="1"/>
  <c r="Q125" i="2" s="1"/>
  <c r="I125" i="2"/>
  <c r="J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R128" i="2" l="1"/>
  <c r="Q129" i="2" s="1"/>
  <c r="I129" i="2"/>
  <c r="J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R131" i="2" l="1"/>
  <c r="Q132" i="2" s="1"/>
  <c r="I132" i="2"/>
  <c r="J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R132" i="2" l="1"/>
  <c r="Q133" i="2" s="1"/>
  <c r="I133" i="2"/>
  <c r="J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R135" i="2" l="1"/>
  <c r="Q136" i="2" s="1"/>
  <c r="I136" i="2"/>
  <c r="J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  <c r="O2" i="14" l="1" a="1"/>
  <c r="O8" i="14" l="1"/>
  <c r="O3" i="14"/>
  <c r="O7" i="14"/>
  <c r="O2" i="14"/>
  <c r="O9" i="14"/>
  <c r="O5" i="14"/>
  <c r="O4" i="14"/>
  <c r="O6" i="14"/>
  <c r="O12" i="14" l="1" a="1"/>
  <c r="O17" i="14" s="1"/>
  <c r="O16" i="14" l="1"/>
  <c r="O13" i="14"/>
  <c r="O14" i="14"/>
  <c r="O15" i="14"/>
  <c r="O19" i="14"/>
  <c r="O18" i="14"/>
  <c r="O12" i="14"/>
  <c r="O22" i="14" l="1" a="1"/>
  <c r="O29" i="14" s="1"/>
  <c r="O24" i="14" l="1"/>
  <c r="O25" i="14"/>
  <c r="O23" i="14"/>
  <c r="O26" i="14"/>
  <c r="O22" i="14"/>
  <c r="O28" i="14"/>
  <c r="O27" i="14"/>
  <c r="O32" i="14" a="1"/>
  <c r="O38" i="14" l="1"/>
  <c r="O35" i="14"/>
  <c r="O39" i="14"/>
  <c r="O34" i="14"/>
  <c r="O37" i="14"/>
  <c r="O36" i="14"/>
  <c r="O32" i="14"/>
  <c r="O33" i="14"/>
  <c r="O42" i="14" l="1" a="1"/>
  <c r="O49" i="14" s="1"/>
  <c r="AA52" i="14" s="1"/>
  <c r="AA83" i="14" l="1"/>
  <c r="AA79" i="14"/>
  <c r="AA73" i="14"/>
  <c r="AA45" i="14"/>
  <c r="AA81" i="14"/>
  <c r="AA101" i="14"/>
  <c r="AA57" i="14"/>
  <c r="AA94" i="14"/>
  <c r="AA105" i="14"/>
  <c r="O44" i="14"/>
  <c r="V91" i="14" s="1"/>
  <c r="AA98" i="14"/>
  <c r="AA77" i="14"/>
  <c r="AA37" i="14"/>
  <c r="AA24" i="14"/>
  <c r="AA99" i="14"/>
  <c r="AA2" i="14"/>
  <c r="AA14" i="14"/>
  <c r="AA87" i="14"/>
  <c r="AA42" i="14"/>
  <c r="AA102" i="14"/>
  <c r="AA69" i="14"/>
  <c r="AA7" i="14"/>
  <c r="AA35" i="14"/>
  <c r="AA89" i="14"/>
  <c r="AA119" i="14"/>
  <c r="AA50" i="14"/>
  <c r="AA118" i="14"/>
  <c r="O46" i="14"/>
  <c r="X50" i="14" s="1"/>
  <c r="AA62" i="14"/>
  <c r="AA15" i="14"/>
  <c r="AA56" i="14"/>
  <c r="AA43" i="14"/>
  <c r="AA120" i="14"/>
  <c r="AA80" i="14"/>
  <c r="AA13" i="14"/>
  <c r="AA8" i="14"/>
  <c r="AA96" i="14"/>
  <c r="AA111" i="14"/>
  <c r="AA124" i="14"/>
  <c r="AA132" i="14"/>
  <c r="AA9" i="14"/>
  <c r="AA44" i="14"/>
  <c r="AA47" i="14"/>
  <c r="AA75" i="14"/>
  <c r="AA38" i="14"/>
  <c r="AA127" i="14"/>
  <c r="AA28" i="14"/>
  <c r="AA135" i="14"/>
  <c r="AA64" i="14"/>
  <c r="AA123" i="14"/>
  <c r="AA27" i="14"/>
  <c r="AA136" i="14"/>
  <c r="AA34" i="14"/>
  <c r="AA58" i="14"/>
  <c r="AA110" i="14"/>
  <c r="AA125" i="14"/>
  <c r="AA25" i="14"/>
  <c r="AA53" i="14"/>
  <c r="AA46" i="14"/>
  <c r="AA93" i="14"/>
  <c r="AA60" i="14"/>
  <c r="AA116" i="14"/>
  <c r="AA91" i="14"/>
  <c r="AA12" i="14"/>
  <c r="AA104" i="14"/>
  <c r="AA100" i="14"/>
  <c r="AA109" i="14"/>
  <c r="AA19" i="14"/>
  <c r="AA122" i="14"/>
  <c r="AA26" i="14"/>
  <c r="AA22" i="14"/>
  <c r="AA78" i="14"/>
  <c r="AA4" i="14"/>
  <c r="AA130" i="14"/>
  <c r="AA95" i="14"/>
  <c r="AA68" i="14"/>
  <c r="AA117" i="14"/>
  <c r="AA11" i="14"/>
  <c r="AA107" i="14"/>
  <c r="AA18" i="14"/>
  <c r="AA29" i="14"/>
  <c r="AA61" i="14"/>
  <c r="AA67" i="14"/>
  <c r="AA97" i="14"/>
  <c r="AA16" i="14"/>
  <c r="AA39" i="14"/>
  <c r="AA131" i="14"/>
  <c r="AA49" i="14"/>
  <c r="AA128" i="14"/>
  <c r="AA65" i="14"/>
  <c r="AA103" i="14"/>
  <c r="AA55" i="14"/>
  <c r="AA82" i="14"/>
  <c r="AA72" i="14"/>
  <c r="AA3" i="14"/>
  <c r="AA86" i="14"/>
  <c r="AA10" i="14"/>
  <c r="AA41" i="14"/>
  <c r="AA112" i="14"/>
  <c r="AA32" i="14"/>
  <c r="AA5" i="14"/>
  <c r="AA133" i="14"/>
  <c r="AA71" i="14"/>
  <c r="AA88" i="14"/>
  <c r="O48" i="14"/>
  <c r="Z2" i="14" s="1"/>
  <c r="AA92" i="14"/>
  <c r="AA66" i="14"/>
  <c r="AA6" i="14"/>
  <c r="AA74" i="14"/>
  <c r="AA51" i="14"/>
  <c r="AA84" i="14"/>
  <c r="AA36" i="14"/>
  <c r="AA31" i="14"/>
  <c r="AA76" i="14"/>
  <c r="AA126" i="14"/>
  <c r="AA21" i="14"/>
  <c r="AA33" i="14"/>
  <c r="AA48" i="14"/>
  <c r="AA54" i="14"/>
  <c r="AA108" i="14"/>
  <c r="AA70" i="14"/>
  <c r="AA134" i="14"/>
  <c r="AA113" i="14"/>
  <c r="AA20" i="14"/>
  <c r="AA121" i="14"/>
  <c r="AA114" i="14"/>
  <c r="AA115" i="14"/>
  <c r="AA23" i="14"/>
  <c r="AA129" i="14"/>
  <c r="AA30" i="14"/>
  <c r="AA63" i="14"/>
  <c r="AA90" i="14"/>
  <c r="AA106" i="14"/>
  <c r="AA17" i="14"/>
  <c r="AA40" i="14"/>
  <c r="AA59" i="14"/>
  <c r="AA85" i="14"/>
  <c r="V35" i="14"/>
  <c r="O47" i="14"/>
  <c r="O45" i="14"/>
  <c r="O42" i="14"/>
  <c r="O43" i="14"/>
  <c r="V106" i="14" l="1"/>
  <c r="V89" i="14"/>
  <c r="V18" i="14"/>
  <c r="V94" i="14"/>
  <c r="V9" i="14"/>
  <c r="V49" i="14"/>
  <c r="V34" i="14"/>
  <c r="V44" i="14"/>
  <c r="V25" i="14"/>
  <c r="V76" i="14"/>
  <c r="V97" i="14"/>
  <c r="V3" i="14"/>
  <c r="V127" i="14"/>
  <c r="V10" i="14"/>
  <c r="V5" i="14"/>
  <c r="V119" i="14"/>
  <c r="V75" i="14"/>
  <c r="V71" i="14"/>
  <c r="V54" i="14"/>
  <c r="V56" i="14"/>
  <c r="V12" i="14"/>
  <c r="V86" i="14"/>
  <c r="V83" i="14"/>
  <c r="V46" i="14"/>
  <c r="V116" i="14"/>
  <c r="V81" i="14"/>
  <c r="V104" i="14"/>
  <c r="V126" i="14"/>
  <c r="X122" i="14"/>
  <c r="V110" i="14"/>
  <c r="V67" i="14"/>
  <c r="V82" i="14"/>
  <c r="V69" i="14"/>
  <c r="V14" i="14"/>
  <c r="V28" i="14"/>
  <c r="V36" i="14"/>
  <c r="V4" i="14"/>
  <c r="V124" i="14"/>
  <c r="V132" i="14"/>
  <c r="V21" i="14"/>
  <c r="V108" i="14"/>
  <c r="V15" i="14"/>
  <c r="V120" i="14"/>
  <c r="V40" i="14"/>
  <c r="V23" i="14"/>
  <c r="V122" i="14"/>
  <c r="V121" i="14"/>
  <c r="V27" i="14"/>
  <c r="V57" i="14"/>
  <c r="V92" i="14"/>
  <c r="V7" i="14"/>
  <c r="V134" i="14"/>
  <c r="V61" i="14"/>
  <c r="V77" i="14"/>
  <c r="V95" i="14"/>
  <c r="V20" i="14"/>
  <c r="V72" i="14"/>
  <c r="V96" i="14"/>
  <c r="V125" i="14"/>
  <c r="V30" i="14"/>
  <c r="V53" i="14"/>
  <c r="V68" i="14"/>
  <c r="V2" i="14"/>
  <c r="V42" i="14"/>
  <c r="V32" i="14"/>
  <c r="V8" i="14"/>
  <c r="X2" i="14"/>
  <c r="X44" i="14"/>
  <c r="X46" i="14"/>
  <c r="X77" i="14"/>
  <c r="X95" i="14"/>
  <c r="X14" i="14"/>
  <c r="X54" i="14"/>
  <c r="X5" i="14"/>
  <c r="X24" i="14"/>
  <c r="X70" i="14"/>
  <c r="X103" i="14"/>
  <c r="X117" i="14"/>
  <c r="X80" i="14"/>
  <c r="X59" i="14"/>
  <c r="V131" i="14"/>
  <c r="V64" i="14"/>
  <c r="V26" i="14"/>
  <c r="V37" i="14"/>
  <c r="V78" i="14"/>
  <c r="V43" i="14"/>
  <c r="V128" i="14"/>
  <c r="V73" i="14"/>
  <c r="V102" i="14"/>
  <c r="V98" i="14"/>
  <c r="V13" i="14"/>
  <c r="V39" i="14"/>
  <c r="X12" i="14"/>
  <c r="X119" i="14"/>
  <c r="V45" i="14"/>
  <c r="V99" i="14"/>
  <c r="V66" i="14"/>
  <c r="V59" i="14"/>
  <c r="V6" i="14"/>
  <c r="V16" i="14"/>
  <c r="V63" i="14"/>
  <c r="V136" i="14"/>
  <c r="V115" i="14"/>
  <c r="V117" i="14"/>
  <c r="V47" i="14"/>
  <c r="V129" i="14"/>
  <c r="X13" i="14"/>
  <c r="X23" i="14"/>
  <c r="V90" i="14"/>
  <c r="V33" i="14"/>
  <c r="V123" i="14"/>
  <c r="V112" i="14"/>
  <c r="V62" i="14"/>
  <c r="V24" i="14"/>
  <c r="V107" i="14"/>
  <c r="V100" i="14"/>
  <c r="V17" i="14"/>
  <c r="V48" i="14"/>
  <c r="X83" i="14"/>
  <c r="X113" i="14"/>
  <c r="V52" i="14"/>
  <c r="V87" i="14"/>
  <c r="V109" i="14"/>
  <c r="V105" i="14"/>
  <c r="V55" i="14"/>
  <c r="V70" i="14"/>
  <c r="V101" i="14"/>
  <c r="V88" i="14"/>
  <c r="V60" i="14"/>
  <c r="V58" i="14"/>
  <c r="V19" i="14"/>
  <c r="V114" i="14"/>
  <c r="X29" i="14"/>
  <c r="X116" i="14"/>
  <c r="V11" i="14"/>
  <c r="V79" i="14"/>
  <c r="V31" i="14"/>
  <c r="V118" i="14"/>
  <c r="V113" i="14"/>
  <c r="V84" i="14"/>
  <c r="V29" i="14"/>
  <c r="V74" i="14"/>
  <c r="V41" i="14"/>
  <c r="V65" i="14"/>
  <c r="X89" i="14"/>
  <c r="X97" i="14"/>
  <c r="V93" i="14"/>
  <c r="V38" i="14"/>
  <c r="V103" i="14"/>
  <c r="V133" i="14"/>
  <c r="V85" i="14"/>
  <c r="V50" i="14"/>
  <c r="V135" i="14"/>
  <c r="V80" i="14"/>
  <c r="V22" i="14"/>
  <c r="V111" i="14"/>
  <c r="V130" i="14"/>
  <c r="V51" i="14"/>
  <c r="X66" i="14"/>
  <c r="X3" i="14"/>
  <c r="X6" i="14"/>
  <c r="X108" i="14"/>
  <c r="X69" i="14"/>
  <c r="X127" i="14"/>
  <c r="X52" i="14"/>
  <c r="X92" i="14"/>
  <c r="X120" i="14"/>
  <c r="X63" i="14"/>
  <c r="X87" i="14"/>
  <c r="X9" i="14"/>
  <c r="X133" i="14"/>
  <c r="X109" i="14"/>
  <c r="X4" i="14"/>
  <c r="X86" i="14"/>
  <c r="X31" i="14"/>
  <c r="X124" i="14"/>
  <c r="X128" i="14"/>
  <c r="X27" i="14"/>
  <c r="X33" i="14"/>
  <c r="X99" i="14"/>
  <c r="X135" i="14"/>
  <c r="X107" i="14"/>
  <c r="X85" i="14"/>
  <c r="X105" i="14"/>
  <c r="X98" i="14"/>
  <c r="X111" i="14"/>
  <c r="X16" i="14"/>
  <c r="X7" i="14"/>
  <c r="X49" i="14"/>
  <c r="X81" i="14"/>
  <c r="X20" i="14"/>
  <c r="X75" i="14"/>
  <c r="X68" i="14"/>
  <c r="X35" i="14"/>
  <c r="X36" i="14"/>
  <c r="X19" i="14"/>
  <c r="X39" i="14"/>
  <c r="X102" i="14"/>
  <c r="X38" i="14"/>
  <c r="X93" i="14"/>
  <c r="X115" i="14"/>
  <c r="X131" i="14"/>
  <c r="X136" i="14"/>
  <c r="X121" i="14"/>
  <c r="X114" i="14"/>
  <c r="X40" i="14"/>
  <c r="X8" i="14"/>
  <c r="X78" i="14"/>
  <c r="X118" i="14"/>
  <c r="X30" i="14"/>
  <c r="X129" i="14"/>
  <c r="X26" i="14"/>
  <c r="X10" i="14"/>
  <c r="X51" i="14"/>
  <c r="X43" i="14"/>
  <c r="X132" i="14"/>
  <c r="X17" i="14"/>
  <c r="X94" i="14"/>
  <c r="X73" i="14"/>
  <c r="X37" i="14"/>
  <c r="X42" i="14"/>
  <c r="X130" i="14"/>
  <c r="X34" i="14"/>
  <c r="X57" i="14"/>
  <c r="X110" i="14"/>
  <c r="X58" i="14"/>
  <c r="X91" i="14"/>
  <c r="X18" i="14"/>
  <c r="X104" i="14"/>
  <c r="X123" i="14"/>
  <c r="X74" i="14"/>
  <c r="X65" i="14"/>
  <c r="X25" i="14"/>
  <c r="X125" i="14"/>
  <c r="X106" i="14"/>
  <c r="X48" i="14"/>
  <c r="X84" i="14"/>
  <c r="X60" i="14"/>
  <c r="X72" i="14"/>
  <c r="X96" i="14"/>
  <c r="X47" i="14"/>
  <c r="X11" i="14"/>
  <c r="X56" i="14"/>
  <c r="X82" i="14"/>
  <c r="X28" i="14"/>
  <c r="X21" i="14"/>
  <c r="X126" i="14"/>
  <c r="X90" i="14"/>
  <c r="X67" i="14"/>
  <c r="X15" i="14"/>
  <c r="X32" i="14"/>
  <c r="X76" i="14"/>
  <c r="X55" i="14"/>
  <c r="X22" i="14"/>
  <c r="X62" i="14"/>
  <c r="X64" i="14"/>
  <c r="X134" i="14"/>
  <c r="X61" i="14"/>
  <c r="X112" i="14"/>
  <c r="X79" i="14"/>
  <c r="X100" i="14"/>
  <c r="X71" i="14"/>
  <c r="X53" i="14"/>
  <c r="X88" i="14"/>
  <c r="X41" i="14"/>
  <c r="X45" i="14"/>
  <c r="X101" i="14"/>
  <c r="Y18" i="14"/>
  <c r="Y126" i="14"/>
  <c r="Y6" i="14"/>
  <c r="Y110" i="14"/>
  <c r="Y90" i="14"/>
  <c r="Y98" i="14"/>
  <c r="Y11" i="14"/>
  <c r="Y86" i="14"/>
  <c r="Y27" i="14"/>
  <c r="Y70" i="14"/>
  <c r="Y66" i="14"/>
  <c r="Y10" i="14"/>
  <c r="Y102" i="14"/>
  <c r="Y76" i="14"/>
  <c r="Y14" i="14"/>
  <c r="Y3" i="14"/>
  <c r="Y60" i="14"/>
  <c r="Y94" i="14"/>
  <c r="Y20" i="14"/>
  <c r="Y132" i="14"/>
  <c r="Y120" i="14"/>
  <c r="Y125" i="14"/>
  <c r="Y121" i="14"/>
  <c r="Y107" i="14"/>
  <c r="Y109" i="14"/>
  <c r="Y64" i="14"/>
  <c r="Y101" i="14"/>
  <c r="Y67" i="14"/>
  <c r="Y69" i="14"/>
  <c r="Y30" i="14"/>
  <c r="Y127" i="14"/>
  <c r="Y112" i="14"/>
  <c r="Y88" i="14"/>
  <c r="Y128" i="14"/>
  <c r="Y28" i="14"/>
  <c r="Y16" i="14"/>
  <c r="Y87" i="14"/>
  <c r="Y71" i="14"/>
  <c r="Y52" i="14"/>
  <c r="Y95" i="14"/>
  <c r="Y51" i="14"/>
  <c r="Y89" i="14"/>
  <c r="Y123" i="14"/>
  <c r="Y81" i="14"/>
  <c r="Y96" i="14"/>
  <c r="Y115" i="14"/>
  <c r="Y12" i="14"/>
  <c r="Y124" i="14"/>
  <c r="Y74" i="14"/>
  <c r="Y130" i="14"/>
  <c r="Y106" i="14"/>
  <c r="Y41" i="14"/>
  <c r="Y15" i="14"/>
  <c r="Y113" i="14"/>
  <c r="Y73" i="14"/>
  <c r="Y25" i="14"/>
  <c r="Y36" i="14"/>
  <c r="Y21" i="14"/>
  <c r="Y39" i="14"/>
  <c r="Y5" i="14"/>
  <c r="Y63" i="14"/>
  <c r="Y56" i="14"/>
  <c r="Y61" i="14"/>
  <c r="Y26" i="14"/>
  <c r="Y79" i="14"/>
  <c r="Y17" i="14"/>
  <c r="Y80" i="14"/>
  <c r="Y114" i="14"/>
  <c r="Y129" i="14"/>
  <c r="Y118" i="14"/>
  <c r="Y105" i="14"/>
  <c r="Y92" i="14"/>
  <c r="Y136" i="14"/>
  <c r="Y47" i="14"/>
  <c r="Y8" i="14"/>
  <c r="Y24" i="14"/>
  <c r="Y9" i="14"/>
  <c r="Y40" i="14"/>
  <c r="Y45" i="14"/>
  <c r="Y58" i="14"/>
  <c r="Y108" i="14"/>
  <c r="Y99" i="14"/>
  <c r="Y4" i="14"/>
  <c r="Y53" i="14"/>
  <c r="Y116" i="14"/>
  <c r="Y68" i="14"/>
  <c r="Y29" i="14"/>
  <c r="Y32" i="14"/>
  <c r="Y34" i="14"/>
  <c r="Y91" i="14"/>
  <c r="Y75" i="14"/>
  <c r="Y38" i="14"/>
  <c r="Y46" i="14"/>
  <c r="Y49" i="14"/>
  <c r="Y72" i="14"/>
  <c r="Y55" i="14"/>
  <c r="Y133" i="14"/>
  <c r="Y134" i="14"/>
  <c r="Y77" i="14"/>
  <c r="Y131" i="14"/>
  <c r="Y82" i="14"/>
  <c r="Y44" i="14"/>
  <c r="Y104" i="14"/>
  <c r="Y100" i="14"/>
  <c r="Y57" i="14"/>
  <c r="Y13" i="14"/>
  <c r="Y117" i="14"/>
  <c r="Y65" i="14"/>
  <c r="Y83" i="14"/>
  <c r="Y23" i="14"/>
  <c r="Y33" i="14"/>
  <c r="Y54" i="14"/>
  <c r="Y93" i="14"/>
  <c r="Y135" i="14"/>
  <c r="Y97" i="14"/>
  <c r="Y85" i="14"/>
  <c r="Y62" i="14"/>
  <c r="Y19" i="14"/>
  <c r="Y59" i="14"/>
  <c r="Y50" i="14"/>
  <c r="Y7" i="14"/>
  <c r="Y31" i="14"/>
  <c r="Y48" i="14"/>
  <c r="Y111" i="14"/>
  <c r="Y42" i="14"/>
  <c r="Y119" i="14"/>
  <c r="Y37" i="14"/>
  <c r="Y22" i="14"/>
  <c r="Y84" i="14"/>
  <c r="Y78" i="14"/>
  <c r="Y35" i="14"/>
  <c r="Y122" i="14"/>
  <c r="Y103" i="14"/>
  <c r="Y43" i="14"/>
  <c r="T84" i="14"/>
  <c r="T96" i="14"/>
  <c r="T7" i="14"/>
  <c r="T124" i="14"/>
  <c r="T36" i="14"/>
  <c r="T99" i="14"/>
  <c r="T102" i="14"/>
  <c r="T71" i="14"/>
  <c r="T105" i="14"/>
  <c r="T125" i="14"/>
  <c r="T75" i="14"/>
  <c r="T6" i="14"/>
  <c r="T94" i="14"/>
  <c r="T107" i="14"/>
  <c r="T89" i="14"/>
  <c r="T133" i="14"/>
  <c r="T8" i="14"/>
  <c r="T80" i="14"/>
  <c r="T47" i="14"/>
  <c r="T27" i="14"/>
  <c r="T123" i="14"/>
  <c r="T34" i="14"/>
  <c r="T19" i="14"/>
  <c r="T23" i="14"/>
  <c r="T37" i="14"/>
  <c r="T48" i="14"/>
  <c r="T77" i="14"/>
  <c r="T109" i="14"/>
  <c r="T63" i="14"/>
  <c r="T40" i="14"/>
  <c r="T52" i="14"/>
  <c r="T41" i="14"/>
  <c r="T38" i="14"/>
  <c r="T119" i="14"/>
  <c r="T120" i="14"/>
  <c r="T12" i="14"/>
  <c r="T92" i="14"/>
  <c r="T3" i="14"/>
  <c r="T24" i="14"/>
  <c r="T108" i="14"/>
  <c r="T28" i="14"/>
  <c r="T112" i="14"/>
  <c r="T136" i="14"/>
  <c r="T55" i="14"/>
  <c r="T128" i="14"/>
  <c r="T86" i="14"/>
  <c r="T42" i="14"/>
  <c r="T130" i="14"/>
  <c r="T25" i="14"/>
  <c r="T73" i="14"/>
  <c r="T39" i="14"/>
  <c r="T59" i="14"/>
  <c r="T62" i="14"/>
  <c r="T20" i="14"/>
  <c r="T132" i="14"/>
  <c r="T115" i="14"/>
  <c r="T85" i="14"/>
  <c r="T14" i="14"/>
  <c r="T93" i="14"/>
  <c r="T16" i="14"/>
  <c r="T66" i="14"/>
  <c r="T18" i="14"/>
  <c r="T127" i="14"/>
  <c r="T122" i="14"/>
  <c r="T74" i="14"/>
  <c r="T97" i="14"/>
  <c r="T21" i="14"/>
  <c r="T46" i="14"/>
  <c r="T118" i="14"/>
  <c r="T129" i="14"/>
  <c r="T44" i="14"/>
  <c r="T45" i="14"/>
  <c r="T31" i="14"/>
  <c r="T43" i="14"/>
  <c r="T35" i="14"/>
  <c r="T110" i="14"/>
  <c r="T64" i="14"/>
  <c r="T91" i="14"/>
  <c r="T32" i="14"/>
  <c r="T88" i="14"/>
  <c r="T104" i="14"/>
  <c r="T49" i="14"/>
  <c r="T111" i="14"/>
  <c r="T9" i="14"/>
  <c r="T5" i="14"/>
  <c r="T78" i="14"/>
  <c r="T82" i="14"/>
  <c r="T15" i="14"/>
  <c r="T131" i="14"/>
  <c r="T11" i="14"/>
  <c r="T69" i="14"/>
  <c r="T90" i="14"/>
  <c r="T17" i="14"/>
  <c r="T134" i="14"/>
  <c r="T98" i="14"/>
  <c r="T106" i="14"/>
  <c r="T56" i="14"/>
  <c r="T81" i="14"/>
  <c r="T117" i="14"/>
  <c r="T29" i="14"/>
  <c r="T33" i="14"/>
  <c r="T61" i="14"/>
  <c r="T22" i="14"/>
  <c r="T116" i="14"/>
  <c r="T57" i="14"/>
  <c r="T79" i="14"/>
  <c r="T121" i="14"/>
  <c r="T65" i="14"/>
  <c r="T68" i="14"/>
  <c r="T26" i="14"/>
  <c r="T13" i="14"/>
  <c r="T51" i="14"/>
  <c r="T72" i="14"/>
  <c r="T126" i="14"/>
  <c r="T114" i="14"/>
  <c r="T95" i="14"/>
  <c r="T70" i="14"/>
  <c r="T67" i="14"/>
  <c r="T100" i="14"/>
  <c r="T53" i="14"/>
  <c r="T58" i="14"/>
  <c r="T113" i="14"/>
  <c r="T83" i="14"/>
  <c r="T30" i="14"/>
  <c r="T4" i="14"/>
  <c r="T50" i="14"/>
  <c r="T101" i="14"/>
  <c r="T76" i="14"/>
  <c r="T10" i="14"/>
  <c r="T87" i="14"/>
  <c r="T60" i="14"/>
  <c r="T54" i="14"/>
  <c r="T103" i="14"/>
  <c r="T135" i="14"/>
  <c r="U47" i="14"/>
  <c r="U35" i="14"/>
  <c r="U50" i="14"/>
  <c r="U22" i="14"/>
  <c r="U116" i="14"/>
  <c r="U129" i="14"/>
  <c r="U119" i="14"/>
  <c r="U133" i="14"/>
  <c r="U91" i="14"/>
  <c r="U103" i="14"/>
  <c r="U56" i="14"/>
  <c r="U58" i="14"/>
  <c r="U46" i="14"/>
  <c r="U2" i="14"/>
  <c r="U131" i="14"/>
  <c r="U43" i="14"/>
  <c r="U24" i="14"/>
  <c r="U10" i="14"/>
  <c r="U68" i="14"/>
  <c r="U117" i="14"/>
  <c r="U107" i="14"/>
  <c r="U73" i="14"/>
  <c r="U136" i="14"/>
  <c r="U79" i="14"/>
  <c r="U125" i="14"/>
  <c r="U115" i="14"/>
  <c r="U97" i="14"/>
  <c r="U87" i="14"/>
  <c r="U69" i="14"/>
  <c r="U34" i="14"/>
  <c r="U96" i="14"/>
  <c r="U15" i="14"/>
  <c r="U113" i="14"/>
  <c r="U28" i="14"/>
  <c r="U93" i="14"/>
  <c r="U61" i="14"/>
  <c r="U39" i="14"/>
  <c r="U72" i="14"/>
  <c r="U75" i="14"/>
  <c r="U130" i="14"/>
  <c r="U81" i="14"/>
  <c r="U49" i="14"/>
  <c r="U84" i="14"/>
  <c r="U38" i="14"/>
  <c r="U23" i="14"/>
  <c r="U80" i="14"/>
  <c r="U121" i="14"/>
  <c r="U98" i="14"/>
  <c r="U8" i="14"/>
  <c r="U82" i="14"/>
  <c r="U86" i="14"/>
  <c r="U36" i="14"/>
  <c r="U64" i="14"/>
  <c r="U104" i="14"/>
  <c r="U30" i="14"/>
  <c r="U101" i="14"/>
  <c r="U32" i="14"/>
  <c r="U111" i="14"/>
  <c r="U112" i="14"/>
  <c r="U85" i="14"/>
  <c r="U128" i="14"/>
  <c r="U18" i="14"/>
  <c r="U134" i="14"/>
  <c r="U123" i="14"/>
  <c r="U74" i="14"/>
  <c r="U12" i="14"/>
  <c r="U52" i="14"/>
  <c r="U62" i="14"/>
  <c r="U5" i="14"/>
  <c r="U21" i="14"/>
  <c r="U89" i="14"/>
  <c r="U60" i="14"/>
  <c r="U88" i="14"/>
  <c r="U26" i="14"/>
  <c r="U127" i="14"/>
  <c r="U99" i="14"/>
  <c r="U20" i="14"/>
  <c r="U132" i="14"/>
  <c r="U13" i="14"/>
  <c r="U45" i="14"/>
  <c r="U53" i="14"/>
  <c r="U108" i="14"/>
  <c r="U83" i="14"/>
  <c r="U27" i="14"/>
  <c r="U100" i="14"/>
  <c r="U25" i="14"/>
  <c r="U71" i="14"/>
  <c r="U55" i="14"/>
  <c r="U33" i="14"/>
  <c r="U126" i="14"/>
  <c r="U11" i="14"/>
  <c r="U95" i="14"/>
  <c r="U105" i="14"/>
  <c r="U29" i="14"/>
  <c r="U19" i="14"/>
  <c r="U7" i="14"/>
  <c r="U122" i="14"/>
  <c r="U44" i="14"/>
  <c r="U94" i="14"/>
  <c r="U92" i="14"/>
  <c r="U114" i="14"/>
  <c r="U77" i="14"/>
  <c r="U48" i="14"/>
  <c r="U14" i="14"/>
  <c r="U66" i="14"/>
  <c r="U51" i="14"/>
  <c r="U37" i="14"/>
  <c r="U17" i="14"/>
  <c r="U6" i="14"/>
  <c r="U124" i="14"/>
  <c r="U110" i="14"/>
  <c r="U16" i="14"/>
  <c r="U67" i="14"/>
  <c r="U78" i="14"/>
  <c r="U3" i="14"/>
  <c r="U118" i="14"/>
  <c r="U54" i="14"/>
  <c r="U90" i="14"/>
  <c r="U76" i="14"/>
  <c r="U40" i="14"/>
  <c r="U120" i="14"/>
  <c r="U9" i="14"/>
  <c r="U70" i="14"/>
  <c r="U135" i="14"/>
  <c r="U63" i="14"/>
  <c r="U31" i="14"/>
  <c r="U65" i="14"/>
  <c r="U41" i="14"/>
  <c r="U106" i="14"/>
  <c r="U109" i="14"/>
  <c r="U59" i="14"/>
  <c r="U42" i="14"/>
  <c r="U57" i="14"/>
  <c r="U4" i="14"/>
  <c r="U102" i="14"/>
  <c r="W18" i="14"/>
  <c r="W123" i="14"/>
  <c r="W31" i="14"/>
  <c r="W103" i="14"/>
  <c r="W71" i="14"/>
  <c r="W101" i="14"/>
  <c r="W68" i="14"/>
  <c r="W72" i="14"/>
  <c r="W29" i="14"/>
  <c r="W131" i="14"/>
  <c r="W118" i="14"/>
  <c r="W61" i="14"/>
  <c r="W57" i="14"/>
  <c r="W92" i="14"/>
  <c r="W48" i="14"/>
  <c r="W67" i="14"/>
  <c r="W64" i="14"/>
  <c r="W80" i="14"/>
  <c r="W47" i="14"/>
  <c r="W53" i="14"/>
  <c r="W88" i="14"/>
  <c r="W136" i="14"/>
  <c r="W21" i="14"/>
  <c r="W98" i="14"/>
  <c r="W19" i="14"/>
  <c r="W63" i="14"/>
  <c r="W25" i="14"/>
  <c r="W87" i="14"/>
  <c r="W89" i="14"/>
  <c r="W12" i="14"/>
  <c r="W22" i="14"/>
  <c r="W9" i="14"/>
  <c r="W108" i="14"/>
  <c r="W75" i="14"/>
  <c r="W134" i="14"/>
  <c r="W69" i="14"/>
  <c r="W114" i="14"/>
  <c r="W45" i="14"/>
  <c r="W20" i="14"/>
  <c r="W128" i="14"/>
  <c r="W23" i="14"/>
  <c r="W30" i="14"/>
  <c r="W7" i="14"/>
  <c r="W40" i="14"/>
  <c r="W49" i="14"/>
  <c r="W58" i="14"/>
  <c r="W46" i="14"/>
  <c r="W122" i="14"/>
  <c r="W2" i="14"/>
  <c r="W6" i="14"/>
  <c r="W85" i="14"/>
  <c r="W82" i="14"/>
  <c r="W126" i="14"/>
  <c r="W54" i="14"/>
  <c r="W41" i="14"/>
  <c r="W33" i="14"/>
  <c r="W52" i="14"/>
  <c r="W51" i="14"/>
  <c r="W59" i="14"/>
  <c r="W3" i="14"/>
  <c r="W111" i="14"/>
  <c r="W93" i="14"/>
  <c r="W26" i="14"/>
  <c r="W135" i="14"/>
  <c r="W11" i="14"/>
  <c r="W127" i="14"/>
  <c r="W24" i="14"/>
  <c r="W104" i="14"/>
  <c r="W119" i="14"/>
  <c r="W113" i="14"/>
  <c r="W100" i="14"/>
  <c r="W130" i="14"/>
  <c r="W97" i="14"/>
  <c r="W43" i="14"/>
  <c r="W77" i="14"/>
  <c r="W86" i="14"/>
  <c r="W56" i="14"/>
  <c r="W109" i="14"/>
  <c r="W102" i="14"/>
  <c r="W91" i="14"/>
  <c r="W39" i="14"/>
  <c r="W83" i="14"/>
  <c r="W107" i="14"/>
  <c r="W13" i="14"/>
  <c r="W99" i="14"/>
  <c r="W34" i="14"/>
  <c r="W8" i="14"/>
  <c r="W14" i="14"/>
  <c r="W42" i="14"/>
  <c r="W38" i="14"/>
  <c r="W120" i="14"/>
  <c r="W84" i="14"/>
  <c r="W36" i="14"/>
  <c r="W10" i="14"/>
  <c r="W117" i="14"/>
  <c r="W116" i="14"/>
  <c r="W81" i="14"/>
  <c r="W16" i="14"/>
  <c r="W124" i="14"/>
  <c r="W96" i="14"/>
  <c r="W28" i="14"/>
  <c r="W50" i="14"/>
  <c r="W65" i="14"/>
  <c r="W121" i="14"/>
  <c r="W110" i="14"/>
  <c r="W76" i="14"/>
  <c r="W37" i="14"/>
  <c r="W106" i="14"/>
  <c r="W125" i="14"/>
  <c r="W27" i="14"/>
  <c r="W79" i="14"/>
  <c r="W78" i="14"/>
  <c r="W95" i="14"/>
  <c r="W74" i="14"/>
  <c r="W133" i="14"/>
  <c r="W90" i="14"/>
  <c r="W32" i="14"/>
  <c r="W5" i="14"/>
  <c r="W105" i="14"/>
  <c r="W55" i="14"/>
  <c r="W15" i="14"/>
  <c r="W94" i="14"/>
  <c r="W66" i="14"/>
  <c r="W70" i="14"/>
  <c r="W60" i="14"/>
  <c r="W62" i="14"/>
  <c r="W35" i="14"/>
  <c r="W132" i="14"/>
  <c r="W112" i="14"/>
  <c r="W115" i="14"/>
  <c r="W17" i="14"/>
  <c r="W73" i="14"/>
  <c r="W129" i="14"/>
  <c r="W4" i="14"/>
  <c r="W44" i="14"/>
  <c r="Z60" i="14"/>
  <c r="Z7" i="14"/>
  <c r="Z103" i="14"/>
  <c r="Z42" i="14"/>
  <c r="Z106" i="14"/>
  <c r="Z15" i="14"/>
  <c r="Z98" i="14"/>
  <c r="Z120" i="14"/>
  <c r="Z29" i="14"/>
  <c r="Z70" i="14"/>
  <c r="Z48" i="14"/>
  <c r="Z84" i="14"/>
  <c r="Z88" i="14"/>
  <c r="Z26" i="14"/>
  <c r="Z111" i="14"/>
  <c r="Z43" i="14"/>
  <c r="Z59" i="14"/>
  <c r="Z122" i="14"/>
  <c r="Z47" i="14"/>
  <c r="Z116" i="14"/>
  <c r="Z54" i="14"/>
  <c r="Z76" i="14"/>
  <c r="Z67" i="14"/>
  <c r="Z85" i="14"/>
  <c r="Z18" i="14"/>
  <c r="Z8" i="14"/>
  <c r="Z63" i="14"/>
  <c r="Z126" i="14"/>
  <c r="Z37" i="14"/>
  <c r="Z102" i="14"/>
  <c r="Z124" i="14"/>
  <c r="Z65" i="14"/>
  <c r="Z114" i="14"/>
  <c r="Z133" i="14"/>
  <c r="Z104" i="14"/>
  <c r="Z40" i="14"/>
  <c r="Z13" i="14"/>
  <c r="Z113" i="14"/>
  <c r="Z25" i="14"/>
  <c r="Z41" i="14"/>
  <c r="Z128" i="14"/>
  <c r="Z66" i="14"/>
  <c r="Z110" i="14"/>
  <c r="Z123" i="14"/>
  <c r="Z73" i="14"/>
  <c r="Z86" i="14"/>
  <c r="Z16" i="14"/>
  <c r="Z51" i="14"/>
  <c r="Z23" i="14"/>
  <c r="Z30" i="14"/>
  <c r="Z89" i="14"/>
  <c r="Z117" i="14"/>
  <c r="Z4" i="14"/>
  <c r="Z108" i="14"/>
  <c r="Z83" i="14"/>
  <c r="Z81" i="14"/>
  <c r="Z20" i="14"/>
  <c r="Z130" i="14"/>
  <c r="Z132" i="14"/>
  <c r="Z36" i="14"/>
  <c r="Z50" i="14"/>
  <c r="Z68" i="14"/>
  <c r="Z112" i="14"/>
  <c r="Z14" i="14"/>
  <c r="Z57" i="14"/>
  <c r="Z38" i="14"/>
  <c r="Z6" i="14"/>
  <c r="Z9" i="14"/>
  <c r="Z80" i="14"/>
  <c r="Z100" i="14"/>
  <c r="Z56" i="14"/>
  <c r="Z49" i="14"/>
  <c r="Z134" i="14"/>
  <c r="Z62" i="14"/>
  <c r="Z44" i="14"/>
  <c r="Z46" i="14"/>
  <c r="Z12" i="14"/>
  <c r="Z87" i="14"/>
  <c r="Z92" i="14"/>
  <c r="Z58" i="14"/>
  <c r="Z24" i="14"/>
  <c r="Z45" i="14"/>
  <c r="Z31" i="14"/>
  <c r="Z10" i="14"/>
  <c r="Z19" i="14"/>
  <c r="Z72" i="14"/>
  <c r="Z64" i="14"/>
  <c r="Z129" i="14"/>
  <c r="Z118" i="14"/>
  <c r="Z21" i="14"/>
  <c r="Z131" i="14"/>
  <c r="Z75" i="14"/>
  <c r="Z61" i="14"/>
  <c r="Z119" i="14"/>
  <c r="Z90" i="14"/>
  <c r="Z93" i="14"/>
  <c r="Z74" i="14"/>
  <c r="Z77" i="14"/>
  <c r="Z32" i="14"/>
  <c r="Z52" i="14"/>
  <c r="Z33" i="14"/>
  <c r="Z27" i="14"/>
  <c r="Z71" i="14"/>
  <c r="Z115" i="14"/>
  <c r="Z79" i="14"/>
  <c r="Z125" i="14"/>
  <c r="Z101" i="14"/>
  <c r="Z136" i="14"/>
  <c r="Z105" i="14"/>
  <c r="Z95" i="14"/>
  <c r="Z97" i="14"/>
  <c r="Z3" i="14"/>
  <c r="Z135" i="14"/>
  <c r="Z94" i="14"/>
  <c r="Z96" i="14"/>
  <c r="Z17" i="14"/>
  <c r="Z121" i="14"/>
  <c r="Z107" i="14"/>
  <c r="Z109" i="14"/>
  <c r="Z99" i="14"/>
  <c r="Z82" i="14"/>
  <c r="Z22" i="14"/>
  <c r="Z11" i="14"/>
  <c r="Z35" i="14"/>
  <c r="Z91" i="14"/>
  <c r="Z55" i="14"/>
  <c r="Z127" i="14"/>
  <c r="Z34" i="14"/>
  <c r="Z78" i="14"/>
  <c r="Z39" i="14"/>
  <c r="Z69" i="14"/>
  <c r="Z53" i="14"/>
  <c r="Z28" i="14"/>
  <c r="Z5" i="14"/>
  <c r="Y2" i="14"/>
</calcChain>
</file>

<file path=xl/sharedStrings.xml><?xml version="1.0" encoding="utf-8"?>
<sst xmlns="http://schemas.openxmlformats.org/spreadsheetml/2006/main" count="287" uniqueCount="177">
  <si>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</si>
  <si>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</si>
  <si>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</si>
  <si>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</si>
  <si>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</si>
  <si>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</si>
  <si>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</si>
  <si>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</si>
  <si>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</si>
  <si>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</si>
  <si>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</si>
  <si>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</si>
  <si>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</si>
  <si>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</si>
  <si>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</si>
  <si>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</si>
  <si>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</si>
  <si>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</si>
  <si>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</si>
  <si>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</si>
  <si>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</si>
  <si>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</si>
  <si>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</si>
  <si>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</si>
  <si>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</si>
  <si>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</si>
  <si>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</si>
  <si>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</si>
  <si>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</si>
  <si>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</si>
  <si>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</si>
  <si>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</si>
  <si>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</si>
  <si>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</si>
  <si>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</si>
  <si>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</si>
  <si>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</si>
  <si>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</si>
  <si>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</si>
  <si>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</si>
  <si>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</si>
  <si>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</si>
  <si>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</si>
  <si>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</si>
  <si>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</si>
  <si>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</si>
  <si>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</si>
  <si>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</si>
  <si>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</si>
  <si>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</si>
  <si>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</si>
  <si>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</si>
  <si>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</si>
  <si>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</si>
  <si>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</si>
  <si>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</si>
  <si>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</si>
  <si>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</si>
  <si>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</si>
  <si>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</si>
  <si>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</si>
  <si>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</si>
  <si>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</si>
  <si>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</si>
  <si>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</si>
  <si>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</si>
  <si>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</si>
  <si>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</si>
  <si>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</si>
  <si>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</si>
  <si>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</si>
  <si>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</si>
  <si>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</si>
  <si>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</si>
  <si>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</si>
  <si>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</si>
  <si>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</si>
  <si>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</si>
  <si>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</si>
  <si>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</si>
  <si>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</si>
  <si>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</si>
  <si>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</si>
  <si>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</si>
  <si>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</si>
  <si>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</si>
  <si>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</si>
  <si>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</si>
  <si>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</si>
  <si>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</si>
  <si>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</si>
  <si>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</si>
  <si>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</si>
  <si>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</si>
  <si>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</si>
  <si>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</si>
  <si>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</si>
  <si>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</si>
  <si>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</si>
  <si>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</si>
  <si>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</si>
  <si>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</si>
  <si>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</si>
  <si>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</si>
  <si>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</si>
  <si>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</si>
  <si>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</si>
  <si>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</si>
  <si>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</si>
  <si>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</si>
  <si>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</si>
  <si>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</si>
  <si>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</si>
  <si>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</si>
  <si>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</si>
  <si>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</si>
  <si>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</si>
  <si>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</si>
  <si>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</si>
  <si>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</si>
  <si>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</si>
  <si>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</si>
  <si>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</si>
  <si>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</si>
  <si>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</si>
  <si>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</si>
  <si>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</si>
  <si>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</si>
  <si>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</si>
  <si>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</si>
  <si>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</si>
  <si>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</si>
  <si>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</si>
  <si>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</si>
  <si>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</si>
  <si>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</si>
  <si>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</si>
  <si>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</si>
  <si>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</si>
  <si>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</si>
  <si>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</si>
  <si>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</si>
  <si>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</si>
  <si>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</si>
  <si>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</si>
  <si>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</si>
  <si>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</si>
  <si>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</si>
  <si>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</si>
  <si>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</si>
  <si>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</si>
  <si>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</si>
  <si>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</si>
  <si>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</si>
  <si>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Meth. Simp.</t>
  </si>
  <si>
    <t>Taylor (O3-5)</t>
  </si>
  <si>
    <t>M-1=</t>
  </si>
  <si>
    <t>A1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</si>
  <si>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</si>
  <si>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</si>
  <si>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</si>
  <si>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</si>
  <si>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</si>
  <si>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</si>
  <si>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</si>
  <si>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</si>
  <si>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polchar</t>
  </si>
  <si>
    <t>polchroot</t>
  </si>
  <si>
    <t>r</t>
  </si>
  <si>
    <t>M*K=</t>
  </si>
  <si>
    <t>A2</t>
  </si>
  <si>
    <t>A3</t>
  </si>
  <si>
    <t>A4</t>
  </si>
  <si>
    <t>A5</t>
  </si>
  <si>
    <t>A6</t>
  </si>
  <si>
    <t>A7</t>
  </si>
  <si>
    <t>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</si>
</sst>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6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b/>
      <sz val="9"/>
      <color rgb="FF000000"/>
      <name val="Liberation Sans"/>
    </font>
    <font>
      <b/>
      <sz val="8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23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164" fontId="14" fillId="0" borderId="0" xfId="0" applyNumberFormat="1" applyFont="1" applyFill="1" applyBorder="1" applyAlignment="1">
      <alignment horizontal="center"/>
    </xf>
    <xf numFmtId="11" fontId="15" fillId="0" borderId="0" xfId="0" applyNumberFormat="1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848064"/>
        <c:axId val="162966912"/>
      </c:barChart>
      <c:catAx>
        <c:axId val="155848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2966912"/>
        <c:crosses val="autoZero"/>
        <c:auto val="1"/>
        <c:lblAlgn val="ctr"/>
        <c:lblOffset val="100"/>
        <c:noMultiLvlLbl val="0"/>
      </c:catAx>
      <c:valAx>
        <c:axId val="162966912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5848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3840"/>
        <c:axId val="193066496"/>
      </c:barChart>
      <c:catAx>
        <c:axId val="19304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3066496"/>
        <c:crosses val="autoZero"/>
        <c:auto val="1"/>
        <c:lblAlgn val="ctr"/>
        <c:lblOffset val="100"/>
        <c:noMultiLvlLbl val="0"/>
      </c:catAx>
      <c:valAx>
        <c:axId val="1930664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3043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mod.simp.!$T$1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mod.simp.!$T$2:$T$136</c:f>
              <c:numCache>
                <c:formatCode>0.00</c:formatCode>
                <c:ptCount val="135"/>
                <c:pt idx="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15.64907730656115</c:v>
                </c:pt>
                <c:pt idx="14">
                  <c:v>15.414645763539928</c:v>
                </c:pt>
                <c:pt idx="15">
                  <c:v>15.183725758109764</c:v>
                </c:pt>
                <c:pt idx="16">
                  <c:v>14.956264571765949</c:v>
                </c:pt>
                <c:pt idx="17">
                  <c:v>14.732210250569992</c:v>
                </c:pt>
                <c:pt idx="18">
                  <c:v>14.511511590231915</c:v>
                </c:pt>
                <c:pt idx="19">
                  <c:v>14.294118121192572</c:v>
                </c:pt>
                <c:pt idx="20">
                  <c:v>14.079980093705913</c:v>
                </c:pt>
                <c:pt idx="21">
                  <c:v>13.869048462921315</c:v>
                </c:pt>
                <c:pt idx="22">
                  <c:v>13.661274873965848</c:v>
                </c:pt>
                <c:pt idx="23">
                  <c:v>13.456611647026588</c:v>
                </c:pt>
                <c:pt idx="24">
                  <c:v>13.255011762432911</c:v>
                </c:pt>
                <c:pt idx="25">
                  <c:v>13.056428845738786</c:v>
                </c:pt>
                <c:pt idx="26">
                  <c:v>12.860817152805081</c:v>
                </c:pt>
                <c:pt idx="27">
                  <c:v>12.668131554881843</c:v>
                </c:pt>
                <c:pt idx="28">
                  <c:v>12.478327523690604</c:v>
                </c:pt>
                <c:pt idx="29">
                  <c:v>12.29136111650668</c:v>
                </c:pt>
                <c:pt idx="30">
                  <c:v>12.107188961241464</c:v>
                </c:pt>
                <c:pt idx="31">
                  <c:v>11.925768241524723</c:v>
                </c:pt>
                <c:pt idx="32">
                  <c:v>11.747056681786891</c:v>
                </c:pt>
                <c:pt idx="33">
                  <c:v>11.571012532341369</c:v>
                </c:pt>
                <c:pt idx="34">
                  <c:v>11.397594554466824</c:v>
                </c:pt>
                <c:pt idx="35">
                  <c:v>11.226762005489478</c:v>
                </c:pt>
                <c:pt idx="36">
                  <c:v>11.058474623865413</c:v>
                </c:pt>
                <c:pt idx="37">
                  <c:v>10.89269261426286</c:v>
                </c:pt>
                <c:pt idx="38">
                  <c:v>10.72937663264449</c:v>
                </c:pt>
                <c:pt idx="39">
                  <c:v>10.568487771349739</c:v>
                </c:pt>
                <c:pt idx="40">
                  <c:v>10.409987544177062</c:v>
                </c:pt>
                <c:pt idx="41">
                  <c:v>10.253837871466272</c:v>
                </c:pt>
                <c:pt idx="42">
                  <c:v>10.100001065180798</c:v>
                </c:pt>
                <c:pt idx="43">
                  <c:v>9.9484398139900083</c:v>
                </c:pt>
                <c:pt idx="44">
                  <c:v>9.7991171683514988</c:v>
                </c:pt>
                <c:pt idx="45">
                  <c:v>9.6519965255933844</c:v>
                </c:pt>
                <c:pt idx="46">
                  <c:v>9.5070416149965986</c:v>
                </c:pt>
                <c:pt idx="47">
                  <c:v>9.3642164828772021</c:v>
                </c:pt>
                <c:pt idx="48">
                  <c:v>9.2234854776686497</c:v>
                </c:pt>
                <c:pt idx="49">
                  <c:v>9.0848132350041162</c:v>
                </c:pt>
                <c:pt idx="50">
                  <c:v>8.9481646627987868</c:v>
                </c:pt>
                <c:pt idx="51">
                  <c:v>8.8135049263321292</c:v>
                </c:pt>
                <c:pt idx="52">
                  <c:v>8.680799433330229</c:v>
                </c:pt>
                <c:pt idx="53">
                  <c:v>8.5500138190480541</c:v>
                </c:pt>
                <c:pt idx="54">
                  <c:v>8.4211139313517691</c:v>
                </c:pt>
                <c:pt idx="55">
                  <c:v>8.2940658158010176</c:v>
                </c:pt>
                <c:pt idx="56">
                  <c:v>8.1688357007312398</c:v>
                </c:pt>
                <c:pt idx="57">
                  <c:v>8.0453899823359443</c:v>
                </c:pt>
                <c:pt idx="58">
                  <c:v>7.9236952097490185</c:v>
                </c:pt>
                <c:pt idx="59">
                  <c:v>7.8037180701270259</c:v>
                </c:pt>
                <c:pt idx="60">
                  <c:v>7.6854253737314941</c:v>
                </c:pt>
                <c:pt idx="61">
                  <c:v>7.5687840390112209</c:v>
                </c:pt>
                <c:pt idx="62">
                  <c:v>7.4537610776845629</c:v>
                </c:pt>
                <c:pt idx="63">
                  <c:v>7.3403235798217379</c:v>
                </c:pt>
                <c:pt idx="64">
                  <c:v>7.2284386989271114</c:v>
                </c:pt>
                <c:pt idx="65">
                  <c:v>7.1180736370215065</c:v>
                </c:pt>
                <c:pt idx="66">
                  <c:v>7.0091956297244975</c:v>
                </c:pt>
                <c:pt idx="67">
                  <c:v>6.901771931336687</c:v>
                </c:pt>
                <c:pt idx="68">
                  <c:v>6.7957697999220334</c:v>
                </c:pt>
                <c:pt idx="69">
                  <c:v>6.6911564823901264</c:v>
                </c:pt>
                <c:pt idx="70">
                  <c:v>6.5878991995784872</c:v>
                </c:pt>
                <c:pt idx="71">
                  <c:v>6.4859651313348623</c:v>
                </c:pt>
                <c:pt idx="72">
                  <c:v>6.3853214015995388</c:v>
                </c:pt>
                <c:pt idx="73">
                  <c:v>6.2859350634876083</c:v>
                </c:pt>
                <c:pt idx="74">
                  <c:v>6.1877730843712939</c:v>
                </c:pt>
                <c:pt idx="75">
                  <c:v>6.0908023309622239</c:v>
                </c:pt>
                <c:pt idx="76">
                  <c:v>5.9949895543937464</c:v>
                </c:pt>
                <c:pt idx="77">
                  <c:v>5.9003013753032096</c:v>
                </c:pt>
                <c:pt idx="78">
                  <c:v>5.806704268914272</c:v>
                </c:pt>
                <c:pt idx="79">
                  <c:v>5.7141645501191922</c:v>
                </c:pt>
                <c:pt idx="80">
                  <c:v>5.6226483585611229</c:v>
                </c:pt>
                <c:pt idx="81">
                  <c:v>5.5321216437164074</c:v>
                </c:pt>
                <c:pt idx="82">
                  <c:v>5.4425501499768885</c:v>
                </c:pt>
                <c:pt idx="83">
                  <c:v>5.3538994017321846</c:v>
                </c:pt>
                <c:pt idx="84">
                  <c:v>5.2661346884520031</c:v>
                </c:pt>
                <c:pt idx="85">
                  <c:v>5.1792210497684268</c:v>
                </c:pt>
                <c:pt idx="86">
                  <c:v>5.093123260558218</c:v>
                </c:pt>
                <c:pt idx="87">
                  <c:v>5.0078058160251055</c:v>
                </c:pt>
                <c:pt idx="88">
                  <c:v>4.9232329167820916</c:v>
                </c:pt>
                <c:pt idx="89">
                  <c:v>4.8393684539337389</c:v>
                </c:pt>
                <c:pt idx="90">
                  <c:v>4.7561759941584727</c:v>
                </c:pt>
                <c:pt idx="91">
                  <c:v>4.6736187647908709</c:v>
                </c:pt>
                <c:pt idx="92">
                  <c:v>4.5916596389039732</c:v>
                </c:pt>
                <c:pt idx="93">
                  <c:v>4.5102611203915721</c:v>
                </c:pt>
                <c:pt idx="94">
                  <c:v>4.4293853290504863</c:v>
                </c:pt>
                <c:pt idx="95">
                  <c:v>4.3489939856629061</c:v>
                </c:pt>
                <c:pt idx="96">
                  <c:v>4.269048397078631</c:v>
                </c:pt>
                <c:pt idx="97">
                  <c:v>4.1895094412974263</c:v>
                </c:pt>
                <c:pt idx="98">
                  <c:v>4.1103375525512629</c:v>
                </c:pt>
                <c:pt idx="99">
                  <c:v>4.0314927063866577</c:v>
                </c:pt>
                <c:pt idx="100">
                  <c:v>3.9529344047469452</c:v>
                </c:pt>
                <c:pt idx="101">
                  <c:v>3.8746216610545821</c:v>
                </c:pt>
                <c:pt idx="102">
                  <c:v>3.7965129852934423</c:v>
                </c:pt>
                <c:pt idx="103">
                  <c:v>3.7185663690911146</c:v>
                </c:pt>
                <c:pt idx="104">
                  <c:v>3.6407392708012001</c:v>
                </c:pt>
                <c:pt idx="105">
                  <c:v>3.562988600585606</c:v>
                </c:pt>
                <c:pt idx="106">
                  <c:v>3.4852707054968346</c:v>
                </c:pt>
                <c:pt idx="107">
                  <c:v>3.4075413545603039</c:v>
                </c:pt>
                <c:pt idx="108">
                  <c:v>3.329755723856616</c:v>
                </c:pt>
                <c:pt idx="109">
                  <c:v>3.2518683816038632</c:v>
                </c:pt>
                <c:pt idx="110">
                  <c:v>3.173833273239937</c:v>
                </c:pt>
                <c:pt idx="111">
                  <c:v>3.0956037065048112</c:v>
                </c:pt>
                <c:pt idx="112">
                  <c:v>3.0171323365228333</c:v>
                </c:pt>
                <c:pt idx="113">
                  <c:v>2.9383711508850352</c:v>
                </c:pt>
                <c:pt idx="114">
                  <c:v>2.8592714547314269</c:v>
                </c:pt>
                <c:pt idx="115">
                  <c:v>2.7797838558332826</c:v>
                </c:pt>
                <c:pt idx="116">
                  <c:v>2.6998582496754366</c:v>
                </c:pt>
                <c:pt idx="117">
                  <c:v>2.6194438045386166</c:v>
                </c:pt>
                <c:pt idx="118">
                  <c:v>2.5384889465816687</c:v>
                </c:pt>
                <c:pt idx="119">
                  <c:v>2.4569413449239317</c:v>
                </c:pt>
                <c:pt idx="120">
                  <c:v>2.3747478967274698</c:v>
                </c:pt>
                <c:pt idx="121">
                  <c:v>2.2918547122794251</c:v>
                </c:pt>
                <c:pt idx="122">
                  <c:v>2.2082071000742469</c:v>
                </c:pt>
                <c:pt idx="123">
                  <c:v>2.1237495518960716</c:v>
                </c:pt>
                <c:pt idx="124">
                  <c:v>2.0384257279009232</c:v>
                </c:pt>
                <c:pt idx="125">
                  <c:v>1.9521784416991217</c:v>
                </c:pt>
                <c:pt idx="126">
                  <c:v>1.8649496454374614</c:v>
                </c:pt>
                <c:pt idx="127">
                  <c:v>1.7766804148815858</c:v>
                </c:pt>
                <c:pt idx="128">
                  <c:v>1.687310934498278</c:v>
                </c:pt>
                <c:pt idx="129">
                  <c:v>1.596780482537727</c:v>
                </c:pt>
                <c:pt idx="130">
                  <c:v>1.5050274161158148</c:v>
                </c:pt>
                <c:pt idx="131">
                  <c:v>1.4119891562965003</c:v>
                </c:pt>
                <c:pt idx="132">
                  <c:v>1.3176021731739764</c:v>
                </c:pt>
                <c:pt idx="133">
                  <c:v>1.2218019709550978</c:v>
                </c:pt>
                <c:pt idx="134">
                  <c:v>1.1245230730415896</c:v>
                </c:pt>
              </c:numCache>
            </c:numRef>
          </c:val>
        </c:ser>
        <c:ser>
          <c:idx val="2"/>
          <c:order val="1"/>
          <c:tx>
            <c:strRef>
              <c:f>mod.simp.!$U$1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mod.simp.!$U$2:$U$136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  <c:pt idx="93">
                  <c:v>2868.3898355396705</c:v>
                </c:pt>
                <c:pt idx="94">
                  <c:v>2862.0710529283938</c:v>
                </c:pt>
                <c:pt idx="95">
                  <c:v>2855.7791400694296</c:v>
                </c:pt>
                <c:pt idx="96">
                  <c:v>2849.5151560035924</c:v>
                </c:pt>
                <c:pt idx="97">
                  <c:v>2843.2801796444187</c:v>
                </c:pt>
                <c:pt idx="98">
                  <c:v>2837.0753102643334</c:v>
                </c:pt>
                <c:pt idx="99">
                  <c:v>2830.9016679808187</c:v>
                </c:pt>
                <c:pt idx="100">
                  <c:v>2824.7603942425771</c:v>
                </c:pt>
                <c:pt idx="101">
                  <c:v>2818.6526523156995</c:v>
                </c:pt>
                <c:pt idx="102">
                  <c:v>2812.57962776983</c:v>
                </c:pt>
                <c:pt idx="103">
                  <c:v>2806.5425289643367</c:v>
                </c:pt>
                <c:pt idx="104">
                  <c:v>2800.5425875344695</c:v>
                </c:pt>
                <c:pt idx="105">
                  <c:v>2794.5810588775357</c:v>
                </c:pt>
                <c:pt idx="106">
                  <c:v>2788.6592226390576</c:v>
                </c:pt>
                <c:pt idx="107">
                  <c:v>2782.7783831989468</c:v>
                </c:pt>
                <c:pt idx="108">
                  <c:v>2776.9398701576642</c:v>
                </c:pt>
                <c:pt idx="109">
                  <c:v>2771.1450388223898</c:v>
                </c:pt>
                <c:pt idx="110">
                  <c:v>2765.3952706931868</c:v>
                </c:pt>
                <c:pt idx="111">
                  <c:v>2759.6919739491705</c:v>
                </c:pt>
                <c:pt idx="112">
                  <c:v>2754.0365839346709</c:v>
                </c:pt>
                <c:pt idx="113">
                  <c:v>2748.4305636454028</c:v>
                </c:pt>
                <c:pt idx="114">
                  <c:v>2742.8754042146284</c:v>
                </c:pt>
                <c:pt idx="115">
                  <c:v>2737.3726253993282</c:v>
                </c:pt>
                <c:pt idx="116">
                  <c:v>2731.9237760663609</c:v>
                </c:pt>
                <c:pt idx="117">
                  <c:v>2726.5304346786365</c:v>
                </c:pt>
                <c:pt idx="118">
                  <c:v>2721.1942097812766</c:v>
                </c:pt>
                <c:pt idx="119">
                  <c:v>2715.9167404877844</c:v>
                </c:pt>
                <c:pt idx="120">
                  <c:v>2710.6996969662096</c:v>
                </c:pt>
                <c:pt idx="121">
                  <c:v>2705.544780925316</c:v>
                </c:pt>
                <c:pt idx="122">
                  <c:v>2700.453726100744</c:v>
                </c:pt>
                <c:pt idx="123">
                  <c:v>2695.428298741183</c:v>
                </c:pt>
                <c:pt idx="124">
                  <c:v>2690.4702980945322</c:v>
                </c:pt>
                <c:pt idx="125">
                  <c:v>2685.5815568940675</c:v>
                </c:pt>
                <c:pt idx="126">
                  <c:v>2680.7639418446111</c:v>
                </c:pt>
                <c:pt idx="127">
                  <c:v>2676.0193541086956</c:v>
                </c:pt>
                <c:pt idx="128">
                  <c:v>2671.3497297927292</c:v>
                </c:pt>
                <c:pt idx="129">
                  <c:v>2666.7570404331655</c:v>
                </c:pt>
                <c:pt idx="130">
                  <c:v>2662.2432934826625</c:v>
                </c:pt>
                <c:pt idx="131">
                  <c:v>2657.810532796258</c:v>
                </c:pt>
                <c:pt idx="132">
                  <c:v>2653.4608391175311</c:v>
                </c:pt>
                <c:pt idx="133">
                  <c:v>2649.1963305647673</c:v>
                </c:pt>
                <c:pt idx="134">
                  <c:v>2645.0191631171274</c:v>
                </c:pt>
              </c:numCache>
            </c:numRef>
          </c:val>
        </c:ser>
        <c:ser>
          <c:idx val="3"/>
          <c:order val="2"/>
          <c:tx>
            <c:strRef>
              <c:f>mod.simp.!$V$1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mod.simp.!$V$2:$V$136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  <c:pt idx="93">
                  <c:v>1397.762303462493</c:v>
                </c:pt>
                <c:pt idx="94">
                  <c:v>1398.4352068340399</c:v>
                </c:pt>
                <c:pt idx="95">
                  <c:v>1399.0706745209916</c:v>
                </c:pt>
                <c:pt idx="96">
                  <c:v>1399.6686915679118</c:v>
                </c:pt>
                <c:pt idx="97">
                  <c:v>1400.2292348088088</c:v>
                </c:pt>
                <c:pt idx="98">
                  <c:v>1400.7522727401597</c:v>
                </c:pt>
                <c:pt idx="99">
                  <c:v>1401.2377653939368</c:v>
                </c:pt>
                <c:pt idx="100">
                  <c:v>1401.6856642106325</c:v>
                </c:pt>
                <c:pt idx="101">
                  <c:v>1402.0959119122856</c:v>
                </c:pt>
                <c:pt idx="102">
                  <c:v>1402.4684423755064</c:v>
                </c:pt>
                <c:pt idx="103">
                  <c:v>1402.8031805045027</c:v>
                </c:pt>
                <c:pt idx="104">
                  <c:v>1403.1000421041051</c:v>
                </c:pt>
                <c:pt idx="105">
                  <c:v>1403.3589337527935</c:v>
                </c:pt>
                <c:pt idx="106">
                  <c:v>1403.5797526757203</c:v>
                </c:pt>
                <c:pt idx="107">
                  <c:v>1403.76238661774</c:v>
                </c:pt>
                <c:pt idx="108">
                  <c:v>1403.9067137164297</c:v>
                </c:pt>
                <c:pt idx="109">
                  <c:v>1404.0126023751207</c:v>
                </c:pt>
                <c:pt idx="110">
                  <c:v>1404.0799111359181</c:v>
                </c:pt>
                <c:pt idx="111">
                  <c:v>1404.1084885527314</c:v>
                </c:pt>
                <c:pt idx="112">
                  <c:v>1404.0981730642966</c:v>
                </c:pt>
                <c:pt idx="113">
                  <c:v>1404.0487928672039</c:v>
                </c:pt>
                <c:pt idx="114">
                  <c:v>1403.9601657889227</c:v>
                </c:pt>
                <c:pt idx="115">
                  <c:v>1403.8320991608266</c:v>
                </c:pt>
                <c:pt idx="116">
                  <c:v>1403.6643896912192</c:v>
                </c:pt>
                <c:pt idx="117">
                  <c:v>1403.4568233383616</c:v>
                </c:pt>
                <c:pt idx="118">
                  <c:v>1403.2091751834951</c:v>
                </c:pt>
                <c:pt idx="119">
                  <c:v>1402.9212093038686</c:v>
                </c:pt>
                <c:pt idx="120">
                  <c:v>1402.5926786457642</c:v>
                </c:pt>
                <c:pt idx="121">
                  <c:v>1402.223324897521</c:v>
                </c:pt>
                <c:pt idx="122">
                  <c:v>1401.8128783625648</c:v>
                </c:pt>
                <c:pt idx="123">
                  <c:v>1401.3610578324283</c:v>
                </c:pt>
                <c:pt idx="124">
                  <c:v>1400.8675704597811</c:v>
                </c:pt>
                <c:pt idx="125">
                  <c:v>1400.3321116314532</c:v>
                </c:pt>
                <c:pt idx="126">
                  <c:v>1399.7543648414608</c:v>
                </c:pt>
                <c:pt idx="127">
                  <c:v>1399.1340015640328</c:v>
                </c:pt>
                <c:pt idx="128">
                  <c:v>1398.470681126636</c:v>
                </c:pt>
                <c:pt idx="129">
                  <c:v>1397.7640505829995</c:v>
                </c:pt>
                <c:pt idx="130">
                  <c:v>1397.0137445861428</c:v>
                </c:pt>
                <c:pt idx="131">
                  <c:v>1396.219385261398</c:v>
                </c:pt>
                <c:pt idx="132">
                  <c:v>1395.3805820794396</c:v>
                </c:pt>
                <c:pt idx="133">
                  <c:v>1394.4969317293069</c:v>
                </c:pt>
                <c:pt idx="134">
                  <c:v>1393.5680179914302</c:v>
                </c:pt>
              </c:numCache>
            </c:numRef>
          </c:val>
        </c:ser>
        <c:ser>
          <c:idx val="4"/>
          <c:order val="3"/>
          <c:tx>
            <c:strRef>
              <c:f>mod.simp.!$W$1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mod.simp.!$W$2:$W$136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val>
        </c:ser>
        <c:ser>
          <c:idx val="5"/>
          <c:order val="4"/>
          <c:tx>
            <c:strRef>
              <c:f>mod.simp.!$X$1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mod.simp.!$X$2:$X$136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  <c:pt idx="93">
                  <c:v>110.63082230690483</c:v>
                </c:pt>
                <c:pt idx="94">
                  <c:v>111.09594475920284</c:v>
                </c:pt>
                <c:pt idx="95">
                  <c:v>111.57640496175161</c:v>
                </c:pt>
                <c:pt idx="96">
                  <c:v>112.07284660673504</c:v>
                </c:pt>
                <c:pt idx="97">
                  <c:v>112.58592999194212</c:v>
                </c:pt>
                <c:pt idx="98">
                  <c:v>113.11633230476053</c:v>
                </c:pt>
                <c:pt idx="99">
                  <c:v>113.6647479061695</c:v>
                </c:pt>
                <c:pt idx="100">
                  <c:v>114.23188861473339</c:v>
                </c:pt>
                <c:pt idx="101">
                  <c:v>114.81848399059501</c:v>
                </c:pt>
                <c:pt idx="102">
                  <c:v>115.42528161946885</c:v>
                </c:pt>
                <c:pt idx="103">
                  <c:v>116.05304739663435</c:v>
                </c:pt>
                <c:pt idx="104">
                  <c:v>116.7025658109294</c:v>
                </c:pt>
                <c:pt idx="105">
                  <c:v>117.37464022874342</c:v>
                </c:pt>
                <c:pt idx="106">
                  <c:v>118.07009317801095</c:v>
                </c:pt>
                <c:pt idx="107">
                  <c:v>118.78976663220469</c:v>
                </c:pt>
                <c:pt idx="108">
                  <c:v>119.53452229432887</c:v>
                </c:pt>
                <c:pt idx="109">
                  <c:v>120.30524188091282</c:v>
                </c:pt>
                <c:pt idx="110">
                  <c:v>121.10282740600391</c:v>
                </c:pt>
                <c:pt idx="111">
                  <c:v>121.92820146516114</c:v>
                </c:pt>
                <c:pt idx="112">
                  <c:v>122.78230751944832</c:v>
                </c:pt>
                <c:pt idx="113">
                  <c:v>123.66611017942742</c:v>
                </c:pt>
                <c:pt idx="114">
                  <c:v>124.58059548915188</c:v>
                </c:pt>
                <c:pt idx="115">
                  <c:v>125.52677121015995</c:v>
                </c:pt>
                <c:pt idx="116">
                  <c:v>126.50566710546798</c:v>
                </c:pt>
                <c:pt idx="117">
                  <c:v>127.51833522356375</c:v>
                </c:pt>
                <c:pt idx="118">
                  <c:v>128.56585018239969</c:v>
                </c:pt>
                <c:pt idx="119">
                  <c:v>129.64930945338637</c:v>
                </c:pt>
                <c:pt idx="120">
                  <c:v>130.76983364538575</c:v>
                </c:pt>
                <c:pt idx="121">
                  <c:v>131.92856678870425</c:v>
                </c:pt>
                <c:pt idx="122">
                  <c:v>133.12667661908645</c:v>
                </c:pt>
                <c:pt idx="123">
                  <c:v>134.36535486170828</c:v>
                </c:pt>
                <c:pt idx="124">
                  <c:v>135.64581751517017</c:v>
                </c:pt>
                <c:pt idx="125">
                  <c:v>136.96930513549046</c:v>
                </c:pt>
                <c:pt idx="126">
                  <c:v>138.33708312009884</c:v>
                </c:pt>
                <c:pt idx="127">
                  <c:v>139.75044199182946</c:v>
                </c:pt>
                <c:pt idx="128">
                  <c:v>141.21069768291432</c:v>
                </c:pt>
                <c:pt idx="129">
                  <c:v>142.71919181897678</c:v>
                </c:pt>
                <c:pt idx="130">
                  <c:v>144.27729200302451</c:v>
                </c:pt>
                <c:pt idx="131">
                  <c:v>145.88639209944296</c:v>
                </c:pt>
                <c:pt idx="132">
                  <c:v>147.54791251798895</c:v>
                </c:pt>
                <c:pt idx="133">
                  <c:v>149.26330049778355</c:v>
                </c:pt>
                <c:pt idx="134">
                  <c:v>151.03403039130563</c:v>
                </c:pt>
              </c:numCache>
            </c:numRef>
          </c:val>
        </c:ser>
        <c:ser>
          <c:idx val="6"/>
          <c:order val="5"/>
          <c:tx>
            <c:strRef>
              <c:f>mod.simp.!$Y$1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mod.simp.!$Y$2:$Y$136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  <c:pt idx="93">
                  <c:v>59.628562444728175</c:v>
                </c:pt>
                <c:pt idx="94">
                  <c:v>60.306900737379394</c:v>
                </c:pt>
                <c:pt idx="95">
                  <c:v>61.02268682649639</c:v>
                </c:pt>
                <c:pt idx="96">
                  <c:v>61.77733454305131</c:v>
                </c:pt>
                <c:pt idx="97">
                  <c:v>62.572295706831881</c:v>
                </c:pt>
                <c:pt idx="98">
                  <c:v>63.409060725627818</c:v>
                </c:pt>
                <c:pt idx="99">
                  <c:v>64.289159194417095</c:v>
                </c:pt>
                <c:pt idx="100">
                  <c:v>65.214160494552559</c:v>
                </c:pt>
                <c:pt idx="101">
                  <c:v>66.185674392948258</c:v>
                </c:pt>
                <c:pt idx="102">
                  <c:v>67.205351641265935</c:v>
                </c:pt>
                <c:pt idx="103">
                  <c:v>68.274884575101325</c:v>
                </c:pt>
                <c:pt idx="104">
                  <c:v>69.396007713170775</c:v>
                </c:pt>
                <c:pt idx="105">
                  <c:v>70.570498356497524</c:v>
                </c:pt>
                <c:pt idx="106">
                  <c:v>71.800177187598109</c:v>
                </c:pt>
                <c:pt idx="107">
                  <c:v>73.086908869669003</c:v>
                </c:pt>
                <c:pt idx="108">
                  <c:v>74.432602645772818</c:v>
                </c:pt>
                <c:pt idx="109">
                  <c:v>75.839212938024673</c:v>
                </c:pt>
                <c:pt idx="110">
                  <c:v>77.30873994677907</c:v>
                </c:pt>
                <c:pt idx="111">
                  <c:v>78.84323024981579</c:v>
                </c:pt>
                <c:pt idx="112">
                  <c:v>80.44477740152648</c:v>
                </c:pt>
                <c:pt idx="113">
                  <c:v>82.115522532101366</c:v>
                </c:pt>
                <c:pt idx="114">
                  <c:v>83.857654946715286</c:v>
                </c:pt>
                <c:pt idx="115">
                  <c:v>85.673412724714382</c:v>
                </c:pt>
                <c:pt idx="116">
                  <c:v>87.565083318802294</c:v>
                </c:pt>
                <c:pt idx="117">
                  <c:v>89.535004154226897</c:v>
                </c:pt>
                <c:pt idx="118">
                  <c:v>91.585563227966531</c:v>
                </c:pt>
                <c:pt idx="119">
                  <c:v>93.719199707916289</c:v>
                </c:pt>
                <c:pt idx="120">
                  <c:v>95.938404532074841</c:v>
                </c:pt>
                <c:pt idx="121">
                  <c:v>98.245721007730424</c:v>
                </c:pt>
                <c:pt idx="122">
                  <c:v>100.64374541064757</c:v>
                </c:pt>
                <c:pt idx="123">
                  <c:v>103.1351275842535</c:v>
                </c:pt>
                <c:pt idx="124">
                  <c:v>105.72257153882441</c:v>
                </c:pt>
                <c:pt idx="125">
                  <c:v>108.40883605067194</c:v>
                </c:pt>
                <c:pt idx="126">
                  <c:v>111.19673526132974</c:v>
                </c:pt>
                <c:pt idx="127">
                  <c:v>114.08913927673973</c:v>
                </c:pt>
                <c:pt idx="128">
                  <c:v>117.08897476643855</c:v>
                </c:pt>
                <c:pt idx="129">
                  <c:v>120.19922556274426</c:v>
                </c:pt>
                <c:pt idx="130">
                  <c:v>123.42293325994223</c:v>
                </c:pt>
                <c:pt idx="131">
                  <c:v>126.76319781347203</c:v>
                </c:pt>
                <c:pt idx="132">
                  <c:v>130.22317813911377</c:v>
                </c:pt>
                <c:pt idx="133">
                  <c:v>133.80609271217438</c:v>
                </c:pt>
                <c:pt idx="134">
                  <c:v>137.51522016667397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31360"/>
        <c:axId val="141046144"/>
      </c:areaChart>
      <c:catAx>
        <c:axId val="14083136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41046144"/>
        <c:crosses val="autoZero"/>
        <c:auto val="1"/>
        <c:lblAlgn val="ctr"/>
        <c:lblOffset val="100"/>
        <c:noMultiLvlLbl val="0"/>
      </c:catAx>
      <c:valAx>
        <c:axId val="1410461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4083136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mod.simp.!$T$2:$T$94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15.64907730656115</c:v>
                </c:pt>
                <c:pt idx="14">
                  <c:v>15.414645763539928</c:v>
                </c:pt>
                <c:pt idx="15">
                  <c:v>15.183725758109764</c:v>
                </c:pt>
                <c:pt idx="16">
                  <c:v>14.956264571765949</c:v>
                </c:pt>
                <c:pt idx="17">
                  <c:v>14.732210250569992</c:v>
                </c:pt>
                <c:pt idx="18">
                  <c:v>14.511511590231915</c:v>
                </c:pt>
                <c:pt idx="19">
                  <c:v>14.294118121192572</c:v>
                </c:pt>
                <c:pt idx="20">
                  <c:v>14.079980093705913</c:v>
                </c:pt>
                <c:pt idx="21">
                  <c:v>13.869048462921315</c:v>
                </c:pt>
                <c:pt idx="22">
                  <c:v>13.661274873965848</c:v>
                </c:pt>
                <c:pt idx="23">
                  <c:v>13.456611647026588</c:v>
                </c:pt>
                <c:pt idx="24">
                  <c:v>13.255011762432911</c:v>
                </c:pt>
                <c:pt idx="25">
                  <c:v>13.056428845738786</c:v>
                </c:pt>
                <c:pt idx="26">
                  <c:v>12.860817152805081</c:v>
                </c:pt>
                <c:pt idx="27">
                  <c:v>12.668131554881843</c:v>
                </c:pt>
                <c:pt idx="28">
                  <c:v>12.478327523690604</c:v>
                </c:pt>
                <c:pt idx="29">
                  <c:v>12.29136111650668</c:v>
                </c:pt>
                <c:pt idx="30">
                  <c:v>12.107188961241464</c:v>
                </c:pt>
                <c:pt idx="31">
                  <c:v>11.925768241524723</c:v>
                </c:pt>
                <c:pt idx="32">
                  <c:v>11.747056681786891</c:v>
                </c:pt>
                <c:pt idx="33">
                  <c:v>11.571012532341369</c:v>
                </c:pt>
                <c:pt idx="34">
                  <c:v>11.397594554466824</c:v>
                </c:pt>
                <c:pt idx="35">
                  <c:v>11.226762005489478</c:v>
                </c:pt>
                <c:pt idx="36">
                  <c:v>11.058474623865413</c:v>
                </c:pt>
                <c:pt idx="37">
                  <c:v>10.89269261426286</c:v>
                </c:pt>
                <c:pt idx="38">
                  <c:v>10.72937663264449</c:v>
                </c:pt>
                <c:pt idx="39">
                  <c:v>10.568487771349739</c:v>
                </c:pt>
                <c:pt idx="40">
                  <c:v>10.409987544177062</c:v>
                </c:pt>
                <c:pt idx="41">
                  <c:v>10.253837871466272</c:v>
                </c:pt>
                <c:pt idx="42">
                  <c:v>10.100001065180798</c:v>
                </c:pt>
                <c:pt idx="43">
                  <c:v>9.9484398139900083</c:v>
                </c:pt>
                <c:pt idx="44">
                  <c:v>9.7991171683514988</c:v>
                </c:pt>
                <c:pt idx="45">
                  <c:v>9.6519965255933844</c:v>
                </c:pt>
                <c:pt idx="46">
                  <c:v>9.5070416149965986</c:v>
                </c:pt>
                <c:pt idx="47">
                  <c:v>9.3642164828772021</c:v>
                </c:pt>
                <c:pt idx="48">
                  <c:v>9.2234854776686497</c:v>
                </c:pt>
                <c:pt idx="49">
                  <c:v>9.0848132350041162</c:v>
                </c:pt>
                <c:pt idx="50">
                  <c:v>8.9481646627987868</c:v>
                </c:pt>
                <c:pt idx="51">
                  <c:v>8.8135049263321292</c:v>
                </c:pt>
                <c:pt idx="52">
                  <c:v>8.680799433330229</c:v>
                </c:pt>
                <c:pt idx="53">
                  <c:v>8.5500138190480541</c:v>
                </c:pt>
                <c:pt idx="54">
                  <c:v>8.4211139313517691</c:v>
                </c:pt>
                <c:pt idx="55">
                  <c:v>8.2940658158010176</c:v>
                </c:pt>
                <c:pt idx="56">
                  <c:v>8.1688357007312398</c:v>
                </c:pt>
                <c:pt idx="57">
                  <c:v>8.0453899823359443</c:v>
                </c:pt>
                <c:pt idx="58">
                  <c:v>7.9236952097490185</c:v>
                </c:pt>
                <c:pt idx="59">
                  <c:v>7.8037180701270259</c:v>
                </c:pt>
                <c:pt idx="60">
                  <c:v>7.6854253737314941</c:v>
                </c:pt>
                <c:pt idx="61">
                  <c:v>7.5687840390112209</c:v>
                </c:pt>
                <c:pt idx="62">
                  <c:v>7.4537610776845629</c:v>
                </c:pt>
                <c:pt idx="63">
                  <c:v>7.3403235798217379</c:v>
                </c:pt>
                <c:pt idx="64">
                  <c:v>7.2284386989271114</c:v>
                </c:pt>
                <c:pt idx="65">
                  <c:v>7.1180736370215065</c:v>
                </c:pt>
                <c:pt idx="66">
                  <c:v>7.0091956297244975</c:v>
                </c:pt>
                <c:pt idx="67">
                  <c:v>6.901771931336687</c:v>
                </c:pt>
                <c:pt idx="68">
                  <c:v>6.7957697999220334</c:v>
                </c:pt>
                <c:pt idx="69">
                  <c:v>6.6911564823901264</c:v>
                </c:pt>
                <c:pt idx="70">
                  <c:v>6.5878991995784872</c:v>
                </c:pt>
                <c:pt idx="71">
                  <c:v>6.4859651313348623</c:v>
                </c:pt>
                <c:pt idx="72">
                  <c:v>6.3853214015995388</c:v>
                </c:pt>
                <c:pt idx="73">
                  <c:v>6.2859350634876083</c:v>
                </c:pt>
                <c:pt idx="74">
                  <c:v>6.1877730843712939</c:v>
                </c:pt>
                <c:pt idx="75">
                  <c:v>6.0908023309622239</c:v>
                </c:pt>
                <c:pt idx="76">
                  <c:v>5.9949895543937464</c:v>
                </c:pt>
                <c:pt idx="77">
                  <c:v>5.9003013753032096</c:v>
                </c:pt>
                <c:pt idx="78">
                  <c:v>5.806704268914272</c:v>
                </c:pt>
                <c:pt idx="79">
                  <c:v>5.7141645501191922</c:v>
                </c:pt>
                <c:pt idx="80">
                  <c:v>5.6226483585611229</c:v>
                </c:pt>
                <c:pt idx="81">
                  <c:v>5.5321216437164074</c:v>
                </c:pt>
                <c:pt idx="82">
                  <c:v>5.4425501499768885</c:v>
                </c:pt>
                <c:pt idx="83">
                  <c:v>5.3538994017321846</c:v>
                </c:pt>
                <c:pt idx="84">
                  <c:v>5.2661346884520031</c:v>
                </c:pt>
                <c:pt idx="85">
                  <c:v>5.1792210497684268</c:v>
                </c:pt>
                <c:pt idx="86">
                  <c:v>5.093123260558218</c:v>
                </c:pt>
                <c:pt idx="87">
                  <c:v>5.0078058160251055</c:v>
                </c:pt>
                <c:pt idx="88">
                  <c:v>4.9232329167820916</c:v>
                </c:pt>
                <c:pt idx="89">
                  <c:v>4.8393684539337389</c:v>
                </c:pt>
                <c:pt idx="90">
                  <c:v>4.7561759941584727</c:v>
                </c:pt>
                <c:pt idx="91">
                  <c:v>4.6736187647908709</c:v>
                </c:pt>
                <c:pt idx="92">
                  <c:v>4.5916596389039732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89184"/>
        <c:axId val="145003648"/>
      </c:scatterChart>
      <c:valAx>
        <c:axId val="14498918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5003648"/>
        <c:crosses val="autoZero"/>
        <c:crossBetween val="midCat"/>
      </c:valAx>
      <c:valAx>
        <c:axId val="14500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49891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mod.simp.!$U$2:$U$94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7744"/>
        <c:axId val="153729664"/>
      </c:scatterChart>
      <c:valAx>
        <c:axId val="15372774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53729664"/>
        <c:crosses val="autoZero"/>
        <c:crossBetween val="midCat"/>
      </c:valAx>
      <c:valAx>
        <c:axId val="153729664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53727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mod.simp.!$V$2:$V$94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88416"/>
        <c:axId val="157794688"/>
      </c:scatterChart>
      <c:valAx>
        <c:axId val="15778841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57794688"/>
        <c:crosses val="autoZero"/>
        <c:crossBetween val="midCat"/>
      </c:valAx>
      <c:valAx>
        <c:axId val="157794688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57788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mod.RK1!$O$2:$O$940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  <c:pt idx="131">
                  <c:v>189.40369330581157</c:v>
                </c:pt>
                <c:pt idx="132">
                  <c:v>189.44143033976718</c:v>
                </c:pt>
                <c:pt idx="133">
                  <c:v>189.47728827797133</c:v>
                </c:pt>
                <c:pt idx="134">
                  <c:v>189.51123422644147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mod.simp.!$W$2:$W$940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21696"/>
        <c:axId val="184223616"/>
      </c:scatterChart>
      <c:valAx>
        <c:axId val="18422169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4223616"/>
        <c:crosses val="autoZero"/>
        <c:crossBetween val="midCat"/>
      </c:valAx>
      <c:valAx>
        <c:axId val="184223616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84221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mod.simp.!$X$2:$X$94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43712"/>
        <c:axId val="184245632"/>
      </c:scatterChart>
      <c:valAx>
        <c:axId val="184243712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4245632"/>
        <c:crosses val="autoZero"/>
        <c:crossBetween val="midCat"/>
      </c:valAx>
      <c:valAx>
        <c:axId val="18424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842437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mod.simp.!$Y$2:$Y$94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40768"/>
        <c:axId val="193442944"/>
      </c:scatterChart>
      <c:valAx>
        <c:axId val="19344076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93442944"/>
        <c:crosses val="autoZero"/>
        <c:crossBetween val="midCat"/>
      </c:valAx>
      <c:valAx>
        <c:axId val="193442944"/>
        <c:scaling>
          <c:orientation val="minMax"/>
          <c:max val="90"/>
          <c:min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93440768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mod.simp.!$Z$2:$Z$94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136.31852279464772</c:v>
                </c:pt>
                <c:pt idx="2">
                  <c:v>133.71474795809846</c:v>
                </c:pt>
                <c:pt idx="3">
                  <c:v>131.16085065640141</c:v>
                </c:pt>
                <c:pt idx="4">
                  <c:v>128.65587505725949</c:v>
                </c:pt>
                <c:pt idx="5">
                  <c:v>126.19888361232353</c:v>
                </c:pt>
                <c:pt idx="6">
                  <c:v>123.78895668159478</c:v>
                </c:pt>
                <c:pt idx="7">
                  <c:v>121.42519215782782</c:v>
                </c:pt>
                <c:pt idx="8">
                  <c:v>119.10670509093309</c:v>
                </c:pt>
                <c:pt idx="9">
                  <c:v>116.83262731237949</c:v>
                </c:pt>
                <c:pt idx="10">
                  <c:v>114.6021070595971</c:v>
                </c:pt>
                <c:pt idx="11">
                  <c:v>112.41430860037998</c:v>
                </c:pt>
                <c:pt idx="12">
                  <c:v>110.26841185728868</c:v>
                </c:pt>
                <c:pt idx="13">
                  <c:v>108.16361203205287</c:v>
                </c:pt>
                <c:pt idx="14">
                  <c:v>106.09911922997419</c:v>
                </c:pt>
                <c:pt idx="15">
                  <c:v>104.0741580843288</c:v>
                </c:pt>
                <c:pt idx="16">
                  <c:v>102.08796738077002</c:v>
                </c:pt>
                <c:pt idx="17">
                  <c:v>100.13979968173112</c:v>
                </c:pt>
                <c:pt idx="18">
                  <c:v>98.228920950827813</c:v>
                </c:pt>
                <c:pt idx="19">
                  <c:v>96.35461017726108</c:v>
                </c:pt>
                <c:pt idx="20">
                  <c:v>94.516159000219801</c:v>
                </c:pt>
                <c:pt idx="21">
                  <c:v>92.712871333283346</c:v>
                </c:pt>
                <c:pt idx="22">
                  <c:v>90.944062988824314</c:v>
                </c:pt>
                <c:pt idx="23">
                  <c:v>89.209061302411214</c:v>
                </c:pt>
                <c:pt idx="24">
                  <c:v>87.507204757211085</c:v>
                </c:pt>
                <c:pt idx="25">
                  <c:v>85.837842608392108</c:v>
                </c:pt>
                <c:pt idx="26">
                  <c:v>84.200334507526463</c:v>
                </c:pt>
                <c:pt idx="27">
                  <c:v>82.59405012699284</c:v>
                </c:pt>
                <c:pt idx="28">
                  <c:v>81.018368784379106</c:v>
                </c:pt>
                <c:pt idx="29">
                  <c:v>79.472679066885021</c:v>
                </c:pt>
                <c:pt idx="30">
                  <c:v>77.956378455724987</c:v>
                </c:pt>
                <c:pt idx="31">
                  <c:v>76.468872950530496</c:v>
                </c:pt>
                <c:pt idx="32">
                  <c:v>75.009576693752976</c:v>
                </c:pt>
                <c:pt idx="33">
                  <c:v>73.577911595066482</c:v>
                </c:pt>
                <c:pt idx="34">
                  <c:v>72.173306955770187</c:v>
                </c:pt>
                <c:pt idx="35">
                  <c:v>70.795199093191215</c:v>
                </c:pt>
                <c:pt idx="36">
                  <c:v>69.443030965087218</c:v>
                </c:pt>
                <c:pt idx="37">
                  <c:v>68.11625179404912</c:v>
                </c:pt>
                <c:pt idx="38">
                  <c:v>66.814316691903713</c:v>
                </c:pt>
                <c:pt idx="39">
                  <c:v>65.536686284116314</c:v>
                </c:pt>
                <c:pt idx="40">
                  <c:v>64.282826334193516</c:v>
                </c:pt>
                <c:pt idx="41">
                  <c:v>63.052207368085774</c:v>
                </c:pt>
                <c:pt idx="42">
                  <c:v>61.844304298590167</c:v>
                </c:pt>
                <c:pt idx="43">
                  <c:v>60.658596049752951</c:v>
                </c:pt>
                <c:pt idx="44">
                  <c:v>59.494565181272286</c:v>
                </c:pt>
                <c:pt idx="45">
                  <c:v>58.351697512900913</c:v>
                </c:pt>
                <c:pt idx="46">
                  <c:v>57.229481748848798</c:v>
                </c:pt>
                <c:pt idx="47">
                  <c:v>56.127409102185815</c:v>
                </c:pt>
                <c:pt idx="48">
                  <c:v>55.044972919244451</c:v>
                </c:pt>
                <c:pt idx="49">
                  <c:v>53.981668304022321</c:v>
                </c:pt>
                <c:pt idx="50">
                  <c:v>52.936991742585057</c:v>
                </c:pt>
                <c:pt idx="51">
                  <c:v>51.910440727468824</c:v>
                </c:pt>
                <c:pt idx="52">
                  <c:v>50.901513382082989</c:v>
                </c:pt>
                <c:pt idx="53">
                  <c:v>49.909708085112918</c:v>
                </c:pt>
                <c:pt idx="54">
                  <c:v>48.934523094922426</c:v>
                </c:pt>
                <c:pt idx="55">
                  <c:v>47.97545617395668</c:v>
                </c:pt>
                <c:pt idx="56">
                  <c:v>47.032004213144745</c:v>
                </c:pt>
                <c:pt idx="57">
                  <c:v>46.103662856302179</c:v>
                </c:pt>
                <c:pt idx="58">
                  <c:v>45.189926124533912</c:v>
                </c:pt>
                <c:pt idx="59">
                  <c:v>44.290286040636673</c:v>
                </c:pt>
                <c:pt idx="60">
                  <c:v>43.40423225350186</c:v>
                </c:pt>
                <c:pt idx="61">
                  <c:v>42.531251662518066</c:v>
                </c:pt>
                <c:pt idx="62">
                  <c:v>41.670828041973806</c:v>
                </c:pt>
                <c:pt idx="63">
                  <c:v>40.822441665460211</c:v>
                </c:pt>
                <c:pt idx="64">
                  <c:v>39.985568930273651</c:v>
                </c:pt>
                <c:pt idx="65">
                  <c:v>39.159681981818387</c:v>
                </c:pt>
                <c:pt idx="66">
                  <c:v>38.344248338009315</c:v>
                </c:pt>
                <c:pt idx="67">
                  <c:v>37.53873051367453</c:v>
                </c:pt>
                <c:pt idx="68">
                  <c:v>36.742585644958119</c:v>
                </c:pt>
                <c:pt idx="69">
                  <c:v>35.955265113722717</c:v>
                </c:pt>
                <c:pt idx="70">
                  <c:v>35.176214171952211</c:v>
                </c:pt>
                <c:pt idx="71">
                  <c:v>34.404871566154405</c:v>
                </c:pt>
                <c:pt idx="72">
                  <c:v>33.640669161763746</c:v>
                </c:pt>
                <c:pt idx="73">
                  <c:v>32.883031567543902</c:v>
                </c:pt>
                <c:pt idx="74">
                  <c:v>32.131375759990476</c:v>
                </c:pt>
                <c:pt idx="75">
                  <c:v>31.385110707733702</c:v>
                </c:pt>
                <c:pt idx="76">
                  <c:v>30.64363699594098</c:v>
                </c:pt>
                <c:pt idx="77">
                  <c:v>29.906346450719795</c:v>
                </c:pt>
                <c:pt idx="78">
                  <c:v>29.172621763520091</c:v>
                </c:pt>
                <c:pt idx="79">
                  <c:v>28.441836115537122</c:v>
                </c:pt>
                <c:pt idx="80">
                  <c:v>27.713352802114112</c:v>
                </c:pt>
                <c:pt idx="81">
                  <c:v>26.986524857144815</c:v>
                </c:pt>
                <c:pt idx="82">
                  <c:v>26.260694677476387</c:v>
                </c:pt>
                <c:pt idx="83">
                  <c:v>25.535193647311807</c:v>
                </c:pt>
                <c:pt idx="84">
                  <c:v>24.809341762612668</c:v>
                </c:pt>
                <c:pt idx="85">
                  <c:v>24.082447255501833</c:v>
                </c:pt>
                <c:pt idx="86">
                  <c:v>23.353806218666186</c:v>
                </c:pt>
                <c:pt idx="87">
                  <c:v>22.622702229759117</c:v>
                </c:pt>
                <c:pt idx="88">
                  <c:v>21.888405975803362</c:v>
                </c:pt>
                <c:pt idx="89">
                  <c:v>21.150174877593528</c:v>
                </c:pt>
                <c:pt idx="90">
                  <c:v>20.407252714098984</c:v>
                </c:pt>
                <c:pt idx="91">
                  <c:v>19.658869246866125</c:v>
                </c:pt>
                <c:pt idx="92">
                  <c:v>18.904239844421518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72608"/>
        <c:axId val="198778880"/>
      </c:scatterChart>
      <c:valAx>
        <c:axId val="19877260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98778880"/>
        <c:crosses val="autoZero"/>
        <c:crossBetween val="midCat"/>
      </c:valAx>
      <c:valAx>
        <c:axId val="198778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98772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mod.simp.!$AA$2:$AA$94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26518.179844802413</c:v>
                </c:pt>
                <c:pt idx="2">
                  <c:v>26449.903381393447</c:v>
                </c:pt>
                <c:pt idx="3">
                  <c:v>26381.802709773881</c:v>
                </c:pt>
                <c:pt idx="4">
                  <c:v>26313.877377330136</c:v>
                </c:pt>
                <c:pt idx="5">
                  <c:v>26246.126932613992</c:v>
                </c:pt>
                <c:pt idx="6">
                  <c:v>26178.55092533955</c:v>
                </c:pt>
                <c:pt idx="7">
                  <c:v>26111.148906380222</c:v>
                </c:pt>
                <c:pt idx="8">
                  <c:v>26043.920427765694</c:v>
                </c:pt>
                <c:pt idx="9">
                  <c:v>25976.865042678884</c:v>
                </c:pt>
                <c:pt idx="10">
                  <c:v>25909.982305452937</c:v>
                </c:pt>
                <c:pt idx="11">
                  <c:v>25843.271771568161</c:v>
                </c:pt>
                <c:pt idx="12">
                  <c:v>25776.732997649044</c:v>
                </c:pt>
                <c:pt idx="13">
                  <c:v>25710.365541461175</c:v>
                </c:pt>
                <c:pt idx="14">
                  <c:v>25644.168961908257</c:v>
                </c:pt>
                <c:pt idx="15">
                  <c:v>25578.142819029046</c:v>
                </c:pt>
                <c:pt idx="16">
                  <c:v>25512.286673994346</c:v>
                </c:pt>
                <c:pt idx="17">
                  <c:v>25446.600089103951</c:v>
                </c:pt>
                <c:pt idx="18">
                  <c:v>25381.08262778366</c:v>
                </c:pt>
                <c:pt idx="19">
                  <c:v>25315.733854582195</c:v>
                </c:pt>
                <c:pt idx="20">
                  <c:v>25250.553335168213</c:v>
                </c:pt>
                <c:pt idx="21">
                  <c:v>25185.540636327256</c:v>
                </c:pt>
                <c:pt idx="22">
                  <c:v>25120.695325958732</c:v>
                </c:pt>
                <c:pt idx="23">
                  <c:v>25056.016973072863</c:v>
                </c:pt>
                <c:pt idx="24">
                  <c:v>24991.505147787699</c:v>
                </c:pt>
                <c:pt idx="25">
                  <c:v>24927.159421326043</c:v>
                </c:pt>
                <c:pt idx="26">
                  <c:v>24862.979366012449</c:v>
                </c:pt>
                <c:pt idx="27">
                  <c:v>24798.964555270177</c:v>
                </c:pt>
                <c:pt idx="28">
                  <c:v>24735.114563618194</c:v>
                </c:pt>
                <c:pt idx="29">
                  <c:v>24671.428966668092</c:v>
                </c:pt>
                <c:pt idx="30">
                  <c:v>24607.907341121107</c:v>
                </c:pt>
                <c:pt idx="31">
                  <c:v>24544.549264765079</c:v>
                </c:pt>
                <c:pt idx="32">
                  <c:v>24481.354316471385</c:v>
                </c:pt>
                <c:pt idx="33">
                  <c:v>24418.322076191973</c:v>
                </c:pt>
                <c:pt idx="34">
                  <c:v>24355.452124956289</c:v>
                </c:pt>
                <c:pt idx="35">
                  <c:v>24292.744044868239</c:v>
                </c:pt>
                <c:pt idx="36">
                  <c:v>24230.19741910321</c:v>
                </c:pt>
                <c:pt idx="37">
                  <c:v>24167.81183190499</c:v>
                </c:pt>
                <c:pt idx="38">
                  <c:v>24105.586868582755</c:v>
                </c:pt>
                <c:pt idx="39">
                  <c:v>24043.522115508058</c:v>
                </c:pt>
                <c:pt idx="40">
                  <c:v>23981.617160111779</c:v>
                </c:pt>
                <c:pt idx="41">
                  <c:v>23919.871590881088</c:v>
                </c:pt>
                <c:pt idx="42">
                  <c:v>23858.284997356452</c:v>
                </c:pt>
                <c:pt idx="43">
                  <c:v>23796.85697012856</c:v>
                </c:pt>
                <c:pt idx="44">
                  <c:v>23735.587100835332</c:v>
                </c:pt>
                <c:pt idx="45">
                  <c:v>23674.474982158856</c:v>
                </c:pt>
                <c:pt idx="46">
                  <c:v>23613.520207822396</c:v>
                </c:pt>
                <c:pt idx="47">
                  <c:v>23552.722372587337</c:v>
                </c:pt>
                <c:pt idx="48">
                  <c:v>23492.081072250163</c:v>
                </c:pt>
                <c:pt idx="49">
                  <c:v>23431.595903639405</c:v>
                </c:pt>
                <c:pt idx="50">
                  <c:v>23371.266464612661</c:v>
                </c:pt>
                <c:pt idx="51">
                  <c:v>23311.09235405353</c:v>
                </c:pt>
                <c:pt idx="52">
                  <c:v>23251.073171868582</c:v>
                </c:pt>
                <c:pt idx="53">
                  <c:v>23191.208518984353</c:v>
                </c:pt>
                <c:pt idx="54">
                  <c:v>23131.497997344282</c:v>
                </c:pt>
                <c:pt idx="55">
                  <c:v>23071.941209905719</c:v>
                </c:pt>
                <c:pt idx="56">
                  <c:v>23012.53776063686</c:v>
                </c:pt>
                <c:pt idx="57">
                  <c:v>22953.287254513747</c:v>
                </c:pt>
                <c:pt idx="58">
                  <c:v>22894.18929751722</c:v>
                </c:pt>
                <c:pt idx="59">
                  <c:v>22835.243496629904</c:v>
                </c:pt>
                <c:pt idx="60">
                  <c:v>22776.44945983314</c:v>
                </c:pt>
                <c:pt idx="61">
                  <c:v>22717.806796104021</c:v>
                </c:pt>
                <c:pt idx="62">
                  <c:v>22659.315115412308</c:v>
                </c:pt>
                <c:pt idx="63">
                  <c:v>22600.974028717421</c:v>
                </c:pt>
                <c:pt idx="64">
                  <c:v>22542.783147965409</c:v>
                </c:pt>
                <c:pt idx="65">
                  <c:v>22484.742086085917</c:v>
                </c:pt>
                <c:pt idx="66">
                  <c:v>22426.850456989167</c:v>
                </c:pt>
                <c:pt idx="67">
                  <c:v>22369.107875562917</c:v>
                </c:pt>
                <c:pt idx="68">
                  <c:v>22311.513957669427</c:v>
                </c:pt>
                <c:pt idx="69">
                  <c:v>22254.068320142451</c:v>
                </c:pt>
                <c:pt idx="70">
                  <c:v>22196.770580784181</c:v>
                </c:pt>
                <c:pt idx="71">
                  <c:v>22139.620358362259</c:v>
                </c:pt>
                <c:pt idx="72">
                  <c:v>22082.617272606672</c:v>
                </c:pt>
                <c:pt idx="73">
                  <c:v>22025.760944206831</c:v>
                </c:pt>
                <c:pt idx="74">
                  <c:v>21969.050994808422</c:v>
                </c:pt>
                <c:pt idx="75">
                  <c:v>21912.487047010476</c:v>
                </c:pt>
                <c:pt idx="76">
                  <c:v>21856.068724362292</c:v>
                </c:pt>
                <c:pt idx="77">
                  <c:v>21799.795651360411</c:v>
                </c:pt>
                <c:pt idx="78">
                  <c:v>21743.667453445578</c:v>
                </c:pt>
                <c:pt idx="79">
                  <c:v>21687.683756999744</c:v>
                </c:pt>
                <c:pt idx="80">
                  <c:v>21631.844189343024</c:v>
                </c:pt>
                <c:pt idx="81">
                  <c:v>21576.148378730642</c:v>
                </c:pt>
                <c:pt idx="82">
                  <c:v>21520.595954349927</c:v>
                </c:pt>
                <c:pt idx="83">
                  <c:v>21465.18654631728</c:v>
                </c:pt>
                <c:pt idx="84">
                  <c:v>21409.919785675149</c:v>
                </c:pt>
                <c:pt idx="85">
                  <c:v>21354.795304388997</c:v>
                </c:pt>
                <c:pt idx="86">
                  <c:v>21299.812735344243</c:v>
                </c:pt>
                <c:pt idx="87">
                  <c:v>21244.971712343293</c:v>
                </c:pt>
                <c:pt idx="88">
                  <c:v>21190.271870102453</c:v>
                </c:pt>
                <c:pt idx="89">
                  <c:v>21135.71284424893</c:v>
                </c:pt>
                <c:pt idx="90">
                  <c:v>21081.294271317794</c:v>
                </c:pt>
                <c:pt idx="91">
                  <c:v>21027.015788748951</c:v>
                </c:pt>
                <c:pt idx="92">
                  <c:v>20972.877034884124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01120"/>
        <c:axId val="198903296"/>
      </c:scatterChart>
      <c:valAx>
        <c:axId val="19890112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98903296"/>
        <c:crosses val="autoZero"/>
        <c:crossBetween val="midCat"/>
      </c:valAx>
      <c:valAx>
        <c:axId val="198903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98901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8624"/>
        <c:axId val="198940544"/>
      </c:scatterChart>
      <c:valAx>
        <c:axId val="19893862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98940544"/>
        <c:crosses val="autoZero"/>
        <c:crossBetween val="midCat"/>
      </c:valAx>
      <c:valAx>
        <c:axId val="19894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8938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75168"/>
        <c:axId val="199185152"/>
      </c:areaChart>
      <c:catAx>
        <c:axId val="19917516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99185152"/>
        <c:crosses val="autoZero"/>
        <c:auto val="1"/>
        <c:lblAlgn val="ctr"/>
        <c:lblOffset val="100"/>
        <c:noMultiLvlLbl val="0"/>
      </c:catAx>
      <c:valAx>
        <c:axId val="1991851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9175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mod.simp.!$U$1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mod.simp.!$U$2:$U$136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  <c:pt idx="93">
                  <c:v>2868.3898355396705</c:v>
                </c:pt>
                <c:pt idx="94">
                  <c:v>2862.0710529283938</c:v>
                </c:pt>
                <c:pt idx="95">
                  <c:v>2855.7791400694296</c:v>
                </c:pt>
                <c:pt idx="96">
                  <c:v>2849.5151560035924</c:v>
                </c:pt>
                <c:pt idx="97">
                  <c:v>2843.2801796444187</c:v>
                </c:pt>
                <c:pt idx="98">
                  <c:v>2837.0753102643334</c:v>
                </c:pt>
                <c:pt idx="99">
                  <c:v>2830.9016679808187</c:v>
                </c:pt>
                <c:pt idx="100">
                  <c:v>2824.7603942425771</c:v>
                </c:pt>
                <c:pt idx="101">
                  <c:v>2818.6526523156995</c:v>
                </c:pt>
                <c:pt idx="102">
                  <c:v>2812.57962776983</c:v>
                </c:pt>
                <c:pt idx="103">
                  <c:v>2806.5425289643367</c:v>
                </c:pt>
                <c:pt idx="104">
                  <c:v>2800.5425875344695</c:v>
                </c:pt>
                <c:pt idx="105">
                  <c:v>2794.5810588775357</c:v>
                </c:pt>
                <c:pt idx="106">
                  <c:v>2788.6592226390576</c:v>
                </c:pt>
                <c:pt idx="107">
                  <c:v>2782.7783831989468</c:v>
                </c:pt>
                <c:pt idx="108">
                  <c:v>2776.9398701576642</c:v>
                </c:pt>
                <c:pt idx="109">
                  <c:v>2771.1450388223898</c:v>
                </c:pt>
                <c:pt idx="110">
                  <c:v>2765.3952706931868</c:v>
                </c:pt>
                <c:pt idx="111">
                  <c:v>2759.6919739491705</c:v>
                </c:pt>
                <c:pt idx="112">
                  <c:v>2754.0365839346709</c:v>
                </c:pt>
                <c:pt idx="113">
                  <c:v>2748.4305636454028</c:v>
                </c:pt>
                <c:pt idx="114">
                  <c:v>2742.8754042146284</c:v>
                </c:pt>
                <c:pt idx="115">
                  <c:v>2737.3726253993282</c:v>
                </c:pt>
                <c:pt idx="116">
                  <c:v>2731.9237760663609</c:v>
                </c:pt>
                <c:pt idx="117">
                  <c:v>2726.5304346786365</c:v>
                </c:pt>
                <c:pt idx="118">
                  <c:v>2721.1942097812766</c:v>
                </c:pt>
                <c:pt idx="119">
                  <c:v>2715.9167404877844</c:v>
                </c:pt>
                <c:pt idx="120">
                  <c:v>2710.6996969662096</c:v>
                </c:pt>
                <c:pt idx="121">
                  <c:v>2705.544780925316</c:v>
                </c:pt>
                <c:pt idx="122">
                  <c:v>2700.453726100744</c:v>
                </c:pt>
                <c:pt idx="123">
                  <c:v>2695.428298741183</c:v>
                </c:pt>
                <c:pt idx="124">
                  <c:v>2690.4702980945322</c:v>
                </c:pt>
                <c:pt idx="125">
                  <c:v>2685.5815568940675</c:v>
                </c:pt>
                <c:pt idx="126">
                  <c:v>2680.7639418446111</c:v>
                </c:pt>
                <c:pt idx="127">
                  <c:v>2676.0193541086956</c:v>
                </c:pt>
                <c:pt idx="128">
                  <c:v>2671.3497297927292</c:v>
                </c:pt>
                <c:pt idx="129">
                  <c:v>2666.7570404331655</c:v>
                </c:pt>
                <c:pt idx="130">
                  <c:v>2662.2432934826625</c:v>
                </c:pt>
                <c:pt idx="131">
                  <c:v>2657.810532796258</c:v>
                </c:pt>
                <c:pt idx="132">
                  <c:v>2653.4608391175311</c:v>
                </c:pt>
                <c:pt idx="133">
                  <c:v>2649.1963305647673</c:v>
                </c:pt>
                <c:pt idx="134">
                  <c:v>2645.0191631171274</c:v>
                </c:pt>
              </c:numCache>
            </c:numRef>
          </c:val>
        </c:ser>
        <c:ser>
          <c:idx val="2"/>
          <c:order val="1"/>
          <c:tx>
            <c:strRef>
              <c:f>mod.simp.!$V$1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mod.simp.!$V$2:$V$136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  <c:pt idx="93">
                  <c:v>1397.762303462493</c:v>
                </c:pt>
                <c:pt idx="94">
                  <c:v>1398.4352068340399</c:v>
                </c:pt>
                <c:pt idx="95">
                  <c:v>1399.0706745209916</c:v>
                </c:pt>
                <c:pt idx="96">
                  <c:v>1399.6686915679118</c:v>
                </c:pt>
                <c:pt idx="97">
                  <c:v>1400.2292348088088</c:v>
                </c:pt>
                <c:pt idx="98">
                  <c:v>1400.7522727401597</c:v>
                </c:pt>
                <c:pt idx="99">
                  <c:v>1401.2377653939368</c:v>
                </c:pt>
                <c:pt idx="100">
                  <c:v>1401.6856642106325</c:v>
                </c:pt>
                <c:pt idx="101">
                  <c:v>1402.0959119122856</c:v>
                </c:pt>
                <c:pt idx="102">
                  <c:v>1402.4684423755064</c:v>
                </c:pt>
                <c:pt idx="103">
                  <c:v>1402.8031805045027</c:v>
                </c:pt>
                <c:pt idx="104">
                  <c:v>1403.1000421041051</c:v>
                </c:pt>
                <c:pt idx="105">
                  <c:v>1403.3589337527935</c:v>
                </c:pt>
                <c:pt idx="106">
                  <c:v>1403.5797526757203</c:v>
                </c:pt>
                <c:pt idx="107">
                  <c:v>1403.76238661774</c:v>
                </c:pt>
                <c:pt idx="108">
                  <c:v>1403.9067137164297</c:v>
                </c:pt>
                <c:pt idx="109">
                  <c:v>1404.0126023751207</c:v>
                </c:pt>
                <c:pt idx="110">
                  <c:v>1404.0799111359181</c:v>
                </c:pt>
                <c:pt idx="111">
                  <c:v>1404.1084885527314</c:v>
                </c:pt>
                <c:pt idx="112">
                  <c:v>1404.0981730642966</c:v>
                </c:pt>
                <c:pt idx="113">
                  <c:v>1404.0487928672039</c:v>
                </c:pt>
                <c:pt idx="114">
                  <c:v>1403.9601657889227</c:v>
                </c:pt>
                <c:pt idx="115">
                  <c:v>1403.8320991608266</c:v>
                </c:pt>
                <c:pt idx="116">
                  <c:v>1403.6643896912192</c:v>
                </c:pt>
                <c:pt idx="117">
                  <c:v>1403.4568233383616</c:v>
                </c:pt>
                <c:pt idx="118">
                  <c:v>1403.2091751834951</c:v>
                </c:pt>
                <c:pt idx="119">
                  <c:v>1402.9212093038686</c:v>
                </c:pt>
                <c:pt idx="120">
                  <c:v>1402.5926786457642</c:v>
                </c:pt>
                <c:pt idx="121">
                  <c:v>1402.223324897521</c:v>
                </c:pt>
                <c:pt idx="122">
                  <c:v>1401.8128783625648</c:v>
                </c:pt>
                <c:pt idx="123">
                  <c:v>1401.3610578324283</c:v>
                </c:pt>
                <c:pt idx="124">
                  <c:v>1400.8675704597811</c:v>
                </c:pt>
                <c:pt idx="125">
                  <c:v>1400.3321116314532</c:v>
                </c:pt>
                <c:pt idx="126">
                  <c:v>1399.7543648414608</c:v>
                </c:pt>
                <c:pt idx="127">
                  <c:v>1399.1340015640328</c:v>
                </c:pt>
                <c:pt idx="128">
                  <c:v>1398.470681126636</c:v>
                </c:pt>
                <c:pt idx="129">
                  <c:v>1397.7640505829995</c:v>
                </c:pt>
                <c:pt idx="130">
                  <c:v>1397.0137445861428</c:v>
                </c:pt>
                <c:pt idx="131">
                  <c:v>1396.219385261398</c:v>
                </c:pt>
                <c:pt idx="132">
                  <c:v>1395.3805820794396</c:v>
                </c:pt>
                <c:pt idx="133">
                  <c:v>1394.4969317293069</c:v>
                </c:pt>
                <c:pt idx="134">
                  <c:v>1393.5680179914302</c:v>
                </c:pt>
              </c:numCache>
            </c:numRef>
          </c:val>
        </c:ser>
        <c:ser>
          <c:idx val="3"/>
          <c:order val="2"/>
          <c:tx>
            <c:strRef>
              <c:f>mod.simp.!$W$1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mod.simp.!$W$2:$W$136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val>
        </c:ser>
        <c:ser>
          <c:idx val="0"/>
          <c:order val="3"/>
          <c:tx>
            <c:strRef>
              <c:f>mod.simp.!$X$1</c:f>
              <c:strCache>
                <c:ptCount val="1"/>
                <c:pt idx="0">
                  <c:v>N(Pu242)</c:v>
                </c:pt>
              </c:strCache>
            </c:strRef>
          </c:tx>
          <c:spPr>
            <a:solidFill>
              <a:schemeClr val="accent5"/>
            </a:solidFill>
          </c:spPr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mod.simp.!$X$2:$X$136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  <c:pt idx="93">
                  <c:v>110.63082230690483</c:v>
                </c:pt>
                <c:pt idx="94">
                  <c:v>111.09594475920284</c:v>
                </c:pt>
                <c:pt idx="95">
                  <c:v>111.57640496175161</c:v>
                </c:pt>
                <c:pt idx="96">
                  <c:v>112.07284660673504</c:v>
                </c:pt>
                <c:pt idx="97">
                  <c:v>112.58592999194212</c:v>
                </c:pt>
                <c:pt idx="98">
                  <c:v>113.11633230476053</c:v>
                </c:pt>
                <c:pt idx="99">
                  <c:v>113.6647479061695</c:v>
                </c:pt>
                <c:pt idx="100">
                  <c:v>114.23188861473339</c:v>
                </c:pt>
                <c:pt idx="101">
                  <c:v>114.81848399059501</c:v>
                </c:pt>
                <c:pt idx="102">
                  <c:v>115.42528161946885</c:v>
                </c:pt>
                <c:pt idx="103">
                  <c:v>116.05304739663435</c:v>
                </c:pt>
                <c:pt idx="104">
                  <c:v>116.7025658109294</c:v>
                </c:pt>
                <c:pt idx="105">
                  <c:v>117.37464022874342</c:v>
                </c:pt>
                <c:pt idx="106">
                  <c:v>118.07009317801095</c:v>
                </c:pt>
                <c:pt idx="107">
                  <c:v>118.78976663220469</c:v>
                </c:pt>
                <c:pt idx="108">
                  <c:v>119.53452229432887</c:v>
                </c:pt>
                <c:pt idx="109">
                  <c:v>120.30524188091282</c:v>
                </c:pt>
                <c:pt idx="110">
                  <c:v>121.10282740600391</c:v>
                </c:pt>
                <c:pt idx="111">
                  <c:v>121.92820146516114</c:v>
                </c:pt>
                <c:pt idx="112">
                  <c:v>122.78230751944832</c:v>
                </c:pt>
                <c:pt idx="113">
                  <c:v>123.66611017942742</c:v>
                </c:pt>
                <c:pt idx="114">
                  <c:v>124.58059548915188</c:v>
                </c:pt>
                <c:pt idx="115">
                  <c:v>125.52677121015995</c:v>
                </c:pt>
                <c:pt idx="116">
                  <c:v>126.50566710546798</c:v>
                </c:pt>
                <c:pt idx="117">
                  <c:v>127.51833522356375</c:v>
                </c:pt>
                <c:pt idx="118">
                  <c:v>128.56585018239969</c:v>
                </c:pt>
                <c:pt idx="119">
                  <c:v>129.64930945338637</c:v>
                </c:pt>
                <c:pt idx="120">
                  <c:v>130.76983364538575</c:v>
                </c:pt>
                <c:pt idx="121">
                  <c:v>131.92856678870425</c:v>
                </c:pt>
                <c:pt idx="122">
                  <c:v>133.12667661908645</c:v>
                </c:pt>
                <c:pt idx="123">
                  <c:v>134.36535486170828</c:v>
                </c:pt>
                <c:pt idx="124">
                  <c:v>135.64581751517017</c:v>
                </c:pt>
                <c:pt idx="125">
                  <c:v>136.96930513549046</c:v>
                </c:pt>
                <c:pt idx="126">
                  <c:v>138.33708312009884</c:v>
                </c:pt>
                <c:pt idx="127">
                  <c:v>139.75044199182946</c:v>
                </c:pt>
                <c:pt idx="128">
                  <c:v>141.21069768291432</c:v>
                </c:pt>
                <c:pt idx="129">
                  <c:v>142.71919181897678</c:v>
                </c:pt>
                <c:pt idx="130">
                  <c:v>144.27729200302451</c:v>
                </c:pt>
                <c:pt idx="131">
                  <c:v>145.88639209944296</c:v>
                </c:pt>
                <c:pt idx="132">
                  <c:v>147.54791251798895</c:v>
                </c:pt>
                <c:pt idx="133">
                  <c:v>149.26330049778355</c:v>
                </c:pt>
                <c:pt idx="134">
                  <c:v>151.03403039130563</c:v>
                </c:pt>
              </c:numCache>
            </c:numRef>
          </c:val>
        </c:ser>
        <c:ser>
          <c:idx val="5"/>
          <c:order val="4"/>
          <c:tx>
            <c:strRef>
              <c:f>mod.simp.!$Y$1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mod.simp.!$Y$2:$Y$136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  <c:pt idx="93">
                  <c:v>59.628562444728175</c:v>
                </c:pt>
                <c:pt idx="94">
                  <c:v>60.306900737379394</c:v>
                </c:pt>
                <c:pt idx="95">
                  <c:v>61.02268682649639</c:v>
                </c:pt>
                <c:pt idx="96">
                  <c:v>61.77733454305131</c:v>
                </c:pt>
                <c:pt idx="97">
                  <c:v>62.572295706831881</c:v>
                </c:pt>
                <c:pt idx="98">
                  <c:v>63.409060725627818</c:v>
                </c:pt>
                <c:pt idx="99">
                  <c:v>64.289159194417095</c:v>
                </c:pt>
                <c:pt idx="100">
                  <c:v>65.214160494552559</c:v>
                </c:pt>
                <c:pt idx="101">
                  <c:v>66.185674392948258</c:v>
                </c:pt>
                <c:pt idx="102">
                  <c:v>67.205351641265935</c:v>
                </c:pt>
                <c:pt idx="103">
                  <c:v>68.274884575101325</c:v>
                </c:pt>
                <c:pt idx="104">
                  <c:v>69.396007713170775</c:v>
                </c:pt>
                <c:pt idx="105">
                  <c:v>70.570498356497524</c:v>
                </c:pt>
                <c:pt idx="106">
                  <c:v>71.800177187598109</c:v>
                </c:pt>
                <c:pt idx="107">
                  <c:v>73.086908869669003</c:v>
                </c:pt>
                <c:pt idx="108">
                  <c:v>74.432602645772818</c:v>
                </c:pt>
                <c:pt idx="109">
                  <c:v>75.839212938024673</c:v>
                </c:pt>
                <c:pt idx="110">
                  <c:v>77.30873994677907</c:v>
                </c:pt>
                <c:pt idx="111">
                  <c:v>78.84323024981579</c:v>
                </c:pt>
                <c:pt idx="112">
                  <c:v>80.44477740152648</c:v>
                </c:pt>
                <c:pt idx="113">
                  <c:v>82.115522532101366</c:v>
                </c:pt>
                <c:pt idx="114">
                  <c:v>83.857654946715286</c:v>
                </c:pt>
                <c:pt idx="115">
                  <c:v>85.673412724714382</c:v>
                </c:pt>
                <c:pt idx="116">
                  <c:v>87.565083318802294</c:v>
                </c:pt>
                <c:pt idx="117">
                  <c:v>89.535004154226897</c:v>
                </c:pt>
                <c:pt idx="118">
                  <c:v>91.585563227966531</c:v>
                </c:pt>
                <c:pt idx="119">
                  <c:v>93.719199707916289</c:v>
                </c:pt>
                <c:pt idx="120">
                  <c:v>95.938404532074841</c:v>
                </c:pt>
                <c:pt idx="121">
                  <c:v>98.245721007730424</c:v>
                </c:pt>
                <c:pt idx="122">
                  <c:v>100.64374541064757</c:v>
                </c:pt>
                <c:pt idx="123">
                  <c:v>103.1351275842535</c:v>
                </c:pt>
                <c:pt idx="124">
                  <c:v>105.72257153882441</c:v>
                </c:pt>
                <c:pt idx="125">
                  <c:v>108.40883605067194</c:v>
                </c:pt>
                <c:pt idx="126">
                  <c:v>111.19673526132974</c:v>
                </c:pt>
                <c:pt idx="127">
                  <c:v>114.08913927673973</c:v>
                </c:pt>
                <c:pt idx="128">
                  <c:v>117.08897476643855</c:v>
                </c:pt>
                <c:pt idx="129">
                  <c:v>120.19922556274426</c:v>
                </c:pt>
                <c:pt idx="130">
                  <c:v>123.42293325994223</c:v>
                </c:pt>
                <c:pt idx="131">
                  <c:v>126.76319781347203</c:v>
                </c:pt>
                <c:pt idx="132">
                  <c:v>130.22317813911377</c:v>
                </c:pt>
                <c:pt idx="133">
                  <c:v>133.80609271217438</c:v>
                </c:pt>
                <c:pt idx="134">
                  <c:v>137.51522016667397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26496"/>
        <c:axId val="199228032"/>
      </c:areaChart>
      <c:catAx>
        <c:axId val="19922649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99228032"/>
        <c:crosses val="autoZero"/>
        <c:auto val="1"/>
        <c:lblAlgn val="ctr"/>
        <c:lblOffset val="100"/>
        <c:noMultiLvlLbl val="0"/>
      </c:catAx>
      <c:valAx>
        <c:axId val="1992280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9226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3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136071</xdr:colOff>
      <xdr:row>10</xdr:row>
      <xdr:rowOff>149679</xdr:rowOff>
    </xdr:from>
    <xdr:to>
      <xdr:col>25</xdr:col>
      <xdr:colOff>258537</xdr:colOff>
      <xdr:row>32</xdr:row>
      <xdr:rowOff>153760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5">
        <row r="43">
          <cell r="AJ43">
            <v>8.108319033774616E-3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opLeftCell="A11" zoomScale="70" zoomScaleNormal="70" workbookViewId="0">
      <selection activeCell="C24" sqref="C24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20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21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21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21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21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21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21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21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21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21"/>
      <c r="B19" s="45" t="s">
        <v>130</v>
      </c>
      <c r="C19" s="91">
        <f>SUM(L44:L51)</f>
        <v>1.1501445805447414E-2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21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21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22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19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9"/>
      <c r="B24" s="45" t="s">
        <v>58</v>
      </c>
      <c r="C24" s="76">
        <v>75</v>
      </c>
      <c r="I24" s="7"/>
    </row>
    <row r="25" spans="1:16" ht="15.75" customHeight="1" thickBot="1">
      <c r="A25" s="119"/>
      <c r="B25" s="45" t="s">
        <v>71</v>
      </c>
      <c r="C25" s="46">
        <f>C24/100*C23</f>
        <v>2250</v>
      </c>
      <c r="E25" s="9" t="s">
        <v>57</v>
      </c>
      <c r="G25" s="116" t="s">
        <v>141</v>
      </c>
      <c r="H25" s="117"/>
      <c r="I25" s="117"/>
      <c r="J25" s="118" t="s">
        <v>144</v>
      </c>
      <c r="K25" s="118"/>
    </row>
    <row r="26" spans="1:16" ht="15.75" thickBot="1">
      <c r="A26" s="119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19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19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19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19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19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19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19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19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8.108319033774616E-3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L2" sqref="L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C144"/>
  <sheetViews>
    <sheetView topLeftCell="D1" zoomScale="70" zoomScaleNormal="70" workbookViewId="0">
      <selection activeCell="T2" sqref="T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1" customWidth="1"/>
    <col min="9" max="10" width="6.375" style="111" customWidth="1"/>
    <col min="11" max="11" width="8.5" style="111" customWidth="1"/>
    <col min="12" max="12" width="6.375" style="111" customWidth="1"/>
    <col min="13" max="13" width="12.25" style="111" bestFit="1" customWidth="1"/>
    <col min="14" max="14" width="13.375" style="111" bestFit="1" customWidth="1"/>
    <col min="15" max="15" width="7.5" style="11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2" width="10.875" style="1" bestFit="1" customWidth="1"/>
    <col min="23" max="23" width="10.5" style="1" bestFit="1" customWidth="1"/>
    <col min="24" max="25" width="10.875" style="1" bestFit="1" customWidth="1"/>
    <col min="26" max="27" width="9.625" style="2" bestFit="1" customWidth="1"/>
    <col min="28" max="16384" width="15.5" style="2"/>
  </cols>
  <sheetData>
    <row r="1" spans="1:29" s="31" customFormat="1" ht="15.75" thickBot="1">
      <c r="A1" s="110" t="s">
        <v>149</v>
      </c>
      <c r="B1" s="5" t="s">
        <v>81</v>
      </c>
      <c r="C1" s="2"/>
      <c r="D1" s="29"/>
      <c r="E1" s="110" t="s">
        <v>148</v>
      </c>
      <c r="F1" s="111"/>
      <c r="G1" s="111"/>
      <c r="H1" s="111"/>
      <c r="I1" s="111"/>
      <c r="J1" s="111"/>
      <c r="K1" s="111"/>
      <c r="L1" s="111"/>
      <c r="M1" s="111"/>
      <c r="N1" s="109" t="s">
        <v>147</v>
      </c>
      <c r="O1" s="111"/>
      <c r="P1" s="109"/>
      <c r="Q1" s="106" t="s">
        <v>23</v>
      </c>
      <c r="R1" s="30" t="s">
        <v>24</v>
      </c>
      <c r="S1" s="34" t="s">
        <v>25</v>
      </c>
      <c r="T1" s="32" t="s">
        <v>26</v>
      </c>
      <c r="U1" s="32" t="s">
        <v>28</v>
      </c>
      <c r="V1" s="36" t="s">
        <v>29</v>
      </c>
      <c r="W1" s="32" t="s">
        <v>31</v>
      </c>
      <c r="X1" s="32" t="s">
        <v>33</v>
      </c>
      <c r="Y1" s="32" t="s">
        <v>78</v>
      </c>
      <c r="Z1" s="32" t="s">
        <v>79</v>
      </c>
      <c r="AA1" s="32" t="s">
        <v>80</v>
      </c>
    </row>
    <row r="2" spans="1:29" ht="15.75" thickBot="1">
      <c r="A2" s="101" t="s">
        <v>7</v>
      </c>
      <c r="B2" s="73">
        <f>Données!D10</f>
        <v>19.041708027546772</v>
      </c>
      <c r="D2" s="16"/>
      <c r="F2" s="112">
        <f>-(Données!I$44*1E-24*B$12+Données!F$44)</f>
        <v>-5.7434633429516339E-9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O2" s="112">
        <f t="array" ref="O2:O9">MMULT($F$2:$M$9,B2:B9)</f>
        <v>-1.0936535204340274E-7</v>
      </c>
      <c r="Q2" s="107">
        <v>0</v>
      </c>
      <c r="R2" s="26">
        <f t="shared" ref="R2:R65" si="0">S2/(3600*365*24)</f>
        <v>0</v>
      </c>
      <c r="S2" s="17">
        <f t="shared" ref="S2:S65" si="1">Q2*D$5</f>
        <v>0</v>
      </c>
      <c r="T2" s="42">
        <f>$B$2+$O$2*$S2+$O$12*$S2^2/2+$O$22*$S2^3/6+$O$32*$S2^4/24+$O$42*$S2^5/(5*24)</f>
        <v>19.041708027546772</v>
      </c>
      <c r="U2" s="42">
        <f>$B$3+$O$3*$S2+$O$13*$S2^2/2+$O$23*$S2^3/6+$O$33*$S2^4/24+$O$43*$S2^5/(5*24)</f>
        <v>3461.5820803761339</v>
      </c>
      <c r="V2" s="42">
        <f>$B$4+$O$4*$S2+$O$14*$S2^2/2+$O$24*$S2^3/6+$O$34*$S2^4/24+$O$44*$S2^5/(5*24)</f>
        <v>1154.5288235649409</v>
      </c>
      <c r="W2" s="42">
        <f>$B$5+$O$5*$S2+$O$15*$S2^2/2+$O$25*$S2^3/6+$O$35*$S2^4/24+$O$45*$S2^5/(5*24)</f>
        <v>241.52903340204062</v>
      </c>
      <c r="X2" s="42">
        <f>$B$6+$O$6*$S2+$O$16*$S2^2/2+$O$26*$S2^3/6+$O$36*$S2^4/24+$O$46*$S2^5/(5*24)</f>
        <v>82.180003066254471</v>
      </c>
      <c r="Y2" s="42">
        <f>$B$7+$O$7*$S2+$O$17*$S2^2/2+$O$27*$S2^3/6+$O$37*$S2^4/24+$O$47*$S2^5/(5*24)</f>
        <v>52.114148285917473</v>
      </c>
      <c r="Z2" s="42">
        <f>$B$8+$O$8*$S2+$O$18*$S2^2/2+$O$28*$S2^3/6+$O$38*$S2^4/24+$O$48*$S2^5/(5*24)</f>
        <v>138.97314965789133</v>
      </c>
      <c r="AA2" s="42">
        <f>$B$9+$O$9*$S2+$O$19*$S2^2/2+$O$29*$S2^3/6+$O$39*$S2^4/24+$O$49*$S2^5/(5*24)</f>
        <v>26586.632553782751</v>
      </c>
    </row>
    <row r="3" spans="1:29" ht="15.75" thickBot="1">
      <c r="A3" s="101" t="s">
        <v>9</v>
      </c>
      <c r="B3" s="73">
        <f>Données!D11</f>
        <v>3461.5820803761339</v>
      </c>
      <c r="F3" s="112">
        <f>Données!H$44*1E-24*B$12</f>
        <v>1.5619926534195389E-9</v>
      </c>
      <c r="G3" s="112">
        <f>-(Données!I$45*1E-24*B$12+Données!F$45)</f>
        <v>-6.9349911725794344E-9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2">
        <f>(Données!H$51*1E-24*B$12)</f>
        <v>8.2599399375528609E-10</v>
      </c>
      <c r="O3" s="112">
        <v>-2.015899358916743E-6</v>
      </c>
      <c r="Q3" s="108">
        <v>1</v>
      </c>
      <c r="R3" s="27">
        <f t="shared" si="0"/>
        <v>8.3333333333333329E-2</v>
      </c>
      <c r="S3" s="18">
        <f t="shared" si="1"/>
        <v>2628000</v>
      </c>
      <c r="T3" s="42">
        <f t="shared" ref="T3:T66" si="2">$B$2+$O$2*$S3+$O$12*$S3^2/2+$O$22*$S3^3/6+$O$32*$S3^4/24+$O$42*$S3^5/(5*24)</f>
        <v>18.75645408406017</v>
      </c>
      <c r="U3" s="42">
        <f t="shared" ref="U3:U66" si="3">$B$3+$O$3*$S3+$O$13*$S3^2/2+$O$23*$S3^3/6+$O$33*$S3^4/24+$O$43*$S3^5/(5*24)</f>
        <v>3456.2578200885641</v>
      </c>
      <c r="V3" s="42">
        <f t="shared" ref="V3:V66" si="4">$B$4+$O$4*$S3+$O$14*$S3^2/2+$O$24*$S3^3/6+$O$34*$S3^4/24+$O$44*$S3^5/(5*24)</f>
        <v>1159.3325357284086</v>
      </c>
      <c r="W3" s="42">
        <f t="shared" ref="W3:W66" si="5">$B$5+$O$5*$S3+$O$15*$S3^2/2+$O$25*$S3^3/6+$O$35*$S3^4/24+$O$45*$S3^5/(5*24)</f>
        <v>239.19737987227384</v>
      </c>
      <c r="X3" s="42">
        <f t="shared" ref="X3:X66" si="6">$B$6+$O$6*$S3+$O$16*$S3^2/2+$O$26*$S3^3/6+$O$36*$S3^4/24+$O$46*$S3^5/(5*24)</f>
        <v>82.677242875259623</v>
      </c>
      <c r="Y3" s="42">
        <f t="shared" ref="Y3:Y66" si="7">$B$7+$O$7*$S3+$O$17*$S3^2/2+$O$27*$S3^3/6+$O$37*$S3^4/24+$O$47*$S3^5/(5*24)</f>
        <v>52.221948130898213</v>
      </c>
      <c r="Z3" s="42">
        <f t="shared" ref="Z3:Z66" si="8">$B$8+$O$8*$S3+$O$18*$S3^2/2+$O$28*$S3^3/6+$O$38*$S3^4/24+$O$48*$S3^5/(5*24)</f>
        <v>136.31852279464772</v>
      </c>
      <c r="AA3" s="42">
        <f t="shared" ref="AA3:AA66" si="9">$B$9+$O$9*$S3+$O$19*$S3^2/2+$O$29*$S3^3/6+$O$39*$S3^4/24+$O$49*$S3^5/(5*24)</f>
        <v>26518.179844802413</v>
      </c>
    </row>
    <row r="4" spans="1:29" ht="15.75" thickBot="1">
      <c r="A4" s="101" t="s">
        <v>10</v>
      </c>
      <c r="B4" s="73">
        <f>Données!D12</f>
        <v>1154.5288235649409</v>
      </c>
      <c r="D4" s="3" t="s">
        <v>39</v>
      </c>
      <c r="E4" s="110"/>
      <c r="F4" s="113">
        <v>0</v>
      </c>
      <c r="G4" s="112">
        <f>Données!H$45*1E-24*B$12</f>
        <v>1.4380810506627284E-9</v>
      </c>
      <c r="H4" s="112">
        <f>-(Données!I$46*1E-24*B$12+Données!F$46)</f>
        <v>-2.71952737369777E-9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O4" s="112">
        <v>1.8382628556946444E-6</v>
      </c>
      <c r="P4" s="110"/>
      <c r="Q4" s="108">
        <v>2</v>
      </c>
      <c r="R4" s="27">
        <f t="shared" si="0"/>
        <v>0.16666666666666666</v>
      </c>
      <c r="S4" s="18">
        <f t="shared" si="1"/>
        <v>5256000</v>
      </c>
      <c r="T4" s="42">
        <f t="shared" si="2"/>
        <v>18.475473381807451</v>
      </c>
      <c r="U4" s="42">
        <f t="shared" si="3"/>
        <v>3450.8815097280003</v>
      </c>
      <c r="V4" s="42">
        <f t="shared" si="4"/>
        <v>1164.0818898803097</v>
      </c>
      <c r="W4" s="42">
        <f t="shared" si="5"/>
        <v>236.94721362277392</v>
      </c>
      <c r="X4" s="42">
        <f t="shared" si="6"/>
        <v>83.163231226918398</v>
      </c>
      <c r="Y4" s="42">
        <f t="shared" si="7"/>
        <v>52.318822215222603</v>
      </c>
      <c r="Z4" s="42">
        <f t="shared" si="8"/>
        <v>133.71474795809846</v>
      </c>
      <c r="AA4" s="42">
        <f t="shared" si="9"/>
        <v>26449.903381393447</v>
      </c>
    </row>
    <row r="5" spans="1:29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3">
        <v>0</v>
      </c>
      <c r="G5" s="113">
        <v>0</v>
      </c>
      <c r="H5" s="112">
        <f>Données!H$46*1E-24*B$12</f>
        <v>1.427077800367472E-9</v>
      </c>
      <c r="I5" s="112">
        <f>-(Données!I$47*1E-24*B$12+Données!F$47)</f>
        <v>-1.0560453001086941E-8</v>
      </c>
      <c r="J5" s="113">
        <v>0</v>
      </c>
      <c r="K5" s="113">
        <v>0</v>
      </c>
      <c r="L5" s="113">
        <v>0</v>
      </c>
      <c r="M5" s="113">
        <v>0</v>
      </c>
      <c r="O5" s="112">
        <v>-9.0305355164630673E-7</v>
      </c>
      <c r="Q5" s="108">
        <v>3</v>
      </c>
      <c r="R5" s="27">
        <f t="shared" si="0"/>
        <v>0.25</v>
      </c>
      <c r="S5" s="18">
        <f t="shared" si="1"/>
        <v>7884000</v>
      </c>
      <c r="T5" s="42">
        <f t="shared" si="2"/>
        <v>18.198701905411959</v>
      </c>
      <c r="U5" s="42">
        <f t="shared" si="3"/>
        <v>3445.4544852047056</v>
      </c>
      <c r="V5" s="42">
        <f t="shared" si="4"/>
        <v>1168.7770796419172</v>
      </c>
      <c r="W5" s="42">
        <f t="shared" si="5"/>
        <v>234.77610350031111</v>
      </c>
      <c r="X5" s="42">
        <f t="shared" si="6"/>
        <v>83.638308826912052</v>
      </c>
      <c r="Y5" s="42">
        <f t="shared" si="7"/>
        <v>52.405270453893458</v>
      </c>
      <c r="Z5" s="42">
        <f t="shared" si="8"/>
        <v>131.16085065640141</v>
      </c>
      <c r="AA5" s="42">
        <f t="shared" si="9"/>
        <v>26381.802709773881</v>
      </c>
    </row>
    <row r="6" spans="1:29" ht="15.75" thickBot="1">
      <c r="A6" s="101" t="s">
        <v>13</v>
      </c>
      <c r="B6" s="73">
        <f>Données!D14</f>
        <v>82.180003066254471</v>
      </c>
      <c r="F6" s="113">
        <v>0</v>
      </c>
      <c r="G6" s="113">
        <v>0</v>
      </c>
      <c r="H6" s="113">
        <v>0</v>
      </c>
      <c r="I6" s="112">
        <f>Données!H$47*1E-24*B$12</f>
        <v>1.4051025590107522E-9</v>
      </c>
      <c r="J6" s="112">
        <f>-(Données!I$48*1E-24*B$12+Données!F$48)</f>
        <v>-2.3381555221817427E-9</v>
      </c>
      <c r="K6" s="112">
        <f>Données!I$49*1E-24*B$12*0.85*0.16</f>
        <v>8.475601142601187E-10</v>
      </c>
      <c r="L6" s="113">
        <v>0</v>
      </c>
      <c r="M6" s="113">
        <v>0</v>
      </c>
      <c r="O6" s="112">
        <v>1.9139330840210629E-7</v>
      </c>
      <c r="Q6" s="108">
        <v>4</v>
      </c>
      <c r="R6" s="27">
        <f t="shared" si="0"/>
        <v>0.33333333333333331</v>
      </c>
      <c r="S6" s="18">
        <f t="shared" si="1"/>
        <v>10512000</v>
      </c>
      <c r="T6" s="42">
        <f t="shared" si="2"/>
        <v>17.926076597993418</v>
      </c>
      <c r="U6" s="42">
        <f t="shared" si="3"/>
        <v>3439.9780570882031</v>
      </c>
      <c r="V6" s="42">
        <f t="shared" si="4"/>
        <v>1173.418302232566</v>
      </c>
      <c r="W6" s="42">
        <f t="shared" si="5"/>
        <v>232.68168550302579</v>
      </c>
      <c r="X6" s="42">
        <f t="shared" si="6"/>
        <v>84.102806575148861</v>
      </c>
      <c r="Y6" s="42">
        <f t="shared" si="7"/>
        <v>52.481775026391347</v>
      </c>
      <c r="Z6" s="42">
        <f t="shared" si="8"/>
        <v>128.65587505725949</v>
      </c>
      <c r="AA6" s="42">
        <f t="shared" si="9"/>
        <v>26313.877377330136</v>
      </c>
    </row>
    <row r="7" spans="1:29" ht="15.75" thickBot="1">
      <c r="A7" s="101" t="s">
        <v>14</v>
      </c>
      <c r="B7" s="73">
        <f>Données!D15</f>
        <v>52.114148285917473</v>
      </c>
      <c r="D7" s="3" t="s">
        <v>154</v>
      </c>
      <c r="F7" s="113">
        <v>0</v>
      </c>
      <c r="G7" s="113">
        <v>0</v>
      </c>
      <c r="H7" s="113">
        <v>0</v>
      </c>
      <c r="I7" s="113">
        <f>Données!F$47</f>
        <v>1.5343492432592516E-9</v>
      </c>
      <c r="J7" s="113">
        <v>0</v>
      </c>
      <c r="K7" s="112">
        <f>-(Données!I$49*1E-24*B$12+Données!F$49)</f>
        <v>-6.2828676916701522E-9</v>
      </c>
      <c r="L7" s="113">
        <v>0</v>
      </c>
      <c r="M7" s="113">
        <v>0</v>
      </c>
      <c r="O7" s="112">
        <v>4.3163591081061186E-8</v>
      </c>
      <c r="P7" s="110"/>
      <c r="Q7" s="108">
        <v>5</v>
      </c>
      <c r="R7" s="27">
        <f t="shared" si="0"/>
        <v>0.41666666666666669</v>
      </c>
      <c r="S7" s="18">
        <f t="shared" si="1"/>
        <v>13140000</v>
      </c>
      <c r="T7" s="42">
        <f t="shared" si="2"/>
        <v>17.657535346250199</v>
      </c>
      <c r="U7" s="42">
        <f t="shared" si="3"/>
        <v>3434.453511093448</v>
      </c>
      <c r="V7" s="42">
        <f t="shared" si="4"/>
        <v>1178.0057583426776</v>
      </c>
      <c r="W7" s="42">
        <f t="shared" si="5"/>
        <v>230.66166082255856</v>
      </c>
      <c r="X7" s="42">
        <f t="shared" si="6"/>
        <v>84.557045849757287</v>
      </c>
      <c r="Y7" s="42">
        <f t="shared" si="7"/>
        <v>52.548800975861084</v>
      </c>
      <c r="Z7" s="42">
        <f t="shared" si="8"/>
        <v>126.19888361232353</v>
      </c>
      <c r="AA7" s="42">
        <f t="shared" si="9"/>
        <v>26246.126932613992</v>
      </c>
      <c r="AC7" s="19"/>
    </row>
    <row r="8" spans="1:29" ht="15.75" thickBot="1">
      <c r="A8" s="101" t="s">
        <v>15</v>
      </c>
      <c r="B8" s="73">
        <f>Données!D16</f>
        <v>138.97314965789133</v>
      </c>
      <c r="D8" s="16" t="s">
        <v>155</v>
      </c>
      <c r="F8" s="113">
        <v>0</v>
      </c>
      <c r="G8" s="112">
        <f>Données!F$45</f>
        <v>9.1163637120235491E-13</v>
      </c>
      <c r="H8" s="113">
        <v>0</v>
      </c>
      <c r="I8" s="113">
        <v>0</v>
      </c>
      <c r="J8" s="113">
        <v>0</v>
      </c>
      <c r="K8" s="113">
        <v>0</v>
      </c>
      <c r="L8" s="112">
        <f>-(Données!I$50*1E-24*B$12+Données!F$50)</f>
        <v>-7.3617684041897035E-9</v>
      </c>
      <c r="M8" s="113">
        <v>0</v>
      </c>
      <c r="O8" s="112">
        <v>-1.0199324380558183E-6</v>
      </c>
      <c r="Q8" s="108">
        <v>6</v>
      </c>
      <c r="R8" s="27">
        <f t="shared" si="0"/>
        <v>0.5</v>
      </c>
      <c r="S8" s="18">
        <f t="shared" si="1"/>
        <v>15768000</v>
      </c>
      <c r="T8" s="42">
        <f t="shared" si="2"/>
        <v>17.393016965541658</v>
      </c>
      <c r="U8" s="42">
        <f t="shared" si="3"/>
        <v>3428.8821085669852</v>
      </c>
      <c r="V8" s="42">
        <f t="shared" si="4"/>
        <v>1182.539652006787</v>
      </c>
      <c r="W8" s="42">
        <f t="shared" si="5"/>
        <v>228.71379388617999</v>
      </c>
      <c r="X8" s="42">
        <f t="shared" si="6"/>
        <v>85.00133879107949</v>
      </c>
      <c r="Y8" s="42">
        <f t="shared" si="7"/>
        <v>52.606796808298085</v>
      </c>
      <c r="Z8" s="42">
        <f t="shared" si="8"/>
        <v>123.78895668159478</v>
      </c>
      <c r="AA8" s="42">
        <f t="shared" si="9"/>
        <v>26178.55092533955</v>
      </c>
      <c r="AC8" s="19"/>
    </row>
    <row r="9" spans="1:29" ht="15.75" thickBot="1">
      <c r="A9" s="101" t="s">
        <v>16</v>
      </c>
      <c r="B9" s="73">
        <f>Données!D17</f>
        <v>26586.632553782751</v>
      </c>
      <c r="F9" s="113">
        <v>0</v>
      </c>
      <c r="G9" s="113">
        <v>0</v>
      </c>
      <c r="H9" s="113">
        <v>0</v>
      </c>
      <c r="I9" s="113">
        <v>0</v>
      </c>
      <c r="J9" s="112">
        <f>Données!F$48</f>
        <v>5.8612141092503409E-14</v>
      </c>
      <c r="K9" s="113">
        <v>0</v>
      </c>
      <c r="L9" s="113">
        <v>0</v>
      </c>
      <c r="M9" s="112">
        <f>-(Données!I$51*1E-24*B$12+Données!F$51)</f>
        <v>-9.8098353166876458E-10</v>
      </c>
      <c r="O9" s="112">
        <v>-2.6081043881043615E-5</v>
      </c>
      <c r="Q9" s="108">
        <v>7</v>
      </c>
      <c r="R9" s="27">
        <f t="shared" si="0"/>
        <v>0.58333333333333337</v>
      </c>
      <c r="S9" s="18">
        <f t="shared" si="1"/>
        <v>18396000</v>
      </c>
      <c r="T9" s="42">
        <f t="shared" si="2"/>
        <v>17.132461184970392</v>
      </c>
      <c r="U9" s="42">
        <f t="shared" si="3"/>
        <v>3423.2650869731233</v>
      </c>
      <c r="V9" s="42">
        <f t="shared" si="4"/>
        <v>1187.0201904765663</v>
      </c>
      <c r="W9" s="42">
        <f t="shared" si="5"/>
        <v>226.83591039892116</v>
      </c>
      <c r="X9" s="42">
        <f t="shared" si="6"/>
        <v>85.435988585664361</v>
      </c>
      <c r="Y9" s="42">
        <f t="shared" si="7"/>
        <v>52.656195091734823</v>
      </c>
      <c r="Z9" s="42">
        <f t="shared" si="8"/>
        <v>121.42519215782782</v>
      </c>
      <c r="AA9" s="42">
        <f t="shared" si="9"/>
        <v>26111.148906380222</v>
      </c>
      <c r="AC9" s="19"/>
    </row>
    <row r="10" spans="1:29">
      <c r="Q10" s="108">
        <v>8</v>
      </c>
      <c r="R10" s="27">
        <f t="shared" si="0"/>
        <v>0.66666666666666663</v>
      </c>
      <c r="S10" s="18">
        <f t="shared" si="1"/>
        <v>21024000</v>
      </c>
      <c r="T10" s="42">
        <f t="shared" si="2"/>
        <v>16.875808632464576</v>
      </c>
      <c r="U10" s="42">
        <f t="shared" si="3"/>
        <v>3417.6036603800944</v>
      </c>
      <c r="V10" s="42">
        <f t="shared" si="4"/>
        <v>1191.4475840938514</v>
      </c>
      <c r="W10" s="42">
        <f t="shared" si="5"/>
        <v>225.02589538570362</v>
      </c>
      <c r="X10" s="42">
        <f t="shared" si="6"/>
        <v>85.861289750261079</v>
      </c>
      <c r="Y10" s="42">
        <f t="shared" si="7"/>
        <v>52.697413055427276</v>
      </c>
      <c r="Z10" s="42">
        <f t="shared" si="8"/>
        <v>119.10670509093309</v>
      </c>
      <c r="AA10" s="42">
        <f t="shared" si="9"/>
        <v>26043.920427765694</v>
      </c>
      <c r="AC10" s="19"/>
    </row>
    <row r="11" spans="1:29" ht="15.75" thickBot="1">
      <c r="B11" s="101" t="s">
        <v>59</v>
      </c>
      <c r="N11" s="109" t="s">
        <v>150</v>
      </c>
      <c r="Q11" s="108">
        <v>9</v>
      </c>
      <c r="R11" s="27">
        <f t="shared" si="0"/>
        <v>0.75</v>
      </c>
      <c r="S11" s="18">
        <f t="shared" si="1"/>
        <v>23652000</v>
      </c>
      <c r="T11" s="42">
        <f t="shared" si="2"/>
        <v>16.62300081986022</v>
      </c>
      <c r="U11" s="42">
        <f t="shared" si="3"/>
        <v>3411.8990199462273</v>
      </c>
      <c r="V11" s="42">
        <f t="shared" si="4"/>
        <v>1195.822046163669</v>
      </c>
      <c r="W11" s="42">
        <f t="shared" si="5"/>
        <v>223.28169123346962</v>
      </c>
      <c r="X11" s="42">
        <f t="shared" si="6"/>
        <v>86.277528415812341</v>
      </c>
      <c r="Y11" s="42">
        <f t="shared" si="7"/>
        <v>52.730853189041355</v>
      </c>
      <c r="Z11" s="42">
        <f t="shared" si="8"/>
        <v>116.83262731237949</v>
      </c>
      <c r="AA11" s="42">
        <f t="shared" si="9"/>
        <v>25976.865042678884</v>
      </c>
      <c r="AC11" s="19"/>
    </row>
    <row r="12" spans="1:29">
      <c r="B12" s="75">
        <f>IF(R2&lt;Données!C$26/365,Données!C$30,0)</f>
        <v>3125923379334265</v>
      </c>
      <c r="O12" s="112">
        <f t="array" ref="O12:O19">MMULT($F$2:$M$9,O2:O9)</f>
        <v>6.2813589045028421E-16</v>
      </c>
      <c r="Q12" s="108">
        <v>10</v>
      </c>
      <c r="R12" s="27">
        <f t="shared" si="0"/>
        <v>0.83333333333333337</v>
      </c>
      <c r="S12" s="18">
        <f t="shared" si="1"/>
        <v>26280000</v>
      </c>
      <c r="T12" s="42">
        <f t="shared" si="2"/>
        <v>16.37398012798349</v>
      </c>
      <c r="U12" s="42">
        <f t="shared" si="3"/>
        <v>3406.1523344061052</v>
      </c>
      <c r="V12" s="42">
        <f t="shared" si="4"/>
        <v>1200.1437928272592</v>
      </c>
      <c r="W12" s="42">
        <f t="shared" si="5"/>
        <v>221.60129573331213</v>
      </c>
      <c r="X12" s="42">
        <f t="shared" si="6"/>
        <v>86.68498261144758</v>
      </c>
      <c r="Y12" s="42">
        <f t="shared" si="7"/>
        <v>52.756903841839261</v>
      </c>
      <c r="Z12" s="42">
        <f t="shared" si="8"/>
        <v>114.6021070595971</v>
      </c>
      <c r="AA12" s="42">
        <f t="shared" si="9"/>
        <v>25909.982305452937</v>
      </c>
      <c r="AC12" s="19"/>
    </row>
    <row r="13" spans="1:29" ht="15">
      <c r="E13" s="110" t="s">
        <v>156</v>
      </c>
      <c r="O13" s="112">
        <v>-7.7333692141443642E-15</v>
      </c>
      <c r="Q13" s="108">
        <v>11</v>
      </c>
      <c r="R13" s="27">
        <f t="shared" si="0"/>
        <v>0.91666666666666663</v>
      </c>
      <c r="S13" s="18">
        <f t="shared" si="1"/>
        <v>28908000</v>
      </c>
      <c r="T13" s="42">
        <f t="shared" si="2"/>
        <v>16.128689791732988</v>
      </c>
      <c r="U13" s="42">
        <f t="shared" si="3"/>
        <v>3400.3647505567415</v>
      </c>
      <c r="V13" s="42">
        <f t="shared" si="4"/>
        <v>1204.4130429351037</v>
      </c>
      <c r="W13" s="42">
        <f t="shared" si="5"/>
        <v>219.98276012260501</v>
      </c>
      <c r="X13" s="42">
        <f t="shared" si="6"/>
        <v>87.083922548476494</v>
      </c>
      <c r="Y13" s="42">
        <f t="shared" si="7"/>
        <v>52.775939821865997</v>
      </c>
      <c r="Z13" s="42">
        <f t="shared" si="8"/>
        <v>112.41430860037998</v>
      </c>
      <c r="AA13" s="42">
        <f t="shared" si="9"/>
        <v>25843.271771568161</v>
      </c>
      <c r="AC13" s="19"/>
    </row>
    <row r="14" spans="1:29">
      <c r="F14" s="112">
        <f t="array" ref="F14:M21">MINVERSE(F2:M9)</f>
        <v>-174110974.56157666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O14" s="112">
        <v>-7.8982328242147285E-15</v>
      </c>
      <c r="Q14" s="108">
        <v>12</v>
      </c>
      <c r="R14" s="27">
        <f t="shared" si="0"/>
        <v>1</v>
      </c>
      <c r="S14" s="18">
        <f t="shared" si="1"/>
        <v>31536000</v>
      </c>
      <c r="T14" s="42">
        <f t="shared" si="2"/>
        <v>15.88707388516208</v>
      </c>
      <c r="U14" s="42">
        <f t="shared" si="3"/>
        <v>3394.5373937437366</v>
      </c>
      <c r="V14" s="42">
        <f t="shared" si="4"/>
        <v>1208.6300179199504</v>
      </c>
      <c r="W14" s="42">
        <f t="shared" si="5"/>
        <v>218.42418712713325</v>
      </c>
      <c r="X14" s="42">
        <f t="shared" si="6"/>
        <v>87.47461090438216</v>
      </c>
      <c r="Y14" s="42">
        <f t="shared" si="7"/>
        <v>52.788322995135772</v>
      </c>
      <c r="Z14" s="42">
        <f t="shared" si="8"/>
        <v>110.26841185728868</v>
      </c>
      <c r="AA14" s="42">
        <f t="shared" si="9"/>
        <v>25776.732997649044</v>
      </c>
      <c r="AC14" s="19"/>
    </row>
    <row r="15" spans="1:29">
      <c r="F15" s="112">
        <v>-39215645.951032281</v>
      </c>
      <c r="G15" s="112">
        <v>-144196340.80662197</v>
      </c>
      <c r="H15" s="112">
        <v>-243.80557610643598</v>
      </c>
      <c r="I15" s="112">
        <v>-464.61092584502109</v>
      </c>
      <c r="J15" s="112">
        <v>-3043.5721667766384</v>
      </c>
      <c r="K15" s="112">
        <v>-410.57849695803412</v>
      </c>
      <c r="L15" s="112">
        <v>0</v>
      </c>
      <c r="M15" s="112">
        <v>-121414180.34321976</v>
      </c>
      <c r="O15" s="112">
        <v>1.2159998702227401E-14</v>
      </c>
      <c r="Q15" s="108">
        <v>13</v>
      </c>
      <c r="R15" s="27">
        <f t="shared" si="0"/>
        <v>1.0833333333333333</v>
      </c>
      <c r="S15" s="18">
        <f t="shared" si="1"/>
        <v>34164000</v>
      </c>
      <c r="T15" s="42">
        <f t="shared" si="2"/>
        <v>15.64907730656115</v>
      </c>
      <c r="U15" s="42">
        <f t="shared" si="3"/>
        <v>3388.6713683474518</v>
      </c>
      <c r="V15" s="42">
        <f t="shared" si="4"/>
        <v>1212.7949416698386</v>
      </c>
      <c r="W15" s="42">
        <f t="shared" si="5"/>
        <v>216.92372900322292</v>
      </c>
      <c r="X15" s="42">
        <f t="shared" si="6"/>
        <v>87.85730310681447</v>
      </c>
      <c r="Y15" s="42">
        <f t="shared" si="7"/>
        <v>52.794402884818403</v>
      </c>
      <c r="Z15" s="42">
        <f t="shared" si="8"/>
        <v>108.16361203205287</v>
      </c>
      <c r="AA15" s="42">
        <f t="shared" si="9"/>
        <v>25710.365541461175</v>
      </c>
      <c r="AC15" s="25"/>
    </row>
    <row r="16" spans="1:29">
      <c r="F16" s="112">
        <v>-20737161.124801189</v>
      </c>
      <c r="G16" s="112">
        <v>-76250758.604040101</v>
      </c>
      <c r="H16" s="112">
        <v>-367711081.08114684</v>
      </c>
      <c r="I16" s="112">
        <v>-245.68539918026383</v>
      </c>
      <c r="J16" s="112">
        <v>-1609.435338543647</v>
      </c>
      <c r="K16" s="112">
        <v>-217.11315061414484</v>
      </c>
      <c r="L16" s="112">
        <v>0</v>
      </c>
      <c r="M16" s="112">
        <v>-64203594.242892787</v>
      </c>
      <c r="O16" s="112">
        <v>-1.679806439102451E-15</v>
      </c>
      <c r="Q16" s="108">
        <v>14</v>
      </c>
      <c r="R16" s="27">
        <f t="shared" si="0"/>
        <v>1.1666666666666667</v>
      </c>
      <c r="S16" s="18">
        <f t="shared" si="1"/>
        <v>36792000</v>
      </c>
      <c r="T16" s="42">
        <f t="shared" si="2"/>
        <v>15.414645763539928</v>
      </c>
      <c r="U16" s="42">
        <f t="shared" si="3"/>
        <v>3382.7677582691717</v>
      </c>
      <c r="V16" s="42">
        <f t="shared" si="4"/>
        <v>1216.9080404011254</v>
      </c>
      <c r="W16" s="42">
        <f t="shared" si="5"/>
        <v>215.47958557987144</v>
      </c>
      <c r="X16" s="42">
        <f t="shared" si="6"/>
        <v>88.232247617583283</v>
      </c>
      <c r="Y16" s="42">
        <f t="shared" si="7"/>
        <v>52.79451727042575</v>
      </c>
      <c r="Z16" s="42">
        <f t="shared" si="8"/>
        <v>106.09911922997419</v>
      </c>
      <c r="AA16" s="42">
        <f t="shared" si="9"/>
        <v>25644.168961908257</v>
      </c>
      <c r="AC16" s="19"/>
    </row>
    <row r="17" spans="5:29">
      <c r="F17" s="112">
        <v>-2802298.564351473</v>
      </c>
      <c r="G17" s="112">
        <v>-10304081.165249703</v>
      </c>
      <c r="H17" s="112">
        <v>-49690323.010387696</v>
      </c>
      <c r="I17" s="112">
        <v>-94692940.777185738</v>
      </c>
      <c r="J17" s="112">
        <v>-217.48967042665191</v>
      </c>
      <c r="K17" s="112">
        <v>-29.33940024896615</v>
      </c>
      <c r="L17" s="112">
        <v>0</v>
      </c>
      <c r="M17" s="112">
        <v>-8676097.8945129272</v>
      </c>
      <c r="O17" s="112">
        <v>-1.6567906654507515E-15</v>
      </c>
      <c r="Q17" s="108">
        <v>15</v>
      </c>
      <c r="R17" s="27">
        <f t="shared" si="0"/>
        <v>1.25</v>
      </c>
      <c r="S17" s="18">
        <f t="shared" si="1"/>
        <v>39420000</v>
      </c>
      <c r="T17" s="42">
        <f t="shared" si="2"/>
        <v>15.183725758109764</v>
      </c>
      <c r="U17" s="42">
        <f t="shared" si="3"/>
        <v>3376.8276274172727</v>
      </c>
      <c r="V17" s="42">
        <f t="shared" si="4"/>
        <v>1220.9695425315117</v>
      </c>
      <c r="W17" s="42">
        <f t="shared" si="5"/>
        <v>214.09000230087779</v>
      </c>
      <c r="X17" s="42">
        <f t="shared" si="6"/>
        <v>88.599686216652032</v>
      </c>
      <c r="Y17" s="42">
        <f t="shared" si="7"/>
        <v>52.788992786998165</v>
      </c>
      <c r="Z17" s="42">
        <f t="shared" si="8"/>
        <v>104.0741580843288</v>
      </c>
      <c r="AA17" s="42">
        <f t="shared" si="9"/>
        <v>25578.142819029046</v>
      </c>
      <c r="AC17" s="19"/>
    </row>
    <row r="18" spans="5:29">
      <c r="F18" s="112">
        <v>-1932098.9842954478</v>
      </c>
      <c r="G18" s="112">
        <v>-7104348.1971322941</v>
      </c>
      <c r="H18" s="112">
        <v>-34259954.966611959</v>
      </c>
      <c r="I18" s="112">
        <v>-65287880.821467891</v>
      </c>
      <c r="J18" s="112">
        <v>-427687697.04381108</v>
      </c>
      <c r="K18" s="112">
        <v>-57695156.282646455</v>
      </c>
      <c r="L18" s="112">
        <v>0</v>
      </c>
      <c r="M18" s="112">
        <v>-5981903.6211495632</v>
      </c>
      <c r="O18" s="112">
        <v>7.5066686297112245E-15</v>
      </c>
      <c r="Q18" s="108">
        <v>16</v>
      </c>
      <c r="R18" s="27">
        <f t="shared" si="0"/>
        <v>1.3333333333333333</v>
      </c>
      <c r="S18" s="18">
        <f t="shared" si="1"/>
        <v>42048000</v>
      </c>
      <c r="T18" s="42">
        <f t="shared" si="2"/>
        <v>14.956264571765949</v>
      </c>
      <c r="U18" s="42">
        <f t="shared" si="3"/>
        <v>3370.8520201933834</v>
      </c>
      <c r="V18" s="42">
        <f t="shared" si="4"/>
        <v>1224.9796785530659</v>
      </c>
      <c r="W18" s="42">
        <f t="shared" si="5"/>
        <v>212.75326826697236</v>
      </c>
      <c r="X18" s="42">
        <f t="shared" si="6"/>
        <v>88.959854286130692</v>
      </c>
      <c r="Y18" s="42">
        <f t="shared" si="7"/>
        <v>52.778145524290906</v>
      </c>
      <c r="Z18" s="42">
        <f t="shared" si="8"/>
        <v>102.08796738077002</v>
      </c>
      <c r="AA18" s="42">
        <f t="shared" si="9"/>
        <v>25512.286673994346</v>
      </c>
      <c r="AC18" s="19"/>
    </row>
    <row r="19" spans="5:29">
      <c r="F19" s="112">
        <v>-684353.84805249562</v>
      </c>
      <c r="G19" s="112">
        <v>-2516376.2654661373</v>
      </c>
      <c r="H19" s="112">
        <v>-12134953.853855375</v>
      </c>
      <c r="I19" s="112">
        <v>-23125115.656358119</v>
      </c>
      <c r="J19" s="112">
        <v>-53.113502879945216</v>
      </c>
      <c r="K19" s="112">
        <v>-159162995.95846817</v>
      </c>
      <c r="L19" s="112">
        <v>0</v>
      </c>
      <c r="M19" s="112">
        <v>-2118803.847570817</v>
      </c>
      <c r="O19" s="112">
        <v>2.5585085754005783E-14</v>
      </c>
      <c r="Q19" s="108">
        <v>17</v>
      </c>
      <c r="R19" s="27">
        <f t="shared" si="0"/>
        <v>1.4166666666666667</v>
      </c>
      <c r="S19" s="18">
        <f t="shared" si="1"/>
        <v>44676000</v>
      </c>
      <c r="T19" s="42">
        <f t="shared" si="2"/>
        <v>14.732210250569992</v>
      </c>
      <c r="U19" s="42">
        <f t="shared" si="3"/>
        <v>3364.8419619785595</v>
      </c>
      <c r="V19" s="42">
        <f t="shared" si="4"/>
        <v>1228.9386809052517</v>
      </c>
      <c r="W19" s="42">
        <f t="shared" si="5"/>
        <v>211.46771427794741</v>
      </c>
      <c r="X19" s="42">
        <f t="shared" si="6"/>
        <v>89.312981094269361</v>
      </c>
      <c r="Y19" s="42">
        <f t="shared" si="7"/>
        <v>52.762281625960554</v>
      </c>
      <c r="Z19" s="42">
        <f t="shared" si="8"/>
        <v>100.13979968173112</v>
      </c>
      <c r="AA19" s="42">
        <f t="shared" si="9"/>
        <v>25446.600089103951</v>
      </c>
      <c r="AC19" s="19"/>
    </row>
    <row r="20" spans="5:29">
      <c r="F20" s="112">
        <v>-4856.2257335899403</v>
      </c>
      <c r="G20" s="112">
        <v>-17856.392874135228</v>
      </c>
      <c r="H20" s="112">
        <v>-3.0191391317618447E-2</v>
      </c>
      <c r="I20" s="112">
        <v>-5.7534575281839709E-2</v>
      </c>
      <c r="J20" s="112">
        <v>-0.37689736124185258</v>
      </c>
      <c r="K20" s="112">
        <v>-5.0843529775742476E-2</v>
      </c>
      <c r="L20" s="112">
        <v>-135836927.36528951</v>
      </c>
      <c r="M20" s="112">
        <v>-15035.189468553255</v>
      </c>
      <c r="Q20" s="108">
        <v>18</v>
      </c>
      <c r="R20" s="27">
        <f t="shared" si="0"/>
        <v>1.5</v>
      </c>
      <c r="S20" s="18">
        <f t="shared" si="1"/>
        <v>47304000</v>
      </c>
      <c r="T20" s="42">
        <f t="shared" si="2"/>
        <v>14.511511590231915</v>
      </c>
      <c r="U20" s="42">
        <f t="shared" si="3"/>
        <v>3358.7984596194456</v>
      </c>
      <c r="V20" s="42">
        <f t="shared" si="4"/>
        <v>1232.8467838479523</v>
      </c>
      <c r="W20" s="42">
        <f t="shared" si="5"/>
        <v>210.23171087478696</v>
      </c>
      <c r="X20" s="42">
        <f t="shared" si="6"/>
        <v>89.659290079451495</v>
      </c>
      <c r="Y20" s="42">
        <f t="shared" si="7"/>
        <v>52.741697888751474</v>
      </c>
      <c r="Z20" s="42">
        <f t="shared" si="8"/>
        <v>98.228920950827813</v>
      </c>
      <c r="AA20" s="42">
        <f t="shared" si="9"/>
        <v>25381.08262778366</v>
      </c>
      <c r="AC20" s="19"/>
    </row>
    <row r="21" spans="5:29" ht="15">
      <c r="F21" s="112">
        <v>-115.43971393644661</v>
      </c>
      <c r="G21" s="112">
        <v>-424.47303696550819</v>
      </c>
      <c r="H21" s="112">
        <v>-2046.975560242028</v>
      </c>
      <c r="I21" s="112">
        <v>-3900.8427346673543</v>
      </c>
      <c r="J21" s="112">
        <v>-25553.631466184463</v>
      </c>
      <c r="K21" s="112">
        <v>-3447.1900202442325</v>
      </c>
      <c r="L21" s="112">
        <v>0</v>
      </c>
      <c r="M21" s="112">
        <v>-1019385461.9669962</v>
      </c>
      <c r="N21" s="109" t="s">
        <v>151</v>
      </c>
      <c r="Q21" s="108">
        <v>19</v>
      </c>
      <c r="R21" s="27">
        <f t="shared" si="0"/>
        <v>1.5833333333333333</v>
      </c>
      <c r="S21" s="18">
        <f t="shared" si="1"/>
        <v>49932000</v>
      </c>
      <c r="T21" s="42">
        <f t="shared" si="2"/>
        <v>14.294118121192572</v>
      </c>
      <c r="U21" s="42">
        <f t="shared" si="3"/>
        <v>3352.7225019144385</v>
      </c>
      <c r="V21" s="42">
        <f t="shared" si="4"/>
        <v>1236.7042233344966</v>
      </c>
      <c r="W21" s="42">
        <f t="shared" si="5"/>
        <v>209.04366638179701</v>
      </c>
      <c r="X21" s="42">
        <f t="shared" si="6"/>
        <v>89.998999134187059</v>
      </c>
      <c r="Y21" s="42">
        <f t="shared" si="7"/>
        <v>52.716682361682196</v>
      </c>
      <c r="Z21" s="42">
        <f t="shared" si="8"/>
        <v>96.35461017726108</v>
      </c>
      <c r="AA21" s="42">
        <f t="shared" si="9"/>
        <v>25315.733854582195</v>
      </c>
      <c r="AC21" s="19"/>
    </row>
    <row r="22" spans="5:29">
      <c r="O22" s="112">
        <f t="array" ref="O22:O29">MMULT($F$2:$M$9,O12:O19)</f>
        <v>-3.6076754611934906E-24</v>
      </c>
      <c r="Q22" s="108">
        <v>20</v>
      </c>
      <c r="R22" s="27">
        <f t="shared" si="0"/>
        <v>1.6666666666666667</v>
      </c>
      <c r="S22" s="18">
        <f t="shared" si="1"/>
        <v>52560000</v>
      </c>
      <c r="T22" s="42">
        <f t="shared" si="2"/>
        <v>14.079980093705913</v>
      </c>
      <c r="U22" s="42">
        <f t="shared" si="3"/>
        <v>3346.6150600998594</v>
      </c>
      <c r="V22" s="42">
        <f t="shared" si="4"/>
        <v>1240.5112368846851</v>
      </c>
      <c r="W22" s="42">
        <f t="shared" si="5"/>
        <v>207.90202494873586</v>
      </c>
      <c r="X22" s="42">
        <f t="shared" si="6"/>
        <v>90.332320889106171</v>
      </c>
      <c r="Y22" s="42">
        <f t="shared" si="7"/>
        <v>52.687514945231861</v>
      </c>
      <c r="Z22" s="42">
        <f t="shared" si="8"/>
        <v>94.516159000219801</v>
      </c>
      <c r="AA22" s="42">
        <f t="shared" si="9"/>
        <v>25250.553335168213</v>
      </c>
      <c r="AC22" s="19"/>
    </row>
    <row r="23" spans="5:29">
      <c r="F23" s="114" t="s">
        <v>158</v>
      </c>
      <c r="G23" s="114" t="s">
        <v>159</v>
      </c>
      <c r="H23" s="114" t="s">
        <v>160</v>
      </c>
      <c r="I23" s="114" t="s">
        <v>161</v>
      </c>
      <c r="J23" s="114" t="s">
        <v>162</v>
      </c>
      <c r="K23" s="114" t="s">
        <v>163</v>
      </c>
      <c r="L23" s="114" t="s">
        <v>164</v>
      </c>
      <c r="M23" s="114" t="s">
        <v>165</v>
      </c>
      <c r="O23" s="112">
        <v>7.5745118043143909E-23</v>
      </c>
      <c r="Q23" s="108">
        <v>21</v>
      </c>
      <c r="R23" s="27">
        <f t="shared" si="0"/>
        <v>1.75</v>
      </c>
      <c r="S23" s="18">
        <f t="shared" si="1"/>
        <v>55188000</v>
      </c>
      <c r="T23" s="42">
        <f t="shared" si="2"/>
        <v>13.869048462921315</v>
      </c>
      <c r="U23" s="42">
        <f t="shared" si="3"/>
        <v>3340.4770883361175</v>
      </c>
      <c r="V23" s="42">
        <f t="shared" si="4"/>
        <v>1244.2680634578144</v>
      </c>
      <c r="W23" s="42">
        <f t="shared" si="5"/>
        <v>206.80526459294381</v>
      </c>
      <c r="X23" s="42">
        <f t="shared" si="6"/>
        <v>90.659462996952101</v>
      </c>
      <c r="Y23" s="42">
        <f t="shared" si="7"/>
        <v>52.654467990526676</v>
      </c>
      <c r="Z23" s="42">
        <f t="shared" si="8"/>
        <v>92.712871333283346</v>
      </c>
      <c r="AA23" s="42">
        <f t="shared" si="9"/>
        <v>25185.540636327256</v>
      </c>
      <c r="AC23" s="19"/>
    </row>
    <row r="24" spans="5:29">
      <c r="F24" s="112">
        <f>F2</f>
        <v>-5.7434633429516339E-9</v>
      </c>
      <c r="G24" s="112">
        <f>G3</f>
        <v>-6.9349911725794344E-9</v>
      </c>
      <c r="H24" s="112">
        <f>H4</f>
        <v>-2.71952737369777E-9</v>
      </c>
      <c r="I24" s="112">
        <f>I5</f>
        <v>-1.0560453001086941E-8</v>
      </c>
      <c r="J24" s="112">
        <f>J6</f>
        <v>-2.3381555221817427E-9</v>
      </c>
      <c r="K24" s="112">
        <f>K7</f>
        <v>-6.2828676916701522E-9</v>
      </c>
      <c r="L24" s="112">
        <f>L8</f>
        <v>-7.3617684041897035E-9</v>
      </c>
      <c r="M24" s="112">
        <f>M9</f>
        <v>-9.8098353166876458E-10</v>
      </c>
      <c r="O24" s="112">
        <v>1.0358248644650676E-23</v>
      </c>
      <c r="Q24" s="108">
        <v>22</v>
      </c>
      <c r="R24" s="27">
        <f t="shared" si="0"/>
        <v>1.8333333333333333</v>
      </c>
      <c r="S24" s="18">
        <f t="shared" si="1"/>
        <v>57816000</v>
      </c>
      <c r="T24" s="42">
        <f t="shared" si="2"/>
        <v>13.661274873965848</v>
      </c>
      <c r="U24" s="42">
        <f t="shared" si="3"/>
        <v>3334.309524193874</v>
      </c>
      <c r="V24" s="42">
        <f t="shared" si="4"/>
        <v>1247.9749433257036</v>
      </c>
      <c r="W24" s="42">
        <f t="shared" si="5"/>
        <v>205.75189524147376</v>
      </c>
      <c r="X24" s="42">
        <f t="shared" si="6"/>
        <v>90.980628416574717</v>
      </c>
      <c r="Y24" s="42">
        <f t="shared" si="7"/>
        <v>52.61780689852629</v>
      </c>
      <c r="Z24" s="42">
        <f t="shared" si="8"/>
        <v>90.944062988824314</v>
      </c>
      <c r="AA24" s="42">
        <f t="shared" si="9"/>
        <v>25120.695325958732</v>
      </c>
      <c r="AC24" s="19"/>
    </row>
    <row r="25" spans="5:29">
      <c r="H25" s="19"/>
      <c r="I25" s="19"/>
      <c r="J25" s="19"/>
      <c r="K25" s="19"/>
      <c r="L25" s="19"/>
      <c r="M25" s="19"/>
      <c r="O25" s="112">
        <v>-1.3968648751372118E-22</v>
      </c>
      <c r="Q25" s="108">
        <v>23</v>
      </c>
      <c r="R25" s="27">
        <f t="shared" si="0"/>
        <v>1.9166666666666667</v>
      </c>
      <c r="S25" s="18">
        <f t="shared" si="1"/>
        <v>60444000</v>
      </c>
      <c r="T25" s="42">
        <f t="shared" si="2"/>
        <v>13.456611647026588</v>
      </c>
      <c r="U25" s="42">
        <f t="shared" si="3"/>
        <v>3328.1132891402112</v>
      </c>
      <c r="V25" s="42">
        <f t="shared" si="4"/>
        <v>1251.6321179457211</v>
      </c>
      <c r="W25" s="42">
        <f t="shared" si="5"/>
        <v>204.7404567732211</v>
      </c>
      <c r="X25" s="42">
        <f t="shared" si="6"/>
        <v>91.296015696923888</v>
      </c>
      <c r="Y25" s="42">
        <f t="shared" si="7"/>
        <v>52.577790719210284</v>
      </c>
      <c r="Z25" s="42">
        <f t="shared" si="8"/>
        <v>89.209061302411214</v>
      </c>
      <c r="AA25" s="42">
        <f t="shared" si="9"/>
        <v>25056.016973072863</v>
      </c>
      <c r="AC25" s="19"/>
    </row>
    <row r="26" spans="5:29">
      <c r="E26" s="111"/>
      <c r="F26" s="111"/>
      <c r="O26" s="112">
        <v>1.9609464310136456E-23</v>
      </c>
      <c r="Q26" s="108">
        <v>24</v>
      </c>
      <c r="R26" s="27">
        <f t="shared" si="0"/>
        <v>2</v>
      </c>
      <c r="S26" s="18">
        <f t="shared" si="1"/>
        <v>63072000</v>
      </c>
      <c r="T26" s="42">
        <f t="shared" si="2"/>
        <v>13.255011762432911</v>
      </c>
      <c r="U26" s="42">
        <f t="shared" si="3"/>
        <v>3321.8892890247998</v>
      </c>
      <c r="V26" s="42">
        <f t="shared" si="4"/>
        <v>1255.2398298338071</v>
      </c>
      <c r="W26" s="42">
        <f t="shared" si="5"/>
        <v>203.76951706105388</v>
      </c>
      <c r="X26" s="42">
        <f t="shared" si="6"/>
        <v>91.605819261042598</v>
      </c>
      <c r="Y26" s="42">
        <f t="shared" si="7"/>
        <v>52.534672750764521</v>
      </c>
      <c r="Z26" s="42">
        <f t="shared" si="8"/>
        <v>87.507204757211085</v>
      </c>
      <c r="AA26" s="42">
        <f t="shared" si="9"/>
        <v>24991.505147787699</v>
      </c>
      <c r="AC26" s="19"/>
    </row>
    <row r="27" spans="5:29">
      <c r="E27" s="111"/>
      <c r="F27" s="111"/>
      <c r="O27" s="112">
        <v>2.9067081350617313E-23</v>
      </c>
      <c r="Q27" s="108">
        <v>25</v>
      </c>
      <c r="R27" s="27">
        <f t="shared" si="0"/>
        <v>2.0833333333333335</v>
      </c>
      <c r="S27" s="18">
        <f t="shared" si="1"/>
        <v>65700000</v>
      </c>
      <c r="T27" s="42">
        <f t="shared" si="2"/>
        <v>13.056428845738786</v>
      </c>
      <c r="U27" s="42">
        <f t="shared" si="3"/>
        <v>3315.6384145660613</v>
      </c>
      <c r="V27" s="42">
        <f t="shared" si="4"/>
        <v>1258.7983224375027</v>
      </c>
      <c r="W27" s="42">
        <f t="shared" si="5"/>
        <v>202.8376700139429</v>
      </c>
      <c r="X27" s="42">
        <f t="shared" si="6"/>
        <v>91.910229690060419</v>
      </c>
      <c r="Y27" s="42">
        <f t="shared" si="7"/>
        <v>52.488701138767652</v>
      </c>
      <c r="Z27" s="42">
        <f t="shared" si="8"/>
        <v>85.837842608392108</v>
      </c>
      <c r="AA27" s="42">
        <f t="shared" si="9"/>
        <v>24927.159421326043</v>
      </c>
      <c r="AC27" s="19"/>
    </row>
    <row r="28" spans="5:29" ht="15">
      <c r="E28" s="110" t="s">
        <v>169</v>
      </c>
      <c r="F28" s="111">
        <f>1000000000</f>
        <v>1000000000</v>
      </c>
      <c r="O28" s="112">
        <v>-5.5269405959577659E-23</v>
      </c>
      <c r="Q28" s="108">
        <v>26</v>
      </c>
      <c r="R28" s="27">
        <f t="shared" si="0"/>
        <v>2.1666666666666665</v>
      </c>
      <c r="S28" s="18">
        <f t="shared" si="1"/>
        <v>68328000</v>
      </c>
      <c r="T28" s="42">
        <f t="shared" si="2"/>
        <v>12.860817152805081</v>
      </c>
      <c r="U28" s="42">
        <f t="shared" si="3"/>
        <v>3309.361541837337</v>
      </c>
      <c r="V28" s="42">
        <f t="shared" si="4"/>
        <v>1262.3078400089728</v>
      </c>
      <c r="W28" s="42">
        <f t="shared" si="5"/>
        <v>201.94353361909188</v>
      </c>
      <c r="X28" s="42">
        <f t="shared" si="6"/>
        <v>92.209434007186758</v>
      </c>
      <c r="Y28" s="42">
        <f t="shared" si="7"/>
        <v>52.4401194753775</v>
      </c>
      <c r="Z28" s="42">
        <f t="shared" si="8"/>
        <v>84.200334507526463</v>
      </c>
      <c r="AA28" s="42">
        <f t="shared" si="9"/>
        <v>24862.979366012449</v>
      </c>
      <c r="AC28" s="19"/>
    </row>
    <row r="29" spans="5:29">
      <c r="F29" s="113">
        <f t="array" ref="F29:M36">F2:M9*F28</f>
        <v>-5.7434633429516335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O29" s="112">
        <v>-2.5098646238064806E-23</v>
      </c>
      <c r="Q29" s="108">
        <v>27</v>
      </c>
      <c r="R29" s="27">
        <f t="shared" si="0"/>
        <v>2.25</v>
      </c>
      <c r="S29" s="18">
        <f t="shared" si="1"/>
        <v>70956000</v>
      </c>
      <c r="T29" s="42">
        <f t="shared" si="2"/>
        <v>12.668131554881843</v>
      </c>
      <c r="U29" s="42">
        <f t="shared" si="3"/>
        <v>3303.0595327530546</v>
      </c>
      <c r="V29" s="42">
        <f t="shared" si="4"/>
        <v>1265.7686274780331</v>
      </c>
      <c r="W29" s="42">
        <f t="shared" si="5"/>
        <v>201.08574798406778</v>
      </c>
      <c r="X29" s="42">
        <f t="shared" si="6"/>
        <v>92.503615961704213</v>
      </c>
      <c r="Y29" s="42">
        <f t="shared" si="7"/>
        <v>52.389167398517458</v>
      </c>
      <c r="Z29" s="42">
        <f t="shared" si="8"/>
        <v>82.59405012699284</v>
      </c>
      <c r="AA29" s="42">
        <f t="shared" si="9"/>
        <v>24798.964555270177</v>
      </c>
      <c r="AC29" s="19"/>
    </row>
    <row r="30" spans="5:29">
      <c r="F30" s="112">
        <v>1.561992653419539</v>
      </c>
      <c r="G30" s="112">
        <v>-6.9349911725794344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2">
        <v>0.82599399375528604</v>
      </c>
      <c r="Q30" s="108">
        <v>28</v>
      </c>
      <c r="R30" s="27">
        <f t="shared" si="0"/>
        <v>2.3333333333333335</v>
      </c>
      <c r="S30" s="18">
        <f t="shared" si="1"/>
        <v>73584000</v>
      </c>
      <c r="T30" s="42">
        <f t="shared" si="2"/>
        <v>12.478327523690604</v>
      </c>
      <c r="U30" s="42">
        <f t="shared" si="3"/>
        <v>3296.7332355548897</v>
      </c>
      <c r="V30" s="42">
        <f t="shared" si="4"/>
        <v>1269.1809303251762</v>
      </c>
      <c r="W30" s="42">
        <f t="shared" si="5"/>
        <v>200.26297337893064</v>
      </c>
      <c r="X30" s="42">
        <f t="shared" si="6"/>
        <v>92.792956312961834</v>
      </c>
      <c r="Y30" s="42">
        <f t="shared" si="7"/>
        <v>52.336081191063023</v>
      </c>
      <c r="Z30" s="42">
        <f t="shared" si="8"/>
        <v>81.018368784379106</v>
      </c>
      <c r="AA30" s="42">
        <f t="shared" si="9"/>
        <v>24735.114563618194</v>
      </c>
      <c r="AC30" s="19"/>
    </row>
    <row r="31" spans="5:29" ht="15">
      <c r="E31" s="110"/>
      <c r="F31" s="113">
        <v>0</v>
      </c>
      <c r="G31" s="112">
        <v>1.4380810506627284</v>
      </c>
      <c r="H31" s="112">
        <v>-2.7195273736977699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09" t="s">
        <v>152</v>
      </c>
      <c r="Q31" s="108">
        <v>29</v>
      </c>
      <c r="R31" s="27">
        <f t="shared" si="0"/>
        <v>2.4166666666666665</v>
      </c>
      <c r="S31" s="18">
        <f t="shared" si="1"/>
        <v>76212000</v>
      </c>
      <c r="T31" s="42">
        <f t="shared" si="2"/>
        <v>12.29136111650668</v>
      </c>
      <c r="U31" s="42">
        <f t="shared" si="3"/>
        <v>3290.3834852979408</v>
      </c>
      <c r="V31" s="42">
        <f t="shared" si="4"/>
        <v>1272.5449944545953</v>
      </c>
      <c r="W31" s="42">
        <f t="shared" si="5"/>
        <v>199.47388827836389</v>
      </c>
      <c r="X31" s="42">
        <f t="shared" si="6"/>
        <v>93.077633114368425</v>
      </c>
      <c r="Y31" s="42">
        <f t="shared" si="7"/>
        <v>52.28109438002808</v>
      </c>
      <c r="Z31" s="42">
        <f t="shared" si="8"/>
        <v>79.472679066885021</v>
      </c>
      <c r="AA31" s="42">
        <f t="shared" si="9"/>
        <v>24671.428966668092</v>
      </c>
      <c r="AC31" s="19"/>
    </row>
    <row r="32" spans="5:29">
      <c r="F32" s="113">
        <v>0</v>
      </c>
      <c r="G32" s="113">
        <v>0</v>
      </c>
      <c r="H32" s="112">
        <v>1.427077800367472</v>
      </c>
      <c r="I32" s="112">
        <v>-10.560453001086941</v>
      </c>
      <c r="J32" s="113">
        <v>0</v>
      </c>
      <c r="K32" s="113">
        <v>0</v>
      </c>
      <c r="L32" s="113">
        <v>0</v>
      </c>
      <c r="M32" s="113">
        <v>0</v>
      </c>
      <c r="O32" s="112">
        <f t="array" ref="O32:O39">MMULT($F$2:$M$9,O22:O29)</f>
        <v>2.0720551764630942E-32</v>
      </c>
      <c r="Q32" s="108">
        <v>30</v>
      </c>
      <c r="R32" s="27">
        <f t="shared" si="0"/>
        <v>2.5</v>
      </c>
      <c r="S32" s="18">
        <f t="shared" si="1"/>
        <v>78840000</v>
      </c>
      <c r="T32" s="42">
        <f t="shared" si="2"/>
        <v>12.107188961241464</v>
      </c>
      <c r="U32" s="42">
        <f t="shared" si="3"/>
        <v>3284.0111043368879</v>
      </c>
      <c r="V32" s="42">
        <f t="shared" si="4"/>
        <v>1275.8610660672111</v>
      </c>
      <c r="W32" s="42">
        <f t="shared" si="5"/>
        <v>198.71718740380439</v>
      </c>
      <c r="X32" s="42">
        <f t="shared" si="6"/>
        <v>93.357821997385983</v>
      </c>
      <c r="Y32" s="42">
        <f t="shared" si="7"/>
        <v>52.224438335751429</v>
      </c>
      <c r="Z32" s="42">
        <f t="shared" si="8"/>
        <v>77.956378455724987</v>
      </c>
      <c r="AA32" s="42">
        <f t="shared" si="9"/>
        <v>24607.907341121107</v>
      </c>
      <c r="AC32" s="19"/>
    </row>
    <row r="33" spans="3:29">
      <c r="F33" s="113">
        <v>0</v>
      </c>
      <c r="G33" s="113">
        <v>0</v>
      </c>
      <c r="H33" s="113">
        <v>0</v>
      </c>
      <c r="I33" s="112">
        <v>1.4051025590107522</v>
      </c>
      <c r="J33" s="112">
        <v>-2.3381555221817427</v>
      </c>
      <c r="K33" s="112">
        <v>0.84756011426011868</v>
      </c>
      <c r="L33" s="113">
        <v>0</v>
      </c>
      <c r="M33" s="113">
        <v>0</v>
      </c>
      <c r="O33" s="112">
        <v>-5.5165821860552669E-31</v>
      </c>
      <c r="Q33" s="108">
        <v>31</v>
      </c>
      <c r="R33" s="27">
        <f t="shared" si="0"/>
        <v>2.5833333333333335</v>
      </c>
      <c r="S33" s="18">
        <f t="shared" si="1"/>
        <v>81468000</v>
      </c>
      <c r="T33" s="42">
        <f t="shared" si="2"/>
        <v>11.925768241524723</v>
      </c>
      <c r="U33" s="42">
        <f t="shared" si="3"/>
        <v>3277.6169028121608</v>
      </c>
      <c r="V33" s="42">
        <f t="shared" si="4"/>
        <v>1279.1293915336985</v>
      </c>
      <c r="W33" s="42">
        <f t="shared" si="5"/>
        <v>197.99157976557262</v>
      </c>
      <c r="X33" s="42">
        <f t="shared" si="6"/>
        <v>93.633696455522838</v>
      </c>
      <c r="Y33" s="42">
        <f t="shared" si="7"/>
        <v>52.166342871083202</v>
      </c>
      <c r="Z33" s="42">
        <f t="shared" si="8"/>
        <v>76.468872950530496</v>
      </c>
      <c r="AA33" s="42">
        <f t="shared" si="9"/>
        <v>24544.549264765079</v>
      </c>
      <c r="AC33" s="19"/>
    </row>
    <row r="34" spans="3:29">
      <c r="F34" s="113">
        <v>0</v>
      </c>
      <c r="G34" s="113">
        <v>0</v>
      </c>
      <c r="H34" s="113">
        <v>0</v>
      </c>
      <c r="I34" s="113">
        <v>1.5343492432592516</v>
      </c>
      <c r="J34" s="113">
        <v>0</v>
      </c>
      <c r="K34" s="112">
        <v>-6.2828676916701518</v>
      </c>
      <c r="L34" s="113">
        <v>0</v>
      </c>
      <c r="M34" s="113">
        <v>0</v>
      </c>
      <c r="O34" s="112">
        <v>8.0758078205361449E-32</v>
      </c>
      <c r="Q34" s="108">
        <v>32</v>
      </c>
      <c r="R34" s="27">
        <f t="shared" si="0"/>
        <v>2.6666666666666665</v>
      </c>
      <c r="S34" s="18">
        <f t="shared" si="1"/>
        <v>84096000</v>
      </c>
      <c r="T34" s="42">
        <f t="shared" si="2"/>
        <v>11.747056681786891</v>
      </c>
      <c r="U34" s="42">
        <f t="shared" si="3"/>
        <v>3271.2016791361066</v>
      </c>
      <c r="V34" s="42">
        <f t="shared" si="4"/>
        <v>1282.3502172675101</v>
      </c>
      <c r="W34" s="42">
        <f t="shared" si="5"/>
        <v>197.29578670500285</v>
      </c>
      <c r="X34" s="42">
        <f t="shared" si="6"/>
        <v>93.905428128327102</v>
      </c>
      <c r="Y34" s="42">
        <f t="shared" si="7"/>
        <v>52.107036840571283</v>
      </c>
      <c r="Z34" s="42">
        <f t="shared" si="8"/>
        <v>75.009576693752976</v>
      </c>
      <c r="AA34" s="42">
        <f t="shared" si="9"/>
        <v>24481.354316471385</v>
      </c>
      <c r="AC34" s="19"/>
    </row>
    <row r="35" spans="3:29">
      <c r="F35" s="113">
        <v>0</v>
      </c>
      <c r="G35" s="112">
        <v>9.1163637120235494E-4</v>
      </c>
      <c r="H35" s="113">
        <v>0</v>
      </c>
      <c r="I35" s="113">
        <v>0</v>
      </c>
      <c r="J35" s="113">
        <v>0</v>
      </c>
      <c r="K35" s="113">
        <v>0</v>
      </c>
      <c r="L35" s="112">
        <v>-7.3617684041897036</v>
      </c>
      <c r="M35" s="113">
        <v>0</v>
      </c>
      <c r="O35" s="112">
        <v>1.4899346129670376E-30</v>
      </c>
      <c r="Q35" s="108">
        <v>33</v>
      </c>
      <c r="R35" s="27">
        <f t="shared" si="0"/>
        <v>2.75</v>
      </c>
      <c r="S35" s="18">
        <f t="shared" si="1"/>
        <v>86724000</v>
      </c>
      <c r="T35" s="42">
        <f t="shared" si="2"/>
        <v>11.571012532341369</v>
      </c>
      <c r="U35" s="42">
        <f t="shared" si="3"/>
        <v>3264.7662204791577</v>
      </c>
      <c r="V35" s="42">
        <f t="shared" si="4"/>
        <v>1285.5237895979021</v>
      </c>
      <c r="W35" s="42">
        <f t="shared" si="5"/>
        <v>196.62853993657328</v>
      </c>
      <c r="X35" s="42">
        <f t="shared" si="6"/>
        <v>94.173187085379936</v>
      </c>
      <c r="Y35" s="42">
        <f t="shared" si="7"/>
        <v>52.046748739647661</v>
      </c>
      <c r="Z35" s="42">
        <f t="shared" si="8"/>
        <v>73.577911595066482</v>
      </c>
      <c r="AA35" s="42">
        <f t="shared" si="9"/>
        <v>24418.322076191973</v>
      </c>
      <c r="AC35" s="19"/>
    </row>
    <row r="36" spans="3:29">
      <c r="F36" s="113">
        <v>0</v>
      </c>
      <c r="G36" s="113">
        <v>0</v>
      </c>
      <c r="H36" s="113">
        <v>0</v>
      </c>
      <c r="I36" s="113">
        <v>0</v>
      </c>
      <c r="J36" s="112">
        <v>5.8612141092503411E-5</v>
      </c>
      <c r="K36" s="113">
        <v>0</v>
      </c>
      <c r="L36" s="113">
        <v>0</v>
      </c>
      <c r="M36" s="112">
        <v>-0.98098353166876462</v>
      </c>
      <c r="O36" s="112">
        <v>-2.1748771953778711E-31</v>
      </c>
      <c r="Q36" s="108">
        <v>34</v>
      </c>
      <c r="R36" s="27">
        <f t="shared" si="0"/>
        <v>2.8333333333333335</v>
      </c>
      <c r="S36" s="18">
        <f t="shared" si="1"/>
        <v>89352000</v>
      </c>
      <c r="T36" s="42">
        <f t="shared" si="2"/>
        <v>11.397594554466824</v>
      </c>
      <c r="U36" s="42">
        <f t="shared" si="3"/>
        <v>3258.3113032559909</v>
      </c>
      <c r="V36" s="42">
        <f t="shared" si="4"/>
        <v>1288.6503546429619</v>
      </c>
      <c r="W36" s="42">
        <f t="shared" si="5"/>
        <v>195.98857959003595</v>
      </c>
      <c r="X36" s="42">
        <f t="shared" si="6"/>
        <v>94.437142110288832</v>
      </c>
      <c r="Y36" s="42">
        <f t="shared" si="7"/>
        <v>51.985707303815005</v>
      </c>
      <c r="Z36" s="42">
        <f t="shared" si="8"/>
        <v>72.173306955770187</v>
      </c>
      <c r="AA36" s="42">
        <f t="shared" si="9"/>
        <v>24355.452124956289</v>
      </c>
      <c r="AC36" s="19"/>
    </row>
    <row r="37" spans="3:29">
      <c r="O37" s="112">
        <v>-3.9695248271916252E-31</v>
      </c>
      <c r="Q37" s="108">
        <v>35</v>
      </c>
      <c r="R37" s="27">
        <f t="shared" si="0"/>
        <v>2.9166666666666665</v>
      </c>
      <c r="S37" s="18">
        <f t="shared" si="1"/>
        <v>91980000</v>
      </c>
      <c r="T37" s="42">
        <f t="shared" si="2"/>
        <v>11.226762005489478</v>
      </c>
      <c r="U37" s="42">
        <f t="shared" si="3"/>
        <v>3251.8376936117011</v>
      </c>
      <c r="V37" s="42">
        <f t="shared" si="4"/>
        <v>1291.7301581826314</v>
      </c>
      <c r="W37" s="42">
        <f t="shared" si="5"/>
        <v>195.37465225254735</v>
      </c>
      <c r="X37" s="42">
        <f t="shared" si="6"/>
        <v>94.697460984680944</v>
      </c>
      <c r="Y37" s="42">
        <f t="shared" si="7"/>
        <v>51.924142107832949</v>
      </c>
      <c r="Z37" s="42">
        <f t="shared" si="8"/>
        <v>70.795199093191215</v>
      </c>
      <c r="AA37" s="42">
        <f t="shared" si="9"/>
        <v>24292.744044868239</v>
      </c>
      <c r="AC37" s="19"/>
    </row>
    <row r="38" spans="3:29">
      <c r="O38" s="112">
        <v>4.0694961851610207E-31</v>
      </c>
      <c r="Q38" s="108">
        <v>36</v>
      </c>
      <c r="R38" s="27">
        <f t="shared" si="0"/>
        <v>3</v>
      </c>
      <c r="S38" s="18">
        <f t="shared" si="1"/>
        <v>94608000</v>
      </c>
      <c r="T38" s="42">
        <f t="shared" si="2"/>
        <v>11.058474623865413</v>
      </c>
      <c r="U38" s="42">
        <f t="shared" si="3"/>
        <v>3245.3461479079656</v>
      </c>
      <c r="V38" s="42">
        <f t="shared" si="4"/>
        <v>1294.7634455317336</v>
      </c>
      <c r="W38" s="42">
        <f t="shared" si="5"/>
        <v>194.78550901079797</v>
      </c>
      <c r="X38" s="42">
        <f t="shared" si="6"/>
        <v>94.954310772196493</v>
      </c>
      <c r="Y38" s="42">
        <f t="shared" si="7"/>
        <v>51.862284164904601</v>
      </c>
      <c r="Z38" s="42">
        <f t="shared" si="8"/>
        <v>69.443030965087218</v>
      </c>
      <c r="AA38" s="42">
        <f t="shared" si="9"/>
        <v>24230.19741910321</v>
      </c>
      <c r="AC38" s="19"/>
    </row>
    <row r="39" spans="3:29">
      <c r="O39" s="112">
        <v>2.4622507979410659E-32</v>
      </c>
      <c r="Q39" s="108">
        <v>37</v>
      </c>
      <c r="R39" s="27">
        <f t="shared" si="0"/>
        <v>3.0833333333333335</v>
      </c>
      <c r="S39" s="18">
        <f t="shared" si="1"/>
        <v>97236000</v>
      </c>
      <c r="T39" s="42">
        <f t="shared" si="2"/>
        <v>10.89269261426286</v>
      </c>
      <c r="U39" s="42">
        <f t="shared" si="3"/>
        <v>3238.8374132092072</v>
      </c>
      <c r="V39" s="42">
        <f t="shared" si="4"/>
        <v>1297.7504614129984</v>
      </c>
      <c r="W39" s="42">
        <f t="shared" si="5"/>
        <v>194.21990349314285</v>
      </c>
      <c r="X39" s="42">
        <f t="shared" si="6"/>
        <v>95.207858102481921</v>
      </c>
      <c r="Y39" s="42">
        <f t="shared" si="7"/>
        <v>51.800366525862962</v>
      </c>
      <c r="Z39" s="42">
        <f t="shared" si="8"/>
        <v>68.11625179404912</v>
      </c>
      <c r="AA39" s="42">
        <f t="shared" si="9"/>
        <v>24167.81183190499</v>
      </c>
      <c r="AC39" s="19"/>
    </row>
    <row r="40" spans="3:29">
      <c r="Q40" s="108">
        <v>38</v>
      </c>
      <c r="R40" s="27">
        <f t="shared" si="0"/>
        <v>3.1666666666666665</v>
      </c>
      <c r="S40" s="18">
        <f t="shared" si="1"/>
        <v>99864000</v>
      </c>
      <c r="T40" s="42">
        <f t="shared" si="2"/>
        <v>10.72937663264449</v>
      </c>
      <c r="U40" s="42">
        <f t="shared" si="3"/>
        <v>3232.3122277687658</v>
      </c>
      <c r="V40" s="42">
        <f t="shared" si="4"/>
        <v>1300.6914498300885</v>
      </c>
      <c r="W40" s="42">
        <f t="shared" si="5"/>
        <v>193.67658991173167</v>
      </c>
      <c r="X40" s="42">
        <f t="shared" si="6"/>
        <v>95.458269455183313</v>
      </c>
      <c r="Y40" s="42">
        <f t="shared" si="7"/>
        <v>51.738624878357307</v>
      </c>
      <c r="Z40" s="42">
        <f t="shared" si="8"/>
        <v>66.814316691903713</v>
      </c>
      <c r="AA40" s="42">
        <f t="shared" si="9"/>
        <v>24105.586868582755</v>
      </c>
      <c r="AC40" s="19"/>
    </row>
    <row r="41" spans="3:29" ht="15">
      <c r="F41" s="114" t="s">
        <v>158</v>
      </c>
      <c r="G41" s="114" t="s">
        <v>159</v>
      </c>
      <c r="H41" s="114" t="s">
        <v>160</v>
      </c>
      <c r="I41" s="114" t="s">
        <v>161</v>
      </c>
      <c r="J41" s="114" t="s">
        <v>162</v>
      </c>
      <c r="K41" s="114" t="s">
        <v>163</v>
      </c>
      <c r="L41" s="114" t="s">
        <v>164</v>
      </c>
      <c r="M41" s="114" t="s">
        <v>165</v>
      </c>
      <c r="N41" s="109" t="s">
        <v>153</v>
      </c>
      <c r="Q41" s="108">
        <v>39</v>
      </c>
      <c r="R41" s="27">
        <f t="shared" si="0"/>
        <v>3.25</v>
      </c>
      <c r="S41" s="18">
        <f t="shared" si="1"/>
        <v>102492000</v>
      </c>
      <c r="T41" s="42">
        <f t="shared" si="2"/>
        <v>10.568487771349739</v>
      </c>
      <c r="U41" s="42">
        <f t="shared" si="3"/>
        <v>3225.7713215150593</v>
      </c>
      <c r="V41" s="42">
        <f t="shared" si="4"/>
        <v>1303.5866539406238</v>
      </c>
      <c r="W41" s="42">
        <f t="shared" si="5"/>
        <v>193.15432110463863</v>
      </c>
      <c r="X41" s="42">
        <f t="shared" si="6"/>
        <v>95.705711443939691</v>
      </c>
      <c r="Y41" s="42">
        <f t="shared" si="7"/>
        <v>51.677298146039661</v>
      </c>
      <c r="Z41" s="42">
        <f t="shared" si="8"/>
        <v>65.536686284116314</v>
      </c>
      <c r="AA41" s="42">
        <f t="shared" si="9"/>
        <v>24043.522115508058</v>
      </c>
      <c r="AC41" s="19"/>
    </row>
    <row r="42" spans="3:29" ht="15">
      <c r="C42" s="110" t="s">
        <v>166</v>
      </c>
      <c r="D42" s="110" t="s">
        <v>167</v>
      </c>
      <c r="E42" s="111"/>
      <c r="F42" s="112">
        <f>F29</f>
        <v>-5.7434633429516335</v>
      </c>
      <c r="G42" s="112">
        <f>G30</f>
        <v>-6.9349911725794344</v>
      </c>
      <c r="H42" s="112">
        <f>H31</f>
        <v>-2.7195273736977699</v>
      </c>
      <c r="I42" s="112">
        <f>I32</f>
        <v>-10.560453001086941</v>
      </c>
      <c r="J42" s="112">
        <f>J33</f>
        <v>-2.3381555221817427</v>
      </c>
      <c r="K42" s="112">
        <f>K34</f>
        <v>-6.2828676916701518</v>
      </c>
      <c r="L42" s="112">
        <f>L35</f>
        <v>-7.3617684041897036</v>
      </c>
      <c r="M42" s="112">
        <f>M36</f>
        <v>-0.98098353166876462</v>
      </c>
      <c r="O42" s="112">
        <f t="array" ref="O42:O49">MMULT($F$2:$M$9,O32:O39)</f>
        <v>-1.190077295058896E-40</v>
      </c>
      <c r="Q42" s="108">
        <v>40</v>
      </c>
      <c r="R42" s="27">
        <f t="shared" si="0"/>
        <v>3.3333333333333335</v>
      </c>
      <c r="S42" s="18">
        <f t="shared" si="1"/>
        <v>105120000</v>
      </c>
      <c r="T42" s="42">
        <f t="shared" si="2"/>
        <v>10.409987544177062</v>
      </c>
      <c r="U42" s="42">
        <f t="shared" si="3"/>
        <v>3219.2154165377519</v>
      </c>
      <c r="V42" s="42">
        <f t="shared" si="4"/>
        <v>1306.4363159292075</v>
      </c>
      <c r="W42" s="42">
        <f t="shared" si="5"/>
        <v>192.65184657799293</v>
      </c>
      <c r="X42" s="42">
        <f t="shared" si="6"/>
        <v>95.950351100376309</v>
      </c>
      <c r="Y42" s="42">
        <f t="shared" si="7"/>
        <v>51.616629087751228</v>
      </c>
      <c r="Z42" s="42">
        <f t="shared" si="8"/>
        <v>64.282826334193516</v>
      </c>
      <c r="AA42" s="42">
        <f t="shared" si="9"/>
        <v>23981.617160111779</v>
      </c>
      <c r="AC42" s="19"/>
    </row>
    <row r="43" spans="3:29">
      <c r="C43" s="111">
        <f t="array" ref="C43:C51">_xll.MatCharPoly(F29:M36)</f>
        <v>121358.6601646489</v>
      </c>
      <c r="D43" s="115" t="s">
        <v>168</v>
      </c>
      <c r="E43" s="115" t="s">
        <v>120</v>
      </c>
      <c r="H43" s="19"/>
      <c r="I43" s="19"/>
      <c r="J43" s="19"/>
      <c r="K43" s="19"/>
      <c r="L43" s="19"/>
      <c r="M43" s="19"/>
      <c r="O43" s="112">
        <v>3.8784482696435612E-39</v>
      </c>
      <c r="Q43" s="108">
        <v>41</v>
      </c>
      <c r="R43" s="27">
        <f t="shared" si="0"/>
        <v>3.4166666666666665</v>
      </c>
      <c r="S43" s="18">
        <f t="shared" si="1"/>
        <v>107748000</v>
      </c>
      <c r="T43" s="42">
        <f t="shared" si="2"/>
        <v>10.253837871466272</v>
      </c>
      <c r="U43" s="42">
        <f t="shared" si="3"/>
        <v>3212.645227573923</v>
      </c>
      <c r="V43" s="42">
        <f t="shared" si="4"/>
        <v>1309.2406768804524</v>
      </c>
      <c r="W43" s="42">
        <f t="shared" si="5"/>
        <v>192.16791054810861</v>
      </c>
      <c r="X43" s="42">
        <f t="shared" si="6"/>
        <v>96.192356158097979</v>
      </c>
      <c r="Y43" s="42">
        <f t="shared" si="7"/>
        <v>51.556864896708767</v>
      </c>
      <c r="Z43" s="42">
        <f t="shared" si="8"/>
        <v>63.052207368085774</v>
      </c>
      <c r="AA43" s="42">
        <f t="shared" si="9"/>
        <v>23919.871590881088</v>
      </c>
      <c r="AC43" s="19"/>
    </row>
    <row r="44" spans="3:29">
      <c r="C44" s="111">
        <v>306161.7370420915</v>
      </c>
      <c r="D44" s="111">
        <f t="array" ref="D44:E51">_xll.Poly_Roots(C43:C51)</f>
        <v>-10.56045295222731</v>
      </c>
      <c r="E44" s="111">
        <v>0</v>
      </c>
      <c r="F44" s="114" t="s">
        <v>157</v>
      </c>
      <c r="I44" s="19"/>
      <c r="J44" s="19"/>
      <c r="K44" s="19"/>
      <c r="L44" s="19"/>
      <c r="M44" s="19"/>
      <c r="O44" s="112">
        <v>-1.0129530349456707E-39</v>
      </c>
      <c r="Q44" s="108">
        <v>42</v>
      </c>
      <c r="R44" s="27">
        <f t="shared" si="0"/>
        <v>3.5</v>
      </c>
      <c r="S44" s="18">
        <f t="shared" si="1"/>
        <v>110376000</v>
      </c>
      <c r="T44" s="42">
        <f t="shared" si="2"/>
        <v>10.100001065180798</v>
      </c>
      <c r="U44" s="42">
        <f t="shared" si="3"/>
        <v>3206.0614624942291</v>
      </c>
      <c r="V44" s="42">
        <f t="shared" si="4"/>
        <v>1311.9999766520066</v>
      </c>
      <c r="W44" s="42">
        <f t="shared" si="5"/>
        <v>191.70124998361487</v>
      </c>
      <c r="X44" s="42">
        <f t="shared" si="6"/>
        <v>96.431895336682445</v>
      </c>
      <c r="Y44" s="42">
        <f t="shared" si="7"/>
        <v>51.498257799691089</v>
      </c>
      <c r="Z44" s="42">
        <f t="shared" si="8"/>
        <v>61.844304298590167</v>
      </c>
      <c r="AA44" s="42">
        <f t="shared" si="9"/>
        <v>23858.284997356452</v>
      </c>
      <c r="AC44" s="19"/>
    </row>
    <row r="45" spans="3:29">
      <c r="C45" s="111">
        <v>297529.37065854389</v>
      </c>
      <c r="D45" s="111">
        <v>-7.3617684042033655</v>
      </c>
      <c r="E45" s="111">
        <v>0</v>
      </c>
      <c r="F45" s="112">
        <f t="array" ref="F45:M52">_xll.SYSLINSING(F$29:M$36-F42*_xll.M_ID(),,0.000001)</f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-392586.77713702735</v>
      </c>
      <c r="O45" s="112">
        <v>-1.5619136394323852E-38</v>
      </c>
      <c r="Q45" s="108">
        <v>43</v>
      </c>
      <c r="R45" s="27">
        <f t="shared" si="0"/>
        <v>3.5833333333333335</v>
      </c>
      <c r="S45" s="18">
        <f t="shared" si="1"/>
        <v>113004000</v>
      </c>
      <c r="T45" s="42">
        <f t="shared" si="2"/>
        <v>9.9484398139900083</v>
      </c>
      <c r="U45" s="42">
        <f t="shared" si="3"/>
        <v>3199.4648227890739</v>
      </c>
      <c r="V45" s="42">
        <f t="shared" si="4"/>
        <v>1314.7144537475774</v>
      </c>
      <c r="W45" s="42">
        <f t="shared" si="5"/>
        <v>191.25059264758622</v>
      </c>
      <c r="X45" s="42">
        <f t="shared" si="6"/>
        <v>96.669138625673497</v>
      </c>
      <c r="Y45" s="42">
        <f t="shared" si="7"/>
        <v>51.441065656225419</v>
      </c>
      <c r="Z45" s="42">
        <f t="shared" si="8"/>
        <v>60.658596049752951</v>
      </c>
      <c r="AA45" s="42">
        <f t="shared" si="9"/>
        <v>23796.85697012856</v>
      </c>
      <c r="AC45" s="19"/>
    </row>
    <row r="46" spans="3:29">
      <c r="C46" s="111">
        <v>149747.40168069126</v>
      </c>
      <c r="D46" s="111">
        <v>-6.9349910325963506</v>
      </c>
      <c r="E46" s="111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-514647.5142886492</v>
      </c>
      <c r="O46" s="112">
        <v>2.2655899582733793E-39</v>
      </c>
      <c r="Q46" s="108">
        <v>44</v>
      </c>
      <c r="R46" s="27">
        <f t="shared" si="0"/>
        <v>3.6666666666666665</v>
      </c>
      <c r="S46" s="18">
        <f t="shared" si="1"/>
        <v>115632000</v>
      </c>
      <c r="T46" s="42">
        <f t="shared" si="2"/>
        <v>9.7991171683514988</v>
      </c>
      <c r="U46" s="42">
        <f t="shared" si="3"/>
        <v>3192.8560040547713</v>
      </c>
      <c r="V46" s="42">
        <f t="shared" si="4"/>
        <v>1317.3843451899593</v>
      </c>
      <c r="W46" s="42">
        <f t="shared" si="5"/>
        <v>190.8146551396724</v>
      </c>
      <c r="X46" s="42">
        <f t="shared" si="6"/>
        <v>96.904257568574579</v>
      </c>
      <c r="Y46" s="42">
        <f t="shared" si="7"/>
        <v>51.385552557773863</v>
      </c>
      <c r="Z46" s="42">
        <f t="shared" si="8"/>
        <v>59.494565181272286</v>
      </c>
      <c r="AA46" s="42">
        <f t="shared" si="9"/>
        <v>23735.587100835332</v>
      </c>
      <c r="AC46" s="19"/>
    </row>
    <row r="47" spans="3:29">
      <c r="C47" s="111">
        <v>43428.843676661316</v>
      </c>
      <c r="D47" s="111">
        <v>-6.2828683133008267</v>
      </c>
      <c r="E47" s="111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244748.84574087002</v>
      </c>
      <c r="O47" s="112">
        <v>4.7800799747162207E-39</v>
      </c>
      <c r="Q47" s="108">
        <v>45</v>
      </c>
      <c r="R47" s="27">
        <f t="shared" si="0"/>
        <v>3.75</v>
      </c>
      <c r="S47" s="18">
        <f t="shared" si="1"/>
        <v>118260000</v>
      </c>
      <c r="T47" s="42">
        <f t="shared" si="2"/>
        <v>9.6519965255933844</v>
      </c>
      <c r="U47" s="42">
        <f t="shared" si="3"/>
        <v>3186.2356964797127</v>
      </c>
      <c r="V47" s="42">
        <f t="shared" si="4"/>
        <v>1320.0098863940575</v>
      </c>
      <c r="W47" s="42">
        <f t="shared" si="5"/>
        <v>190.39214093822875</v>
      </c>
      <c r="X47" s="42">
        <f t="shared" si="6"/>
        <v>97.137425546841882</v>
      </c>
      <c r="Y47" s="42">
        <f t="shared" si="7"/>
        <v>51.331989426919812</v>
      </c>
      <c r="Z47" s="42">
        <f t="shared" si="8"/>
        <v>58.351697512900913</v>
      </c>
      <c r="AA47" s="42">
        <f t="shared" si="9"/>
        <v>23674.474982158856</v>
      </c>
      <c r="AC47" s="19"/>
    </row>
    <row r="48" spans="3:29">
      <c r="C48" s="111">
        <v>7532.7582946600423</v>
      </c>
      <c r="D48" s="111">
        <v>-5.7434633428861206</v>
      </c>
      <c r="E48" s="111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72509.112373217271</v>
      </c>
      <c r="O48" s="112">
        <v>-2.9963717553854474E-39</v>
      </c>
      <c r="Q48" s="108">
        <v>46</v>
      </c>
      <c r="R48" s="27">
        <f t="shared" si="0"/>
        <v>3.8333333333333335</v>
      </c>
      <c r="S48" s="18">
        <f t="shared" si="1"/>
        <v>120888000</v>
      </c>
      <c r="T48" s="42">
        <f t="shared" si="2"/>
        <v>9.5070416149965986</v>
      </c>
      <c r="U48" s="42">
        <f t="shared" si="3"/>
        <v>3179.6045853305354</v>
      </c>
      <c r="V48" s="42">
        <f t="shared" si="4"/>
        <v>1322.5913110399147</v>
      </c>
      <c r="W48" s="42">
        <f t="shared" si="5"/>
        <v>189.98173844244624</v>
      </c>
      <c r="X48" s="42">
        <f t="shared" si="6"/>
        <v>97.368818063877654</v>
      </c>
      <c r="Y48" s="42">
        <f t="shared" si="7"/>
        <v>51.280654616554415</v>
      </c>
      <c r="Z48" s="42">
        <f t="shared" si="8"/>
        <v>57.229481748848798</v>
      </c>
      <c r="AA48" s="42">
        <f t="shared" si="9"/>
        <v>23613.520207822396</v>
      </c>
      <c r="AC48" s="19"/>
    </row>
    <row r="49" spans="3:29">
      <c r="C49" s="111">
        <v>771.10814192840314</v>
      </c>
      <c r="D49" s="111">
        <v>-2.7195193487220677</v>
      </c>
      <c r="E49" s="111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-81254.151827802751</v>
      </c>
      <c r="O49" s="112">
        <v>-2.416702225708804E-41</v>
      </c>
      <c r="Q49" s="108">
        <v>47</v>
      </c>
      <c r="R49" s="27">
        <f t="shared" si="0"/>
        <v>3.9166666666666665</v>
      </c>
      <c r="S49" s="18">
        <f t="shared" si="1"/>
        <v>123516000</v>
      </c>
      <c r="T49" s="42">
        <f t="shared" si="2"/>
        <v>9.3642164828772021</v>
      </c>
      <c r="U49" s="42">
        <f t="shared" si="3"/>
        <v>3172.9633514382854</v>
      </c>
      <c r="V49" s="42">
        <f t="shared" si="4"/>
        <v>1325.1288509457361</v>
      </c>
      <c r="W49" s="42">
        <f t="shared" si="5"/>
        <v>189.58211901448161</v>
      </c>
      <c r="X49" s="42">
        <f t="shared" si="6"/>
        <v>97.59861302902371</v>
      </c>
      <c r="Y49" s="42">
        <f t="shared" si="7"/>
        <v>51.231834509062942</v>
      </c>
      <c r="Z49" s="42">
        <f t="shared" si="8"/>
        <v>56.127409102185815</v>
      </c>
      <c r="AA49" s="42">
        <f t="shared" si="9"/>
        <v>23552.722372587337</v>
      </c>
      <c r="AC49" s="19"/>
    </row>
    <row r="50" spans="3:29">
      <c r="C50" s="111">
        <v>42.922210040026137</v>
      </c>
      <c r="D50" s="111">
        <v>-2.3381643328711537</v>
      </c>
      <c r="E50" s="111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206253.99473244269</v>
      </c>
      <c r="Q50" s="108">
        <v>48</v>
      </c>
      <c r="R50" s="27">
        <f t="shared" si="0"/>
        <v>4</v>
      </c>
      <c r="S50" s="18">
        <f t="shared" si="1"/>
        <v>126144000</v>
      </c>
      <c r="T50" s="42">
        <f t="shared" si="2"/>
        <v>9.2234854776686497</v>
      </c>
      <c r="U50" s="42">
        <f t="shared" si="3"/>
        <v>3166.3126716845863</v>
      </c>
      <c r="V50" s="42">
        <f t="shared" si="4"/>
        <v>1327.6227359409163</v>
      </c>
      <c r="W50" s="42">
        <f t="shared" si="5"/>
        <v>189.19193502158748</v>
      </c>
      <c r="X50" s="42">
        <f t="shared" si="6"/>
        <v>97.826991041554578</v>
      </c>
      <c r="Y50" s="42">
        <f t="shared" si="7"/>
        <v>51.185824115511267</v>
      </c>
      <c r="Z50" s="42">
        <f t="shared" si="8"/>
        <v>55.044972919244451</v>
      </c>
      <c r="AA50" s="42">
        <f t="shared" si="9"/>
        <v>23492.081072250163</v>
      </c>
      <c r="AC50" s="19"/>
    </row>
    <row r="51" spans="3:29">
      <c r="C51" s="111">
        <v>1</v>
      </c>
      <c r="D51" s="111">
        <v>-0.98098231321893792</v>
      </c>
      <c r="E51" s="111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-289.9152969437547</v>
      </c>
      <c r="Q51" s="108">
        <v>49</v>
      </c>
      <c r="R51" s="27">
        <f t="shared" si="0"/>
        <v>4.083333333333333</v>
      </c>
      <c r="S51" s="18">
        <f t="shared" si="1"/>
        <v>128772000</v>
      </c>
      <c r="T51" s="42">
        <f t="shared" si="2"/>
        <v>9.0848132350041162</v>
      </c>
      <c r="U51" s="42">
        <f t="shared" si="3"/>
        <v>3159.6532194878041</v>
      </c>
      <c r="V51" s="42">
        <f t="shared" si="4"/>
        <v>1330.0731937390631</v>
      </c>
      <c r="W51" s="42">
        <f t="shared" si="5"/>
        <v>188.80981787824257</v>
      </c>
      <c r="X51" s="42">
        <f t="shared" si="6"/>
        <v>98.054135674670789</v>
      </c>
      <c r="Y51" s="42">
        <f t="shared" si="7"/>
        <v>51.142927674832237</v>
      </c>
      <c r="Z51" s="42">
        <f t="shared" si="8"/>
        <v>53.981668304022321</v>
      </c>
      <c r="AA51" s="42">
        <f t="shared" si="9"/>
        <v>23431.595903639405</v>
      </c>
      <c r="AC51" s="19"/>
    </row>
    <row r="52" spans="3:29"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1</v>
      </c>
      <c r="Q52" s="108">
        <v>50</v>
      </c>
      <c r="R52" s="27">
        <f t="shared" si="0"/>
        <v>4.166666666666667</v>
      </c>
      <c r="S52" s="18">
        <f t="shared" si="1"/>
        <v>131400000</v>
      </c>
      <c r="T52" s="42">
        <f t="shared" si="2"/>
        <v>8.9481646627987868</v>
      </c>
      <c r="U52" s="42">
        <f t="shared" si="3"/>
        <v>3152.9856652892158</v>
      </c>
      <c r="V52" s="42">
        <f t="shared" si="4"/>
        <v>1332.4804498110245</v>
      </c>
      <c r="W52" s="42">
        <f t="shared" si="5"/>
        <v>188.43437608828179</v>
      </c>
      <c r="X52" s="42">
        <f t="shared" si="6"/>
        <v>98.280233759492347</v>
      </c>
      <c r="Y52" s="42">
        <f t="shared" si="7"/>
        <v>51.103459253012161</v>
      </c>
      <c r="Z52" s="42">
        <f t="shared" si="8"/>
        <v>52.936991742585057</v>
      </c>
      <c r="AA52" s="42">
        <f t="shared" si="9"/>
        <v>23371.266464612661</v>
      </c>
      <c r="AC52" s="19"/>
    </row>
    <row r="53" spans="3:29">
      <c r="Q53" s="108">
        <v>51</v>
      </c>
      <c r="R53" s="27">
        <f t="shared" si="0"/>
        <v>4.25</v>
      </c>
      <c r="S53" s="18">
        <f t="shared" si="1"/>
        <v>134028000</v>
      </c>
      <c r="T53" s="42">
        <f t="shared" si="2"/>
        <v>8.8135049263321292</v>
      </c>
      <c r="U53" s="42">
        <f t="shared" si="3"/>
        <v>3146.3106770391696</v>
      </c>
      <c r="V53" s="42">
        <f t="shared" si="4"/>
        <v>1334.8447272579131</v>
      </c>
      <c r="W53" s="42">
        <f t="shared" si="5"/>
        <v>188.06419328702634</v>
      </c>
      <c r="X53" s="42">
        <f t="shared" si="6"/>
        <v>98.505475669051904</v>
      </c>
      <c r="Y53" s="42">
        <f t="shared" si="7"/>
        <v>51.067743342277218</v>
      </c>
      <c r="Z53" s="42">
        <f t="shared" si="8"/>
        <v>51.910440727468824</v>
      </c>
      <c r="AA53" s="42">
        <f t="shared" si="9"/>
        <v>23311.09235405353</v>
      </c>
      <c r="AC53" s="19"/>
    </row>
    <row r="54" spans="3:29">
      <c r="F54" s="114" t="s">
        <v>170</v>
      </c>
      <c r="I54" s="19"/>
      <c r="J54" s="19"/>
      <c r="K54" s="19"/>
      <c r="L54" s="19"/>
      <c r="M54" s="19"/>
      <c r="Q54" s="108">
        <v>52</v>
      </c>
      <c r="R54" s="27">
        <f t="shared" si="0"/>
        <v>4.333333333333333</v>
      </c>
      <c r="S54" s="18">
        <f t="shared" si="1"/>
        <v>136656000</v>
      </c>
      <c r="T54" s="42">
        <f t="shared" si="2"/>
        <v>8.680799433330229</v>
      </c>
      <c r="U54" s="42">
        <f t="shared" si="3"/>
        <v>3139.6289206832594</v>
      </c>
      <c r="V54" s="42">
        <f t="shared" si="4"/>
        <v>1337.1662466841335</v>
      </c>
      <c r="W54" s="42">
        <f t="shared" si="5"/>
        <v>187.69782628341392</v>
      </c>
      <c r="X54" s="42">
        <f t="shared" si="6"/>
        <v>98.730055602288147</v>
      </c>
      <c r="Y54" s="42">
        <f t="shared" si="7"/>
        <v>51.036115460279824</v>
      </c>
      <c r="Z54" s="42">
        <f t="shared" si="8"/>
        <v>50.901513382082989</v>
      </c>
      <c r="AA54" s="42">
        <f t="shared" si="9"/>
        <v>23251.073171868582</v>
      </c>
      <c r="AC54" s="19"/>
    </row>
    <row r="55" spans="3:29">
      <c r="E55" s="24"/>
      <c r="F55" s="112">
        <f t="array" ref="F55:M62">_xll.SYSLINSING(F$29:M$36-G42*_xll.M_ID(),,0.0001)</f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Q55" s="108">
        <v>53</v>
      </c>
      <c r="R55" s="27">
        <f t="shared" si="0"/>
        <v>4.416666666666667</v>
      </c>
      <c r="S55" s="18">
        <f t="shared" si="1"/>
        <v>139284000</v>
      </c>
      <c r="T55" s="42">
        <f t="shared" si="2"/>
        <v>8.5500138190480541</v>
      </c>
      <c r="U55" s="42">
        <f t="shared" si="3"/>
        <v>3132.9410606484853</v>
      </c>
      <c r="V55" s="42">
        <f t="shared" si="4"/>
        <v>1339.4452260704056</v>
      </c>
      <c r="W55" s="42">
        <f t="shared" si="5"/>
        <v>187.33380310212874</v>
      </c>
      <c r="X55" s="42">
        <f t="shared" si="6"/>
        <v>98.954171868039012</v>
      </c>
      <c r="Y55" s="42">
        <f t="shared" si="7"/>
        <v>51.00892274928519</v>
      </c>
      <c r="Z55" s="42">
        <f t="shared" si="8"/>
        <v>49.909708085112918</v>
      </c>
      <c r="AA55" s="42">
        <f t="shared" si="9"/>
        <v>23191.208518984353</v>
      </c>
      <c r="AC55" s="19"/>
    </row>
    <row r="56" spans="3:29"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468.14414726278824</v>
      </c>
      <c r="M56" s="112">
        <v>0</v>
      </c>
      <c r="Q56" s="108">
        <v>54</v>
      </c>
      <c r="R56" s="27">
        <f t="shared" si="0"/>
        <v>4.5</v>
      </c>
      <c r="S56" s="18">
        <f t="shared" si="1"/>
        <v>141912000</v>
      </c>
      <c r="T56" s="42">
        <f t="shared" si="2"/>
        <v>8.4211139313517691</v>
      </c>
      <c r="U56" s="42">
        <f t="shared" si="3"/>
        <v>3126.2477603294215</v>
      </c>
      <c r="V56" s="42">
        <f t="shared" si="4"/>
        <v>1341.6818806467929</v>
      </c>
      <c r="W56" s="42">
        <f t="shared" si="5"/>
        <v>186.9706210257317</v>
      </c>
      <c r="X56" s="42">
        <f t="shared" si="6"/>
        <v>99.178027169035246</v>
      </c>
      <c r="Y56" s="42">
        <f t="shared" si="7"/>
        <v>50.986524575357606</v>
      </c>
      <c r="Z56" s="42">
        <f t="shared" si="8"/>
        <v>48.934523094922426</v>
      </c>
      <c r="AA56" s="42">
        <f t="shared" si="9"/>
        <v>23131.497997344282</v>
      </c>
      <c r="AC56" s="19"/>
    </row>
    <row r="57" spans="3:29"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-159.70466341945126</v>
      </c>
      <c r="M57" s="112">
        <v>0</v>
      </c>
      <c r="Q57" s="108">
        <v>55</v>
      </c>
      <c r="R57" s="27">
        <f t="shared" si="0"/>
        <v>4.583333333333333</v>
      </c>
      <c r="S57" s="18">
        <f t="shared" si="1"/>
        <v>144540000</v>
      </c>
      <c r="T57" s="42">
        <f t="shared" si="2"/>
        <v>8.2940658158010176</v>
      </c>
      <c r="U57" s="42">
        <f t="shared" si="3"/>
        <v>3119.5496825743835</v>
      </c>
      <c r="V57" s="42">
        <f t="shared" si="4"/>
        <v>1343.8764227657252</v>
      </c>
      <c r="W57" s="42">
        <f t="shared" si="5"/>
        <v>186.60674463679081</v>
      </c>
      <c r="X57" s="42">
        <f t="shared" si="6"/>
        <v>99.40182888589338</v>
      </c>
      <c r="Y57" s="42">
        <f t="shared" si="7"/>
        <v>50.969293127546933</v>
      </c>
      <c r="Z57" s="42">
        <f t="shared" si="8"/>
        <v>47.97545617395668</v>
      </c>
      <c r="AA57" s="42">
        <f t="shared" si="9"/>
        <v>23071.941209905719</v>
      </c>
      <c r="AC57" s="19"/>
    </row>
    <row r="58" spans="3:29"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-62.863985489782984</v>
      </c>
      <c r="M58" s="112">
        <v>0</v>
      </c>
      <c r="Q58" s="108">
        <v>56</v>
      </c>
      <c r="R58" s="27">
        <f t="shared" si="0"/>
        <v>4.666666666666667</v>
      </c>
      <c r="S58" s="18">
        <f t="shared" si="1"/>
        <v>147168000</v>
      </c>
      <c r="T58" s="42">
        <f t="shared" si="2"/>
        <v>8.1688357007312398</v>
      </c>
      <c r="U58" s="42">
        <f t="shared" si="3"/>
        <v>3112.8474901715927</v>
      </c>
      <c r="V58" s="42">
        <f t="shared" si="4"/>
        <v>1346.0290617750263</v>
      </c>
      <c r="W58" s="42">
        <f t="shared" si="5"/>
        <v>186.24060386001079</v>
      </c>
      <c r="X58" s="42">
        <f t="shared" si="6"/>
        <v>99.625789361109256</v>
      </c>
      <c r="Y58" s="42">
        <f t="shared" si="7"/>
        <v>50.957614017075109</v>
      </c>
      <c r="Z58" s="42">
        <f t="shared" si="8"/>
        <v>47.032004213144745</v>
      </c>
      <c r="AA58" s="42">
        <f t="shared" si="9"/>
        <v>23012.53776063686</v>
      </c>
      <c r="AC58" s="19"/>
    </row>
    <row r="59" spans="3:29"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-8.0559572658529905</v>
      </c>
      <c r="M59" s="112">
        <v>0</v>
      </c>
      <c r="Q59" s="108">
        <v>57</v>
      </c>
      <c r="R59" s="27">
        <f t="shared" si="0"/>
        <v>4.75</v>
      </c>
      <c r="S59" s="18">
        <f t="shared" si="1"/>
        <v>149796000</v>
      </c>
      <c r="T59" s="42">
        <f t="shared" si="2"/>
        <v>8.0453899823359443</v>
      </c>
      <c r="U59" s="42">
        <f t="shared" si="3"/>
        <v>3106.1418463353434</v>
      </c>
      <c r="V59" s="42">
        <f t="shared" si="4"/>
        <v>1348.1400038909392</v>
      </c>
      <c r="W59" s="42">
        <f t="shared" si="5"/>
        <v>185.87059200436369</v>
      </c>
      <c r="X59" s="42">
        <f t="shared" si="6"/>
        <v>99.850126183051344</v>
      </c>
      <c r="Y59" s="42">
        <f t="shared" si="7"/>
        <v>50.951886876522387</v>
      </c>
      <c r="Z59" s="42">
        <f t="shared" si="8"/>
        <v>46.103662856302179</v>
      </c>
      <c r="AA59" s="42">
        <f t="shared" si="9"/>
        <v>22953.287254513747</v>
      </c>
      <c r="AC59" s="19"/>
    </row>
    <row r="60" spans="3:29">
      <c r="F60" s="112">
        <v>0</v>
      </c>
      <c r="G60" s="112">
        <v>0</v>
      </c>
      <c r="H60" s="112">
        <v>0</v>
      </c>
      <c r="I60" s="112">
        <v>0</v>
      </c>
      <c r="J60" s="112">
        <v>0</v>
      </c>
      <c r="K60" s="112">
        <v>0</v>
      </c>
      <c r="L60" s="112">
        <v>147.90957753893096</v>
      </c>
      <c r="M60" s="112">
        <v>0</v>
      </c>
      <c r="Q60" s="108">
        <v>58</v>
      </c>
      <c r="R60" s="27">
        <f t="shared" si="0"/>
        <v>4.833333333333333</v>
      </c>
      <c r="S60" s="18">
        <f t="shared" si="1"/>
        <v>152424000</v>
      </c>
      <c r="T60" s="42">
        <f t="shared" si="2"/>
        <v>7.9236952097490185</v>
      </c>
      <c r="U60" s="42">
        <f t="shared" si="3"/>
        <v>3099.4334151921685</v>
      </c>
      <c r="V60" s="42">
        <f t="shared" si="4"/>
        <v>1350.2094520711514</v>
      </c>
      <c r="W60" s="42">
        <f t="shared" si="5"/>
        <v>185.49506380521862</v>
      </c>
      <c r="X60" s="42">
        <f t="shared" si="6"/>
        <v>100.07506246995395</v>
      </c>
      <c r="Y60" s="42">
        <f t="shared" si="7"/>
        <v>50.952525959013947</v>
      </c>
      <c r="Z60" s="42">
        <f t="shared" si="8"/>
        <v>45.189926124533912</v>
      </c>
      <c r="AA60" s="42">
        <f t="shared" si="9"/>
        <v>22894.18929751722</v>
      </c>
      <c r="AC60" s="19"/>
    </row>
    <row r="61" spans="3:29"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1</v>
      </c>
      <c r="M61" s="112">
        <v>0</v>
      </c>
      <c r="Q61" s="108">
        <v>59</v>
      </c>
      <c r="R61" s="27">
        <f t="shared" si="0"/>
        <v>4.916666666666667</v>
      </c>
      <c r="S61" s="18">
        <f t="shared" si="1"/>
        <v>155052000</v>
      </c>
      <c r="T61" s="42">
        <f t="shared" si="2"/>
        <v>7.8037180701270259</v>
      </c>
      <c r="U61" s="42">
        <f t="shared" si="3"/>
        <v>3092.7228622670082</v>
      </c>
      <c r="V61" s="42">
        <f t="shared" si="4"/>
        <v>1352.2376058878208</v>
      </c>
      <c r="W61" s="42">
        <f t="shared" si="5"/>
        <v>185.11233346647231</v>
      </c>
      <c r="X61" s="42">
        <f t="shared" si="6"/>
        <v>100.30082715391066</v>
      </c>
      <c r="Y61" s="42">
        <f t="shared" si="7"/>
        <v>50.959960737406234</v>
      </c>
      <c r="Z61" s="42">
        <f t="shared" si="8"/>
        <v>44.290286040636673</v>
      </c>
      <c r="AA61" s="42">
        <f t="shared" si="9"/>
        <v>22835.243496629904</v>
      </c>
      <c r="AC61" s="19"/>
    </row>
    <row r="62" spans="3:29"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Q62" s="108">
        <v>60</v>
      </c>
      <c r="R62" s="27">
        <f t="shared" si="0"/>
        <v>5</v>
      </c>
      <c r="S62" s="18">
        <f t="shared" si="1"/>
        <v>157680000</v>
      </c>
      <c r="T62" s="42">
        <f t="shared" si="2"/>
        <v>7.6854253737314941</v>
      </c>
      <c r="U62" s="42">
        <f t="shared" si="3"/>
        <v>3086.0108549693723</v>
      </c>
      <c r="V62" s="42">
        <f t="shared" si="4"/>
        <v>1354.2246614006006</v>
      </c>
      <c r="W62" s="42">
        <f t="shared" si="5"/>
        <v>184.72067270267891</v>
      </c>
      <c r="X62" s="42">
        <f t="shared" si="6"/>
        <v>100.52765526486746</v>
      </c>
      <c r="Y62" s="42">
        <f t="shared" si="7"/>
        <v>50.97463650347337</v>
      </c>
      <c r="Z62" s="42">
        <f t="shared" si="8"/>
        <v>43.40423225350186</v>
      </c>
      <c r="AA62" s="42">
        <f t="shared" si="9"/>
        <v>22776.44945983314</v>
      </c>
      <c r="AC62" s="19"/>
    </row>
    <row r="63" spans="3:29">
      <c r="Q63" s="108">
        <v>61</v>
      </c>
      <c r="R63" s="27">
        <f t="shared" si="0"/>
        <v>5.083333333333333</v>
      </c>
      <c r="S63" s="18">
        <f t="shared" si="1"/>
        <v>160308000</v>
      </c>
      <c r="T63" s="42">
        <f t="shared" si="2"/>
        <v>7.5687840390112209</v>
      </c>
      <c r="U63" s="42">
        <f t="shared" si="3"/>
        <v>3079.2980630795082</v>
      </c>
      <c r="V63" s="42">
        <f t="shared" si="4"/>
        <v>1356.1708110296659</v>
      </c>
      <c r="W63" s="42">
        <f t="shared" si="5"/>
        <v>184.31830878118026</v>
      </c>
      <c r="X63" s="42">
        <f t="shared" si="6"/>
        <v>100.75578821461635</v>
      </c>
      <c r="Y63" s="42">
        <f t="shared" si="7"/>
        <v>50.997014967093655</v>
      </c>
      <c r="Z63" s="42">
        <f t="shared" si="8"/>
        <v>42.531251662518066</v>
      </c>
      <c r="AA63" s="42">
        <f t="shared" si="9"/>
        <v>22717.806796104021</v>
      </c>
      <c r="AC63" s="19"/>
    </row>
    <row r="64" spans="3:29">
      <c r="F64" s="114" t="s">
        <v>171</v>
      </c>
      <c r="I64" s="19"/>
      <c r="J64" s="19"/>
      <c r="K64" s="19"/>
      <c r="L64" s="19"/>
      <c r="M64" s="19"/>
      <c r="Q64" s="108">
        <v>62</v>
      </c>
      <c r="R64" s="27">
        <f t="shared" si="0"/>
        <v>5.166666666666667</v>
      </c>
      <c r="S64" s="18">
        <f t="shared" si="1"/>
        <v>162936000</v>
      </c>
      <c r="T64" s="42">
        <f t="shared" si="2"/>
        <v>7.4537610776845629</v>
      </c>
      <c r="U64" s="42">
        <f t="shared" si="3"/>
        <v>3072.5851592345721</v>
      </c>
      <c r="V64" s="42">
        <f t="shared" si="4"/>
        <v>1358.0762434287385</v>
      </c>
      <c r="W64" s="42">
        <f t="shared" si="5"/>
        <v>183.903422564236</v>
      </c>
      <c r="X64" s="42">
        <f t="shared" si="6"/>
        <v>100.98547408078831</v>
      </c>
      <c r="Y64" s="42">
        <f t="shared" si="7"/>
        <v>51.027574855435944</v>
      </c>
      <c r="Z64" s="42">
        <f t="shared" si="8"/>
        <v>41.670828041973806</v>
      </c>
      <c r="AA64" s="42">
        <f t="shared" si="9"/>
        <v>22659.315115412308</v>
      </c>
      <c r="AC64" s="19"/>
    </row>
    <row r="65" spans="1:29">
      <c r="F65" s="112">
        <f t="array" ref="F65:M72">_xll.SYSLINSING(F$29:M$36-H42*_xll.M_ID(),,0.0001)</f>
        <v>0</v>
      </c>
      <c r="G65" s="112">
        <v>0</v>
      </c>
      <c r="H65" s="112">
        <v>0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Q65" s="108">
        <v>63</v>
      </c>
      <c r="R65" s="27">
        <f t="shared" si="0"/>
        <v>5.25</v>
      </c>
      <c r="S65" s="18">
        <f t="shared" si="1"/>
        <v>165564000</v>
      </c>
      <c r="T65" s="42">
        <f t="shared" si="2"/>
        <v>7.3403235798217379</v>
      </c>
      <c r="U65" s="42">
        <f t="shared" si="3"/>
        <v>3065.8728194147839</v>
      </c>
      <c r="V65" s="42">
        <f t="shared" si="4"/>
        <v>1359.9411433581135</v>
      </c>
      <c r="W65" s="42">
        <f t="shared" si="5"/>
        <v>183.47414655115375</v>
      </c>
      <c r="X65" s="42">
        <f t="shared" si="6"/>
        <v>101.21696789084687</v>
      </c>
      <c r="Y65" s="42">
        <f t="shared" si="7"/>
        <v>51.066812512146043</v>
      </c>
      <c r="Z65" s="42">
        <f t="shared" si="8"/>
        <v>40.822441665460211</v>
      </c>
      <c r="AA65" s="42">
        <f t="shared" si="9"/>
        <v>22600.974028717421</v>
      </c>
      <c r="AC65" s="19"/>
    </row>
    <row r="66" spans="1:29"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Q66" s="108">
        <v>64</v>
      </c>
      <c r="R66" s="27">
        <f t="shared" ref="R66:R129" si="10">S66/(3600*365*24)</f>
        <v>5.333333333333333</v>
      </c>
      <c r="S66" s="18">
        <f t="shared" ref="S66:S129" si="11">Q66*D$5</f>
        <v>168192000</v>
      </c>
      <c r="T66" s="42">
        <f t="shared" si="2"/>
        <v>7.2284386989271114</v>
      </c>
      <c r="U66" s="42">
        <f t="shared" si="3"/>
        <v>3059.1617234296045</v>
      </c>
      <c r="V66" s="42">
        <f t="shared" si="4"/>
        <v>1361.765691557684</v>
      </c>
      <c r="W66" s="42">
        <f t="shared" si="5"/>
        <v>183.02856292041912</v>
      </c>
      <c r="X66" s="42">
        <f t="shared" si="6"/>
        <v>101.45053190608135</v>
      </c>
      <c r="Y66" s="42">
        <f t="shared" si="7"/>
        <v>51.115242496533213</v>
      </c>
      <c r="Z66" s="42">
        <f t="shared" si="8"/>
        <v>39.985568930273651</v>
      </c>
      <c r="AA66" s="42">
        <f t="shared" si="9"/>
        <v>22542.783147965409</v>
      </c>
      <c r="AC66" s="19"/>
    </row>
    <row r="67" spans="1:29"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12.760061351198786</v>
      </c>
      <c r="L67" s="112">
        <v>0</v>
      </c>
      <c r="M67" s="112">
        <v>0</v>
      </c>
      <c r="Q67" s="108">
        <v>65</v>
      </c>
      <c r="R67" s="27">
        <f t="shared" si="10"/>
        <v>5.416666666666667</v>
      </c>
      <c r="S67" s="18">
        <f t="shared" si="11"/>
        <v>170820000</v>
      </c>
      <c r="T67" s="42">
        <f t="shared" ref="T67:T130" si="12">$B$2+$O$2*$S67+$O$12*$S67^2/2+$O$22*$S67^3/6+$O$32*$S67^4/24+$O$42*$S67^5/(5*24)</f>
        <v>7.1180736370215065</v>
      </c>
      <c r="U67" s="42">
        <f t="shared" ref="U67:U130" si="13">$B$3+$O$3*$S67+$O$13*$S67^2/2+$O$23*$S67^3/6+$O$33*$S67^4/24+$O$43*$S67^5/(5*24)</f>
        <v>3052.4525554038964</v>
      </c>
      <c r="V67" s="42">
        <f t="shared" ref="V67:V130" si="14">$B$4+$O$4*$S67+$O$14*$S67^2/2+$O$24*$S67^3/6+$O$34*$S67^4/24+$O$44*$S67^5/(5*24)</f>
        <v>1363.5500646199669</v>
      </c>
      <c r="W67" s="42">
        <f t="shared" ref="W67:W130" si="15">$B$5+$O$5*$S67+$O$15*$S67^2/2+$O$25*$S67^3/6+$O$35*$S67^4/24+$O$45*$S67^5/(5*24)</f>
        <v>182.56470157182611</v>
      </c>
      <c r="X67" s="42">
        <f t="shared" ref="X67:X130" si="16">$B$6+$O$6*$S67+$O$16*$S67^2/2+$O$26*$S67^3/6+$O$36*$S67^4/24+$O$46*$S67^5/(5*24)</f>
        <v>101.68643590560011</v>
      </c>
      <c r="Y67" s="42">
        <f t="shared" ref="Y67:Y130" si="17">$B$7+$O$7*$S67+$O$17*$S67^2/2+$O$27*$S67^3/6+$O$37*$S67^4/24+$O$47*$S67^5/(5*24)</f>
        <v>51.173398182756536</v>
      </c>
      <c r="Z67" s="42">
        <f t="shared" ref="Z67:Z130" si="18">$B$8+$O$8*$S67+$O$18*$S67^2/2+$O$28*$S67^3/6+$O$38*$S67^4/24+$O$48*$S67^5/(5*24)</f>
        <v>39.159681981818387</v>
      </c>
      <c r="AA67" s="42">
        <f t="shared" ref="AA67:AA130" si="19">$B$9+$O$9*$S67+$O$19*$S67^2/2+$O$29*$S67^3/6+$O$39*$S67^4/24+$O$49*$S67^5/(5*24)</f>
        <v>22484.742086085917</v>
      </c>
      <c r="AC67" s="19"/>
    </row>
    <row r="68" spans="1:29"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2.3223789066452465</v>
      </c>
      <c r="L68" s="112">
        <v>0</v>
      </c>
      <c r="M68" s="112">
        <v>0</v>
      </c>
      <c r="Q68" s="108">
        <v>66</v>
      </c>
      <c r="R68" s="27">
        <f t="shared" si="10"/>
        <v>5.5</v>
      </c>
      <c r="S68" s="18">
        <f t="shared" si="11"/>
        <v>173448000</v>
      </c>
      <c r="T68" s="42">
        <f t="shared" si="12"/>
        <v>7.0091956297244975</v>
      </c>
      <c r="U68" s="42">
        <f t="shared" si="13"/>
        <v>3045.7460042640919</v>
      </c>
      <c r="V68" s="42">
        <f t="shared" si="14"/>
        <v>1365.2944348631288</v>
      </c>
      <c r="W68" s="42">
        <f t="shared" si="15"/>
        <v>182.08053816860686</v>
      </c>
      <c r="X68" s="42">
        <f t="shared" si="16"/>
        <v>101.9249574703239</v>
      </c>
      <c r="Y68" s="42">
        <f t="shared" si="17"/>
        <v>51.241832359011397</v>
      </c>
      <c r="Z68" s="42">
        <f t="shared" si="18"/>
        <v>38.344248338009315</v>
      </c>
      <c r="AA68" s="42">
        <f t="shared" si="19"/>
        <v>22426.850456989167</v>
      </c>
      <c r="AC68" s="19"/>
    </row>
    <row r="69" spans="1:29"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-10.778825554741271</v>
      </c>
      <c r="L69" s="112">
        <v>0</v>
      </c>
      <c r="M69" s="112">
        <v>0</v>
      </c>
      <c r="Q69" s="108">
        <v>67</v>
      </c>
      <c r="R69" s="27">
        <f t="shared" si="10"/>
        <v>5.583333333333333</v>
      </c>
      <c r="S69" s="18">
        <f t="shared" si="11"/>
        <v>176076000</v>
      </c>
      <c r="T69" s="42">
        <f t="shared" si="12"/>
        <v>6.901771931336687</v>
      </c>
      <c r="U69" s="42">
        <f t="shared" si="13"/>
        <v>3039.0427642243576</v>
      </c>
      <c r="V69" s="42">
        <f t="shared" si="14"/>
        <v>1366.9989702040109</v>
      </c>
      <c r="W69" s="42">
        <f t="shared" si="15"/>
        <v>181.57399217956208</v>
      </c>
      <c r="X69" s="42">
        <f t="shared" si="16"/>
        <v>102.16638226697935</v>
      </c>
      <c r="Y69" s="42">
        <f t="shared" si="17"/>
        <v>51.321117826715827</v>
      </c>
      <c r="Z69" s="42">
        <f t="shared" si="18"/>
        <v>37.53873051367453</v>
      </c>
      <c r="AA69" s="42">
        <f t="shared" si="19"/>
        <v>22369.107875562917</v>
      </c>
      <c r="AC69" s="19"/>
    </row>
    <row r="70" spans="1:29"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1</v>
      </c>
      <c r="L70" s="112">
        <v>0</v>
      </c>
      <c r="M70" s="112">
        <v>0</v>
      </c>
      <c r="Q70" s="108">
        <v>68</v>
      </c>
      <c r="R70" s="27">
        <f t="shared" si="10"/>
        <v>5.666666666666667</v>
      </c>
      <c r="S70" s="18">
        <f t="shared" si="11"/>
        <v>178704000</v>
      </c>
      <c r="T70" s="42">
        <f t="shared" si="12"/>
        <v>6.7957697999220334</v>
      </c>
      <c r="U70" s="42">
        <f t="shared" si="13"/>
        <v>3032.3435352727629</v>
      </c>
      <c r="V70" s="42">
        <f t="shared" si="14"/>
        <v>1368.6638340311565</v>
      </c>
      <c r="W70" s="42">
        <f t="shared" si="15"/>
        <v>181.04292492119117</v>
      </c>
      <c r="X70" s="42">
        <f t="shared" si="16"/>
        <v>102.41100433209188</v>
      </c>
      <c r="Y70" s="42">
        <f t="shared" si="17"/>
        <v>51.411847999697031</v>
      </c>
      <c r="Z70" s="42">
        <f t="shared" si="18"/>
        <v>36.742585644958119</v>
      </c>
      <c r="AA70" s="42">
        <f t="shared" si="19"/>
        <v>22311.513957669427</v>
      </c>
      <c r="AC70" s="19"/>
    </row>
    <row r="71" spans="1:29"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Q71" s="108">
        <v>69</v>
      </c>
      <c r="R71" s="27">
        <f t="shared" si="10"/>
        <v>5.75</v>
      </c>
      <c r="S71" s="18">
        <f t="shared" si="11"/>
        <v>181332000</v>
      </c>
      <c r="T71" s="42">
        <f t="shared" si="12"/>
        <v>6.6911564823901264</v>
      </c>
      <c r="U71" s="42">
        <f t="shared" si="13"/>
        <v>3025.649023657445</v>
      </c>
      <c r="V71" s="42">
        <f t="shared" si="14"/>
        <v>1370.289185077834</v>
      </c>
      <c r="W71" s="42">
        <f t="shared" si="15"/>
        <v>180.48513759982214</v>
      </c>
      <c r="X71" s="42">
        <f t="shared" si="16"/>
        <v>102.65912635597945</v>
      </c>
      <c r="Y71" s="42">
        <f t="shared" si="17"/>
        <v>51.51463750337777</v>
      </c>
      <c r="Z71" s="42">
        <f t="shared" si="18"/>
        <v>35.955265113722717</v>
      </c>
      <c r="AA71" s="42">
        <f t="shared" si="19"/>
        <v>22254.068320142451</v>
      </c>
      <c r="AC71" s="19"/>
    </row>
    <row r="72" spans="1:29"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Q72" s="108">
        <v>70</v>
      </c>
      <c r="R72" s="27">
        <f t="shared" si="10"/>
        <v>5.833333333333333</v>
      </c>
      <c r="S72" s="18">
        <f t="shared" si="11"/>
        <v>183960000</v>
      </c>
      <c r="T72" s="42">
        <f t="shared" si="12"/>
        <v>6.5878991995784872</v>
      </c>
      <c r="U72" s="42">
        <f t="shared" si="13"/>
        <v>3018.9599423727741</v>
      </c>
      <c r="V72" s="42">
        <f t="shared" si="14"/>
        <v>1371.8751772950645</v>
      </c>
      <c r="W72" s="42">
        <f t="shared" si="15"/>
        <v>179.89836935374208</v>
      </c>
      <c r="X72" s="42">
        <f t="shared" si="16"/>
        <v>102.9110599667456</v>
      </c>
      <c r="Y72" s="42">
        <f t="shared" si="17"/>
        <v>51.630122773962746</v>
      </c>
      <c r="Z72" s="42">
        <f t="shared" si="18"/>
        <v>35.176214171952211</v>
      </c>
      <c r="AA72" s="42">
        <f t="shared" si="19"/>
        <v>22196.770580784181</v>
      </c>
      <c r="AC72" s="19"/>
    </row>
    <row r="73" spans="1:29">
      <c r="D73" s="24"/>
      <c r="F73" s="111"/>
      <c r="P73" s="24"/>
      <c r="Q73" s="108">
        <v>71</v>
      </c>
      <c r="R73" s="27">
        <f t="shared" si="10"/>
        <v>5.916666666666667</v>
      </c>
      <c r="S73" s="18">
        <f t="shared" si="11"/>
        <v>186588000</v>
      </c>
      <c r="T73" s="42">
        <f t="shared" si="12"/>
        <v>6.4859651313348623</v>
      </c>
      <c r="U73" s="42">
        <f t="shared" si="13"/>
        <v>3012.2770116455222</v>
      </c>
      <c r="V73" s="42">
        <f t="shared" si="14"/>
        <v>1373.4219597246461</v>
      </c>
      <c r="W73" s="42">
        <f t="shared" si="15"/>
        <v>179.28029529532682</v>
      </c>
      <c r="X73" s="42">
        <f t="shared" si="16"/>
        <v>103.16712601427285</v>
      </c>
      <c r="Y73" s="42">
        <f t="shared" si="17"/>
        <v>51.758962657625084</v>
      </c>
      <c r="Z73" s="42">
        <f t="shared" si="18"/>
        <v>34.404871566154405</v>
      </c>
      <c r="AA73" s="42">
        <f t="shared" si="19"/>
        <v>22139.620358362259</v>
      </c>
      <c r="AC73" s="19"/>
    </row>
    <row r="74" spans="1:29">
      <c r="F74" s="114" t="s">
        <v>172</v>
      </c>
      <c r="I74" s="19"/>
      <c r="J74" s="19"/>
      <c r="K74" s="19"/>
      <c r="L74" s="19"/>
      <c r="M74" s="19"/>
      <c r="Q74" s="108">
        <v>72</v>
      </c>
      <c r="R74" s="27">
        <f t="shared" si="10"/>
        <v>6</v>
      </c>
      <c r="S74" s="18">
        <f t="shared" si="11"/>
        <v>189216000</v>
      </c>
      <c r="T74" s="42">
        <f t="shared" si="12"/>
        <v>6.3853214015995388</v>
      </c>
      <c r="U74" s="42">
        <f t="shared" si="13"/>
        <v>3005.6009594210268</v>
      </c>
      <c r="V74" s="42">
        <f t="shared" si="14"/>
        <v>1374.9296763721809</v>
      </c>
      <c r="W74" s="42">
        <f t="shared" si="15"/>
        <v>178.6285245531717</v>
      </c>
      <c r="X74" s="42">
        <f t="shared" si="16"/>
        <v>103.42765485421604</v>
      </c>
      <c r="Y74" s="42">
        <f t="shared" si="17"/>
        <v>51.901839009692736</v>
      </c>
      <c r="Z74" s="42">
        <f t="shared" si="18"/>
        <v>33.640669161763746</v>
      </c>
      <c r="AA74" s="42">
        <f t="shared" si="19"/>
        <v>22082.617272606672</v>
      </c>
      <c r="AC74" s="19"/>
    </row>
    <row r="75" spans="1:29">
      <c r="F75" s="112">
        <f t="array" ref="F75:M82">_xll.SYSLINSING(F$29:M$36-I42*_xll.M_ID(),,0.0001)</f>
        <v>0</v>
      </c>
      <c r="G75" s="112">
        <v>0</v>
      </c>
      <c r="H75" s="112">
        <v>0</v>
      </c>
      <c r="I75" s="112">
        <v>0</v>
      </c>
      <c r="J75" s="112">
        <v>0</v>
      </c>
      <c r="K75" s="112">
        <v>0</v>
      </c>
      <c r="L75" s="112">
        <v>0</v>
      </c>
      <c r="M75" s="112">
        <v>0</v>
      </c>
      <c r="Q75" s="108">
        <v>73</v>
      </c>
      <c r="R75" s="27">
        <f t="shared" si="10"/>
        <v>6.083333333333333</v>
      </c>
      <c r="S75" s="18">
        <f t="shared" si="11"/>
        <v>191844000</v>
      </c>
      <c r="T75" s="42">
        <f t="shared" si="12"/>
        <v>6.2859350634876083</v>
      </c>
      <c r="U75" s="42">
        <f t="shared" si="13"/>
        <v>2998.9325218493595</v>
      </c>
      <c r="V75" s="42">
        <f t="shared" si="14"/>
        <v>1376.3984660801</v>
      </c>
      <c r="W75" s="42">
        <f t="shared" si="15"/>
        <v>177.94059831422101</v>
      </c>
      <c r="X75" s="42">
        <f t="shared" si="16"/>
        <v>103.69298663199561</v>
      </c>
      <c r="Y75" s="42">
        <f t="shared" si="17"/>
        <v>52.059457293834967</v>
      </c>
      <c r="Z75" s="42">
        <f t="shared" si="18"/>
        <v>32.883031567543902</v>
      </c>
      <c r="AA75" s="42">
        <f t="shared" si="19"/>
        <v>22025.760944206831</v>
      </c>
      <c r="AC75" s="19"/>
    </row>
    <row r="76" spans="1:29">
      <c r="F76" s="112">
        <v>0</v>
      </c>
      <c r="G76" s="112">
        <v>0</v>
      </c>
      <c r="H76" s="112">
        <v>0</v>
      </c>
      <c r="I76" s="112">
        <v>0</v>
      </c>
      <c r="J76" s="112">
        <v>0</v>
      </c>
      <c r="K76" s="112">
        <v>0</v>
      </c>
      <c r="L76" s="112">
        <v>0</v>
      </c>
      <c r="M76" s="112">
        <v>0</v>
      </c>
      <c r="Q76" s="108">
        <v>74</v>
      </c>
      <c r="R76" s="27">
        <f t="shared" si="10"/>
        <v>6.166666666666667</v>
      </c>
      <c r="S76" s="18">
        <f t="shared" si="11"/>
        <v>194472000</v>
      </c>
      <c r="T76" s="42">
        <f t="shared" si="12"/>
        <v>6.1877730843712939</v>
      </c>
      <c r="U76" s="42">
        <f t="shared" si="13"/>
        <v>2992.2724437714915</v>
      </c>
      <c r="V76" s="42">
        <f t="shared" si="14"/>
        <v>1377.8284624006872</v>
      </c>
      <c r="W76" s="42">
        <f t="shared" si="15"/>
        <v>177.21398786589884</v>
      </c>
      <c r="X76" s="42">
        <f t="shared" si="16"/>
        <v>103.96347156679083</v>
      </c>
      <c r="Y76" s="42">
        <f t="shared" si="17"/>
        <v>52.232547181248641</v>
      </c>
      <c r="Z76" s="42">
        <f t="shared" si="18"/>
        <v>32.131375759990476</v>
      </c>
      <c r="AA76" s="42">
        <f t="shared" si="19"/>
        <v>21969.050994808422</v>
      </c>
      <c r="AC76" s="19"/>
    </row>
    <row r="77" spans="1:29">
      <c r="F77" s="112">
        <v>0</v>
      </c>
      <c r="G77" s="112">
        <v>0</v>
      </c>
      <c r="H77" s="112">
        <v>0</v>
      </c>
      <c r="I77" s="112">
        <v>0</v>
      </c>
      <c r="J77" s="112">
        <v>0</v>
      </c>
      <c r="K77" s="112">
        <v>0</v>
      </c>
      <c r="L77" s="112">
        <v>0</v>
      </c>
      <c r="M77" s="112">
        <v>0</v>
      </c>
      <c r="Q77" s="108">
        <v>75</v>
      </c>
      <c r="R77" s="27">
        <f t="shared" si="10"/>
        <v>6.25</v>
      </c>
      <c r="S77" s="18">
        <f t="shared" si="11"/>
        <v>197100000</v>
      </c>
      <c r="T77" s="42">
        <f t="shared" si="12"/>
        <v>6.0908023309622239</v>
      </c>
      <c r="U77" s="42">
        <f t="shared" si="13"/>
        <v>2985.6214792054557</v>
      </c>
      <c r="V77" s="42">
        <f t="shared" si="14"/>
        <v>1379.2197934691089</v>
      </c>
      <c r="W77" s="42">
        <f t="shared" si="15"/>
        <v>176.44609263823833</v>
      </c>
      <c r="X77" s="42">
        <f t="shared" si="16"/>
        <v>104.23947023553332</v>
      </c>
      <c r="Y77" s="42">
        <f t="shared" si="17"/>
        <v>52.421863149844832</v>
      </c>
      <c r="Z77" s="42">
        <f t="shared" si="18"/>
        <v>31.385110707733702</v>
      </c>
      <c r="AA77" s="42">
        <f t="shared" si="19"/>
        <v>21912.487047010476</v>
      </c>
      <c r="AC77" s="19"/>
    </row>
    <row r="78" spans="1:29">
      <c r="A78" s="4"/>
      <c r="B78" s="4"/>
      <c r="D78" s="4"/>
      <c r="F78" s="112">
        <v>0</v>
      </c>
      <c r="G78" s="112">
        <v>0</v>
      </c>
      <c r="H78" s="112">
        <v>0</v>
      </c>
      <c r="I78" s="112">
        <v>0</v>
      </c>
      <c r="J78" s="112">
        <v>0</v>
      </c>
      <c r="K78" s="112">
        <v>-2.7878824382448801</v>
      </c>
      <c r="L78" s="112">
        <v>0</v>
      </c>
      <c r="M78" s="112">
        <v>0</v>
      </c>
      <c r="Q78" s="108">
        <v>76</v>
      </c>
      <c r="R78" s="27">
        <f t="shared" si="10"/>
        <v>6.333333333333333</v>
      </c>
      <c r="S78" s="18">
        <f t="shared" si="11"/>
        <v>199728000</v>
      </c>
      <c r="T78" s="42">
        <f t="shared" si="12"/>
        <v>5.9949895543937464</v>
      </c>
      <c r="U78" s="42">
        <f t="shared" si="13"/>
        <v>2978.9803918325215</v>
      </c>
      <c r="V78" s="42">
        <f t="shared" si="14"/>
        <v>1380.5725818764352</v>
      </c>
      <c r="W78" s="42">
        <f t="shared" si="15"/>
        <v>175.63423824601301</v>
      </c>
      <c r="X78" s="42">
        <f t="shared" si="16"/>
        <v>104.52135385690021</v>
      </c>
      <c r="Y78" s="42">
        <f t="shared" si="17"/>
        <v>52.628185083435113</v>
      </c>
      <c r="Z78" s="42">
        <f t="shared" si="18"/>
        <v>30.64363699594098</v>
      </c>
      <c r="AA78" s="42">
        <f t="shared" si="19"/>
        <v>21856.068724362292</v>
      </c>
      <c r="AC78" s="19"/>
    </row>
    <row r="79" spans="1:29">
      <c r="A79" s="4"/>
      <c r="B79" s="4"/>
      <c r="D79" s="4"/>
      <c r="F79" s="112">
        <v>0</v>
      </c>
      <c r="G79" s="112">
        <v>0</v>
      </c>
      <c r="H79" s="112">
        <v>0</v>
      </c>
      <c r="I79" s="112">
        <v>0</v>
      </c>
      <c r="J79" s="112">
        <v>0</v>
      </c>
      <c r="K79" s="112">
        <v>0.37333855188460408</v>
      </c>
      <c r="L79" s="112">
        <v>0</v>
      </c>
      <c r="M79" s="112">
        <v>0</v>
      </c>
      <c r="Q79" s="108">
        <v>77</v>
      </c>
      <c r="R79" s="27">
        <f t="shared" si="10"/>
        <v>6.416666666666667</v>
      </c>
      <c r="S79" s="18">
        <f t="shared" si="11"/>
        <v>202356000</v>
      </c>
      <c r="T79" s="42">
        <f t="shared" si="12"/>
        <v>5.9003013753032096</v>
      </c>
      <c r="U79" s="42">
        <f t="shared" si="13"/>
        <v>2972.3499554833543</v>
      </c>
      <c r="V79" s="42">
        <f t="shared" si="14"/>
        <v>1381.8869445426681</v>
      </c>
      <c r="W79" s="42">
        <f t="shared" si="15"/>
        <v>174.77567453086556</v>
      </c>
      <c r="X79" s="42">
        <f t="shared" si="16"/>
        <v>104.80950457530741</v>
      </c>
      <c r="Y79" s="42">
        <f t="shared" si="17"/>
        <v>52.852318870918019</v>
      </c>
      <c r="Z79" s="42">
        <f t="shared" si="18"/>
        <v>29.906346450719795</v>
      </c>
      <c r="AA79" s="42">
        <f t="shared" si="19"/>
        <v>21799.795651360411</v>
      </c>
      <c r="AC79" s="19"/>
    </row>
    <row r="80" spans="1:29">
      <c r="A80" s="4"/>
      <c r="B80" s="4"/>
      <c r="D80" s="4"/>
      <c r="F80" s="112">
        <v>0</v>
      </c>
      <c r="G80" s="112">
        <v>0</v>
      </c>
      <c r="H80" s="112">
        <v>0</v>
      </c>
      <c r="I80" s="112">
        <v>0</v>
      </c>
      <c r="J80" s="112">
        <v>0</v>
      </c>
      <c r="K80" s="112">
        <v>1</v>
      </c>
      <c r="L80" s="112">
        <v>0</v>
      </c>
      <c r="M80" s="112">
        <v>0</v>
      </c>
      <c r="Q80" s="108">
        <v>78</v>
      </c>
      <c r="R80" s="27">
        <f t="shared" si="10"/>
        <v>6.5</v>
      </c>
      <c r="S80" s="18">
        <f t="shared" si="11"/>
        <v>204984000</v>
      </c>
      <c r="T80" s="42">
        <f t="shared" si="12"/>
        <v>5.806704268914272</v>
      </c>
      <c r="U80" s="42">
        <f t="shared" si="13"/>
        <v>2965.7309546241822</v>
      </c>
      <c r="V80" s="42">
        <f t="shared" si="14"/>
        <v>1383.162992589768</v>
      </c>
      <c r="W80" s="42">
        <f t="shared" si="15"/>
        <v>173.86757360343904</v>
      </c>
      <c r="X80" s="42">
        <f t="shared" si="16"/>
        <v>105.10431574490315</v>
      </c>
      <c r="Y80" s="42">
        <f t="shared" si="17"/>
        <v>53.095097005465504</v>
      </c>
      <c r="Z80" s="42">
        <f t="shared" si="18"/>
        <v>29.172621763520091</v>
      </c>
      <c r="AA80" s="42">
        <f t="shared" si="19"/>
        <v>21743.667453445578</v>
      </c>
      <c r="AC80" s="19"/>
    </row>
    <row r="81" spans="1:29">
      <c r="A81" s="4"/>
      <c r="B81" s="4"/>
      <c r="D81" s="4"/>
      <c r="F81" s="112">
        <v>0</v>
      </c>
      <c r="G81" s="112">
        <v>0</v>
      </c>
      <c r="H81" s="112">
        <v>0</v>
      </c>
      <c r="I81" s="112">
        <v>0</v>
      </c>
      <c r="J81" s="112">
        <v>0</v>
      </c>
      <c r="K81" s="112">
        <v>0</v>
      </c>
      <c r="L81" s="112">
        <v>0</v>
      </c>
      <c r="M81" s="112">
        <v>0</v>
      </c>
      <c r="Q81" s="108">
        <v>79</v>
      </c>
      <c r="R81" s="27">
        <f t="shared" si="10"/>
        <v>6.583333333333333</v>
      </c>
      <c r="S81" s="18">
        <f t="shared" si="11"/>
        <v>207612000</v>
      </c>
      <c r="T81" s="42">
        <f t="shared" si="12"/>
        <v>5.7141645501191922</v>
      </c>
      <c r="U81" s="42">
        <f t="shared" si="13"/>
        <v>2959.1241848429659</v>
      </c>
      <c r="V81" s="42">
        <f t="shared" si="14"/>
        <v>1384.4008312146752</v>
      </c>
      <c r="W81" s="42">
        <f t="shared" si="15"/>
        <v>172.90702788550658</v>
      </c>
      <c r="X81" s="42">
        <f t="shared" si="16"/>
        <v>105.40619221356103</v>
      </c>
      <c r="Y81" s="42">
        <f t="shared" si="17"/>
        <v>53.357379183709327</v>
      </c>
      <c r="Z81" s="42">
        <f t="shared" si="18"/>
        <v>28.441836115537122</v>
      </c>
      <c r="AA81" s="42">
        <f t="shared" si="19"/>
        <v>21687.683756999744</v>
      </c>
      <c r="AC81" s="19"/>
    </row>
    <row r="82" spans="1:29">
      <c r="A82" s="4"/>
      <c r="B82" s="4"/>
      <c r="D82" s="4"/>
      <c r="F82" s="112">
        <v>0</v>
      </c>
      <c r="G82" s="112">
        <v>0</v>
      </c>
      <c r="H82" s="112">
        <v>0</v>
      </c>
      <c r="I82" s="112">
        <v>0</v>
      </c>
      <c r="J82" s="112">
        <v>0</v>
      </c>
      <c r="K82" s="112">
        <v>0</v>
      </c>
      <c r="L82" s="112">
        <v>0</v>
      </c>
      <c r="M82" s="112">
        <v>0</v>
      </c>
      <c r="Q82" s="108">
        <v>80</v>
      </c>
      <c r="R82" s="27">
        <f t="shared" si="10"/>
        <v>6.666666666666667</v>
      </c>
      <c r="S82" s="18">
        <f t="shared" si="11"/>
        <v>210240000</v>
      </c>
      <c r="T82" s="42">
        <f t="shared" si="12"/>
        <v>5.6226483585611229</v>
      </c>
      <c r="U82" s="42">
        <f t="shared" si="13"/>
        <v>2952.530453335562</v>
      </c>
      <c r="V82" s="42">
        <f t="shared" si="14"/>
        <v>1385.6005595623401</v>
      </c>
      <c r="W82" s="42">
        <f t="shared" si="15"/>
        <v>171.89104815210143</v>
      </c>
      <c r="X82" s="42">
        <f t="shared" si="16"/>
        <v>105.71555060687346</v>
      </c>
      <c r="Y82" s="42">
        <f t="shared" si="17"/>
        <v>53.640052904927543</v>
      </c>
      <c r="Z82" s="42">
        <f t="shared" si="18"/>
        <v>27.713352802114112</v>
      </c>
      <c r="AA82" s="42">
        <f t="shared" si="19"/>
        <v>21631.844189343024</v>
      </c>
      <c r="AC82" s="19"/>
    </row>
    <row r="83" spans="1:29">
      <c r="A83" s="4"/>
      <c r="B83" s="4"/>
      <c r="D83" s="4"/>
      <c r="Q83" s="108">
        <v>81</v>
      </c>
      <c r="R83" s="27">
        <f t="shared" si="10"/>
        <v>6.75</v>
      </c>
      <c r="S83" s="18">
        <f t="shared" si="11"/>
        <v>212868000</v>
      </c>
      <c r="T83" s="42">
        <f t="shared" si="12"/>
        <v>5.5321216437164074</v>
      </c>
      <c r="U83" s="42">
        <f t="shared" si="13"/>
        <v>2945.9505793918906</v>
      </c>
      <c r="V83" s="42">
        <f t="shared" si="14"/>
        <v>1386.7622705987467</v>
      </c>
      <c r="W83" s="42">
        <f t="shared" si="15"/>
        <v>170.81656157364728</v>
      </c>
      <c r="X83" s="42">
        <f t="shared" si="16"/>
        <v>106.03281961214503</v>
      </c>
      <c r="Y83" s="42">
        <f t="shared" si="17"/>
        <v>53.944034070230828</v>
      </c>
      <c r="Z83" s="42">
        <f t="shared" si="18"/>
        <v>26.986524857144815</v>
      </c>
      <c r="AA83" s="42">
        <f t="shared" si="19"/>
        <v>21576.148378730642</v>
      </c>
      <c r="AC83" s="19"/>
    </row>
    <row r="84" spans="1:29">
      <c r="A84" s="4"/>
      <c r="B84" s="4"/>
      <c r="D84" s="4"/>
      <c r="F84" s="114" t="s">
        <v>173</v>
      </c>
      <c r="I84" s="19"/>
      <c r="J84" s="19"/>
      <c r="K84" s="19"/>
      <c r="L84" s="19"/>
      <c r="M84" s="19"/>
      <c r="Q84" s="108">
        <v>82</v>
      </c>
      <c r="R84" s="27">
        <f t="shared" si="10"/>
        <v>6.833333333333333</v>
      </c>
      <c r="S84" s="18">
        <f t="shared" si="11"/>
        <v>215496000</v>
      </c>
      <c r="T84" s="42">
        <f t="shared" si="12"/>
        <v>5.4425501499768885</v>
      </c>
      <c r="U84" s="42">
        <f t="shared" si="13"/>
        <v>2939.3853948820979</v>
      </c>
      <c r="V84" s="42">
        <f t="shared" si="14"/>
        <v>1387.8860509839374</v>
      </c>
      <c r="W84" s="42">
        <f t="shared" si="15"/>
        <v>169.68040975808825</v>
      </c>
      <c r="X84" s="42">
        <f t="shared" si="16"/>
        <v>106.35844026238574</v>
      </c>
      <c r="Y84" s="42">
        <f t="shared" si="17"/>
        <v>54.270267581749025</v>
      </c>
      <c r="Z84" s="42">
        <f t="shared" si="18"/>
        <v>26.260694677476387</v>
      </c>
      <c r="AA84" s="42">
        <f t="shared" si="19"/>
        <v>21520.595954349927</v>
      </c>
    </row>
    <row r="85" spans="1:29">
      <c r="A85" s="4"/>
      <c r="B85" s="4"/>
      <c r="D85" s="4"/>
      <c r="F85" s="112">
        <f t="array" ref="F85:M92">_xll.SYSLINSING(F$29:M$36-J42*_xll.M_ID(),,0.0001)</f>
        <v>0</v>
      </c>
      <c r="G85" s="112">
        <v>0</v>
      </c>
      <c r="H85" s="112">
        <v>0</v>
      </c>
      <c r="I85" s="112">
        <v>0</v>
      </c>
      <c r="J85" s="112">
        <v>0</v>
      </c>
      <c r="K85" s="112">
        <v>0</v>
      </c>
      <c r="L85" s="112">
        <v>0</v>
      </c>
      <c r="M85" s="112">
        <v>0</v>
      </c>
      <c r="Q85" s="108">
        <v>83</v>
      </c>
      <c r="R85" s="27">
        <f t="shared" si="10"/>
        <v>6.916666666666667</v>
      </c>
      <c r="S85" s="18">
        <f t="shared" si="11"/>
        <v>218124000</v>
      </c>
      <c r="T85" s="42">
        <f t="shared" si="12"/>
        <v>5.3538994017321846</v>
      </c>
      <c r="U85" s="42">
        <f t="shared" si="13"/>
        <v>2932.8357447427311</v>
      </c>
      <c r="V85" s="42">
        <f t="shared" si="14"/>
        <v>1388.9719809450405</v>
      </c>
      <c r="W85" s="42">
        <f t="shared" si="15"/>
        <v>168.47934679301929</v>
      </c>
      <c r="X85" s="42">
        <f t="shared" si="16"/>
        <v>106.69286622030425</v>
      </c>
      <c r="Y85" s="42">
        <f t="shared" si="17"/>
        <v>54.619727941817459</v>
      </c>
      <c r="Z85" s="42">
        <f t="shared" si="18"/>
        <v>25.535193647311807</v>
      </c>
      <c r="AA85" s="42">
        <f t="shared" si="19"/>
        <v>21465.18654631728</v>
      </c>
    </row>
    <row r="86" spans="1:29">
      <c r="A86" s="4"/>
      <c r="B86" s="4"/>
      <c r="D86" s="4"/>
      <c r="F86" s="112">
        <v>0</v>
      </c>
      <c r="G86" s="112">
        <v>0</v>
      </c>
      <c r="H86" s="112">
        <v>0</v>
      </c>
      <c r="I86" s="112">
        <v>0</v>
      </c>
      <c r="J86" s="112">
        <v>0</v>
      </c>
      <c r="K86" s="112">
        <v>0</v>
      </c>
      <c r="L86" s="112">
        <v>0</v>
      </c>
      <c r="M86" s="112">
        <v>0</v>
      </c>
      <c r="Q86" s="108">
        <v>84</v>
      </c>
      <c r="R86" s="27">
        <f t="shared" si="10"/>
        <v>7</v>
      </c>
      <c r="S86" s="18">
        <f t="shared" si="11"/>
        <v>220752000</v>
      </c>
      <c r="T86" s="42">
        <f t="shared" si="12"/>
        <v>5.2661346884520031</v>
      </c>
      <c r="U86" s="42">
        <f t="shared" si="13"/>
        <v>2926.3024874628941</v>
      </c>
      <c r="V86" s="42">
        <f t="shared" si="14"/>
        <v>1390.0201341492943</v>
      </c>
      <c r="W86" s="42">
        <f t="shared" si="15"/>
        <v>167.21003728781599</v>
      </c>
      <c r="X86" s="42">
        <f t="shared" si="16"/>
        <v>107.03656406230139</v>
      </c>
      <c r="Y86" s="42">
        <f t="shared" si="17"/>
        <v>54.993419852163477</v>
      </c>
      <c r="Z86" s="42">
        <f t="shared" si="18"/>
        <v>24.809341762612668</v>
      </c>
      <c r="AA86" s="42">
        <f t="shared" si="19"/>
        <v>21409.919785675149</v>
      </c>
    </row>
    <row r="87" spans="1:29">
      <c r="A87" s="4"/>
      <c r="B87" s="4"/>
      <c r="D87" s="4"/>
      <c r="F87" s="112">
        <v>0</v>
      </c>
      <c r="G87" s="112">
        <v>0</v>
      </c>
      <c r="H87" s="112">
        <v>0</v>
      </c>
      <c r="I87" s="112">
        <v>0</v>
      </c>
      <c r="J87" s="112">
        <v>0</v>
      </c>
      <c r="K87" s="112">
        <v>0</v>
      </c>
      <c r="L87" s="112">
        <v>0</v>
      </c>
      <c r="M87" s="112">
        <v>0</v>
      </c>
      <c r="Q87" s="108">
        <v>85</v>
      </c>
      <c r="R87" s="27">
        <f t="shared" si="10"/>
        <v>7.083333333333333</v>
      </c>
      <c r="S87" s="18">
        <f t="shared" si="11"/>
        <v>223380000</v>
      </c>
      <c r="T87" s="42">
        <f t="shared" si="12"/>
        <v>5.1792210497684268</v>
      </c>
      <c r="U87" s="42">
        <f t="shared" si="13"/>
        <v>2919.7864955704199</v>
      </c>
      <c r="V87" s="42">
        <f t="shared" si="14"/>
        <v>1391.0305775770748</v>
      </c>
      <c r="W87" s="42">
        <f t="shared" si="15"/>
        <v>165.86905441576488</v>
      </c>
      <c r="X87" s="42">
        <f t="shared" si="16"/>
        <v>107.3900135624633</v>
      </c>
      <c r="Y87" s="42">
        <f t="shared" si="17"/>
        <v>55.392378813092776</v>
      </c>
      <c r="Z87" s="42">
        <f t="shared" si="18"/>
        <v>24.082447255501833</v>
      </c>
      <c r="AA87" s="42">
        <f t="shared" si="19"/>
        <v>21354.795304388997</v>
      </c>
    </row>
    <row r="88" spans="1:29">
      <c r="A88" s="4"/>
      <c r="B88" s="4"/>
      <c r="D88" s="4"/>
      <c r="F88" s="112">
        <v>0</v>
      </c>
      <c r="G88" s="112">
        <v>0</v>
      </c>
      <c r="H88" s="112">
        <v>0</v>
      </c>
      <c r="I88" s="112">
        <v>0</v>
      </c>
      <c r="J88" s="112">
        <v>0</v>
      </c>
      <c r="K88" s="112">
        <v>0</v>
      </c>
      <c r="L88" s="112">
        <v>0</v>
      </c>
      <c r="M88" s="112">
        <v>0</v>
      </c>
      <c r="Q88" s="108">
        <v>86</v>
      </c>
      <c r="R88" s="27">
        <f t="shared" si="10"/>
        <v>7.166666666666667</v>
      </c>
      <c r="S88" s="18">
        <f t="shared" si="11"/>
        <v>226008000</v>
      </c>
      <c r="T88" s="42">
        <f t="shared" si="12"/>
        <v>5.093123260558218</v>
      </c>
      <c r="U88" s="42">
        <f t="shared" si="13"/>
        <v>2913.2886561180385</v>
      </c>
      <c r="V88" s="42">
        <f t="shared" si="14"/>
        <v>1392.0033713949176</v>
      </c>
      <c r="W88" s="42">
        <f t="shared" si="15"/>
        <v>164.4528779561935</v>
      </c>
      <c r="X88" s="42">
        <f t="shared" si="16"/>
        <v>107.75370797655478</v>
      </c>
      <c r="Y88" s="42">
        <f t="shared" si="17"/>
        <v>55.817671722675826</v>
      </c>
      <c r="Z88" s="42">
        <f t="shared" si="18"/>
        <v>23.353806218666186</v>
      </c>
      <c r="AA88" s="42">
        <f t="shared" si="19"/>
        <v>21299.812735344243</v>
      </c>
    </row>
    <row r="89" spans="1:29">
      <c r="A89" s="4"/>
      <c r="B89" s="4"/>
      <c r="D89" s="4"/>
      <c r="F89" s="112">
        <v>0</v>
      </c>
      <c r="G89" s="112">
        <v>0</v>
      </c>
      <c r="H89" s="112">
        <v>0</v>
      </c>
      <c r="I89" s="112">
        <v>0</v>
      </c>
      <c r="J89" s="112">
        <v>1</v>
      </c>
      <c r="K89" s="112">
        <v>0</v>
      </c>
      <c r="L89" s="112">
        <v>0</v>
      </c>
      <c r="M89" s="112">
        <v>0</v>
      </c>
      <c r="Q89" s="108">
        <v>87</v>
      </c>
      <c r="R89" s="27">
        <f t="shared" si="10"/>
        <v>7.25</v>
      </c>
      <c r="S89" s="18">
        <f t="shared" si="11"/>
        <v>228636000</v>
      </c>
      <c r="T89" s="42">
        <f t="shared" si="12"/>
        <v>5.0078058160251055</v>
      </c>
      <c r="U89" s="42">
        <f t="shared" si="13"/>
        <v>2906.8098711695375</v>
      </c>
      <c r="V89" s="42">
        <f t="shared" si="14"/>
        <v>1392.9385688285474</v>
      </c>
      <c r="W89" s="42">
        <f t="shared" si="15"/>
        <v>162.95789233660065</v>
      </c>
      <c r="X89" s="42">
        <f t="shared" si="16"/>
        <v>108.12815432601273</v>
      </c>
      <c r="Y89" s="42">
        <f t="shared" si="17"/>
        <v>56.270397475934445</v>
      </c>
      <c r="Z89" s="42">
        <f t="shared" si="18"/>
        <v>22.622702229759117</v>
      </c>
      <c r="AA89" s="42">
        <f t="shared" si="19"/>
        <v>21244.971712343293</v>
      </c>
    </row>
    <row r="90" spans="1:29">
      <c r="A90" s="4"/>
      <c r="B90" s="4"/>
      <c r="D90" s="4"/>
      <c r="F90" s="112">
        <v>0</v>
      </c>
      <c r="G90" s="112">
        <v>0</v>
      </c>
      <c r="H90" s="112">
        <v>0</v>
      </c>
      <c r="I90" s="112">
        <v>0</v>
      </c>
      <c r="J90" s="112">
        <v>0</v>
      </c>
      <c r="K90" s="112">
        <v>0</v>
      </c>
      <c r="L90" s="112">
        <v>0</v>
      </c>
      <c r="M90" s="112">
        <v>0</v>
      </c>
      <c r="Q90" s="108">
        <v>88</v>
      </c>
      <c r="R90" s="27">
        <f t="shared" si="10"/>
        <v>7.333333333333333</v>
      </c>
      <c r="S90" s="18">
        <f t="shared" si="11"/>
        <v>231264000</v>
      </c>
      <c r="T90" s="42">
        <f t="shared" si="12"/>
        <v>4.9232329167820916</v>
      </c>
      <c r="U90" s="42">
        <f t="shared" si="13"/>
        <v>2900.3510582859308</v>
      </c>
      <c r="V90" s="42">
        <f t="shared" si="14"/>
        <v>1393.836216035902</v>
      </c>
      <c r="W90" s="42">
        <f t="shared" si="15"/>
        <v>161.3803846747866</v>
      </c>
      <c r="X90" s="42">
        <f t="shared" si="16"/>
        <v>108.51387368193922</v>
      </c>
      <c r="Y90" s="42">
        <f t="shared" si="17"/>
        <v>56.751687564028074</v>
      </c>
      <c r="Z90" s="42">
        <f t="shared" si="18"/>
        <v>21.888405975803362</v>
      </c>
      <c r="AA90" s="42">
        <f t="shared" si="19"/>
        <v>21190.271870102453</v>
      </c>
    </row>
    <row r="91" spans="1:29">
      <c r="A91" s="4"/>
      <c r="B91" s="4"/>
      <c r="D91" s="4"/>
      <c r="F91" s="112">
        <v>0</v>
      </c>
      <c r="G91" s="112">
        <v>0</v>
      </c>
      <c r="H91" s="112">
        <v>0</v>
      </c>
      <c r="I91" s="112">
        <v>0</v>
      </c>
      <c r="J91" s="112">
        <v>0</v>
      </c>
      <c r="K91" s="112">
        <v>0</v>
      </c>
      <c r="L91" s="112">
        <v>0</v>
      </c>
      <c r="M91" s="112">
        <v>0</v>
      </c>
      <c r="Q91" s="108">
        <v>89</v>
      </c>
      <c r="R91" s="27">
        <f t="shared" si="10"/>
        <v>7.416666666666667</v>
      </c>
      <c r="S91" s="18">
        <f t="shared" si="11"/>
        <v>233892000</v>
      </c>
      <c r="T91" s="42">
        <f t="shared" si="12"/>
        <v>4.8393684539337389</v>
      </c>
      <c r="U91" s="42">
        <f t="shared" si="13"/>
        <v>2893.9131510116276</v>
      </c>
      <c r="V91" s="42">
        <f t="shared" si="14"/>
        <v>1394.696351980157</v>
      </c>
      <c r="W91" s="42">
        <f t="shared" si="15"/>
        <v>159.71654282098262</v>
      </c>
      <c r="X91" s="42">
        <f t="shared" si="16"/>
        <v>108.91140144909504</v>
      </c>
      <c r="Y91" s="42">
        <f t="shared" si="17"/>
        <v>57.262706673440206</v>
      </c>
      <c r="Z91" s="42">
        <f t="shared" si="18"/>
        <v>21.150174877593528</v>
      </c>
      <c r="AA91" s="42">
        <f t="shared" si="19"/>
        <v>21135.71284424893</v>
      </c>
    </row>
    <row r="92" spans="1:29">
      <c r="A92" s="4"/>
      <c r="B92" s="4"/>
      <c r="D92" s="4"/>
      <c r="F92" s="112">
        <v>0</v>
      </c>
      <c r="G92" s="112">
        <v>0</v>
      </c>
      <c r="H92" s="112">
        <v>0</v>
      </c>
      <c r="I92" s="112">
        <v>0</v>
      </c>
      <c r="J92" s="112">
        <v>0</v>
      </c>
      <c r="K92" s="112">
        <v>0</v>
      </c>
      <c r="L92" s="112">
        <v>0</v>
      </c>
      <c r="M92" s="112">
        <v>0</v>
      </c>
      <c r="Q92" s="108">
        <v>90</v>
      </c>
      <c r="R92" s="27">
        <f t="shared" si="10"/>
        <v>7.5</v>
      </c>
      <c r="S92" s="18">
        <f t="shared" si="11"/>
        <v>236520000</v>
      </c>
      <c r="T92" s="42">
        <f t="shared" si="12"/>
        <v>4.7561759941584727</v>
      </c>
      <c r="U92" s="42">
        <f t="shared" si="13"/>
        <v>2887.4970993605948</v>
      </c>
      <c r="V92" s="42">
        <f t="shared" si="14"/>
        <v>1395.519008302753</v>
      </c>
      <c r="W92" s="42">
        <f t="shared" si="15"/>
        <v>157.96245339998208</v>
      </c>
      <c r="X92" s="42">
        <f t="shared" si="16"/>
        <v>109.32128764989295</v>
      </c>
      <c r="Y92" s="42">
        <f t="shared" si="17"/>
        <v>57.804653285164925</v>
      </c>
      <c r="Z92" s="42">
        <f t="shared" si="18"/>
        <v>20.407252714098984</v>
      </c>
      <c r="AA92" s="42">
        <f t="shared" si="19"/>
        <v>21081.294271317794</v>
      </c>
    </row>
    <row r="93" spans="1:29">
      <c r="A93" s="4"/>
      <c r="B93" s="4"/>
      <c r="D93" s="4"/>
      <c r="Q93" s="108">
        <v>91</v>
      </c>
      <c r="R93" s="27">
        <f t="shared" si="10"/>
        <v>7.583333333333333</v>
      </c>
      <c r="S93" s="18">
        <f t="shared" si="11"/>
        <v>239148000</v>
      </c>
      <c r="T93" s="42">
        <f t="shared" si="12"/>
        <v>4.6736187647908709</v>
      </c>
      <c r="U93" s="42">
        <f t="shared" si="13"/>
        <v>2881.1038703025251</v>
      </c>
      <c r="V93" s="42">
        <f t="shared" si="14"/>
        <v>1396.3042091964203</v>
      </c>
      <c r="W93" s="42">
        <f t="shared" si="15"/>
        <v>156.11409985326981</v>
      </c>
      <c r="X93" s="42">
        <f t="shared" si="16"/>
        <v>109.74409720839088</v>
      </c>
      <c r="Y93" s="42">
        <f t="shared" si="17"/>
        <v>58.378760273893263</v>
      </c>
      <c r="Z93" s="42">
        <f t="shared" si="18"/>
        <v>19.658869246866125</v>
      </c>
      <c r="AA93" s="42">
        <f t="shared" si="19"/>
        <v>21027.015788748951</v>
      </c>
    </row>
    <row r="94" spans="1:29">
      <c r="A94" s="4"/>
      <c r="B94" s="4"/>
      <c r="D94" s="4"/>
      <c r="F94" s="114" t="s">
        <v>174</v>
      </c>
      <c r="I94" s="19"/>
      <c r="J94" s="19"/>
      <c r="K94" s="19"/>
      <c r="L94" s="19"/>
      <c r="M94" s="19"/>
      <c r="Q94" s="108">
        <v>92</v>
      </c>
      <c r="R94" s="27">
        <f t="shared" si="10"/>
        <v>7.666666666666667</v>
      </c>
      <c r="S94" s="18">
        <f t="shared" si="11"/>
        <v>241776000</v>
      </c>
      <c r="T94" s="42">
        <f t="shared" si="12"/>
        <v>4.5916596389039732</v>
      </c>
      <c r="U94" s="42">
        <f t="shared" si="13"/>
        <v>2874.734448249003</v>
      </c>
      <c r="V94" s="42">
        <f t="shared" si="14"/>
        <v>1397.0519712782047</v>
      </c>
      <c r="W94" s="42">
        <f t="shared" si="15"/>
        <v>154.16736048115251</v>
      </c>
      <c r="X94" s="42">
        <f t="shared" si="16"/>
        <v>110.18041023428536</v>
      </c>
      <c r="Y94" s="42">
        <f t="shared" si="17"/>
        <v>58.986295507199628</v>
      </c>
      <c r="Z94" s="42">
        <f t="shared" si="18"/>
        <v>18.904239844421518</v>
      </c>
      <c r="AA94" s="42">
        <f t="shared" si="19"/>
        <v>20972.877034884124</v>
      </c>
    </row>
    <row r="95" spans="1:29" s="4" customFormat="1">
      <c r="C95" s="2"/>
      <c r="E95" s="19"/>
      <c r="F95" s="112">
        <f t="array" ref="F95:M102">_xll.SYSLINSING(F$29:M$36-K42*_xll.M_ID(),,0.0001)</f>
        <v>0</v>
      </c>
      <c r="G95" s="112">
        <v>0</v>
      </c>
      <c r="H95" s="112">
        <v>0</v>
      </c>
      <c r="I95" s="112">
        <v>0</v>
      </c>
      <c r="J95" s="112">
        <v>0</v>
      </c>
      <c r="K95" s="112">
        <v>0</v>
      </c>
      <c r="L95" s="112">
        <v>0</v>
      </c>
      <c r="M95" s="112">
        <v>0</v>
      </c>
      <c r="Q95" s="108">
        <v>93</v>
      </c>
      <c r="R95" s="27">
        <f t="shared" si="10"/>
        <v>7.75</v>
      </c>
      <c r="S95" s="18">
        <f t="shared" si="11"/>
        <v>244404000</v>
      </c>
      <c r="T95" s="42">
        <f t="shared" si="12"/>
        <v>4.5102611203915721</v>
      </c>
      <c r="U95" s="42">
        <f t="shared" si="13"/>
        <v>2868.3898355396705</v>
      </c>
      <c r="V95" s="42">
        <f t="shared" si="14"/>
        <v>1397.762303462493</v>
      </c>
      <c r="W95" s="42">
        <f t="shared" si="15"/>
        <v>152.11800648488895</v>
      </c>
      <c r="X95" s="42">
        <f t="shared" si="16"/>
        <v>110.63082230690483</v>
      </c>
      <c r="Y95" s="42">
        <f t="shared" si="17"/>
        <v>59.628562444728175</v>
      </c>
      <c r="Z95" s="42">
        <f t="shared" si="18"/>
        <v>18.142565106674301</v>
      </c>
      <c r="AA95" s="42">
        <f t="shared" si="19"/>
        <v>20918.877648963793</v>
      </c>
    </row>
    <row r="96" spans="1:29" s="4" customFormat="1">
      <c r="C96" s="2"/>
      <c r="E96" s="19"/>
      <c r="F96" s="112">
        <v>0</v>
      </c>
      <c r="G96" s="112">
        <v>0</v>
      </c>
      <c r="H96" s="112">
        <v>0</v>
      </c>
      <c r="I96" s="112">
        <v>0</v>
      </c>
      <c r="J96" s="112">
        <v>0</v>
      </c>
      <c r="K96" s="112">
        <v>0</v>
      </c>
      <c r="L96" s="112">
        <v>0</v>
      </c>
      <c r="M96" s="112">
        <v>0</v>
      </c>
      <c r="Q96" s="108">
        <v>94</v>
      </c>
      <c r="R96" s="27">
        <f t="shared" si="10"/>
        <v>7.833333333333333</v>
      </c>
      <c r="S96" s="18">
        <f t="shared" si="11"/>
        <v>247032000</v>
      </c>
      <c r="T96" s="42">
        <f t="shared" si="12"/>
        <v>4.4293853290504863</v>
      </c>
      <c r="U96" s="42">
        <f t="shared" si="13"/>
        <v>2862.0710529283938</v>
      </c>
      <c r="V96" s="42">
        <f t="shared" si="14"/>
        <v>1398.4352068340399</v>
      </c>
      <c r="W96" s="42">
        <f t="shared" si="15"/>
        <v>149.96170000882009</v>
      </c>
      <c r="X96" s="42">
        <f t="shared" si="16"/>
        <v>111.09594475920284</v>
      </c>
      <c r="Y96" s="42">
        <f t="shared" si="17"/>
        <v>60.306900737379394</v>
      </c>
      <c r="Z96" s="42">
        <f t="shared" si="18"/>
        <v>17.373030489318779</v>
      </c>
      <c r="AA96" s="42">
        <f t="shared" si="19"/>
        <v>20865.017271124205</v>
      </c>
    </row>
    <row r="97" spans="3:27" s="4" customFormat="1">
      <c r="C97" s="2"/>
      <c r="E97" s="19"/>
      <c r="F97" s="112">
        <v>0</v>
      </c>
      <c r="G97" s="112">
        <v>0</v>
      </c>
      <c r="H97" s="112">
        <v>0</v>
      </c>
      <c r="I97" s="112">
        <v>0</v>
      </c>
      <c r="J97" s="112">
        <v>0</v>
      </c>
      <c r="K97" s="112">
        <v>0</v>
      </c>
      <c r="L97" s="112">
        <v>0</v>
      </c>
      <c r="M97" s="112">
        <v>0</v>
      </c>
      <c r="Q97" s="108">
        <v>95</v>
      </c>
      <c r="R97" s="27">
        <f t="shared" si="10"/>
        <v>7.916666666666667</v>
      </c>
      <c r="S97" s="18">
        <f t="shared" si="11"/>
        <v>249660000</v>
      </c>
      <c r="T97" s="42">
        <f t="shared" si="12"/>
        <v>4.3489939856629061</v>
      </c>
      <c r="U97" s="42">
        <f t="shared" si="13"/>
        <v>2855.7791400694296</v>
      </c>
      <c r="V97" s="42">
        <f t="shared" si="14"/>
        <v>1399.0706745209916</v>
      </c>
      <c r="W97" s="42">
        <f t="shared" si="15"/>
        <v>147.69399218249893</v>
      </c>
      <c r="X97" s="42">
        <f t="shared" si="16"/>
        <v>111.57640496175161</v>
      </c>
      <c r="Y97" s="42">
        <f t="shared" si="17"/>
        <v>61.02268682649639</v>
      </c>
      <c r="Z97" s="42">
        <f t="shared" si="18"/>
        <v>16.594805928237299</v>
      </c>
      <c r="AA97" s="42">
        <f t="shared" si="19"/>
        <v>20811.295542394302</v>
      </c>
    </row>
    <row r="98" spans="3:27" s="4" customFormat="1">
      <c r="C98" s="2"/>
      <c r="E98" s="19"/>
      <c r="F98" s="112">
        <v>0</v>
      </c>
      <c r="G98" s="112">
        <v>0</v>
      </c>
      <c r="H98" s="112">
        <v>0</v>
      </c>
      <c r="I98" s="112">
        <v>0</v>
      </c>
      <c r="J98" s="112">
        <v>0</v>
      </c>
      <c r="K98" s="112">
        <v>0</v>
      </c>
      <c r="L98" s="112">
        <v>0</v>
      </c>
      <c r="M98" s="112">
        <v>0</v>
      </c>
      <c r="Q98" s="108">
        <v>96</v>
      </c>
      <c r="R98" s="27">
        <f t="shared" si="10"/>
        <v>8</v>
      </c>
      <c r="S98" s="18">
        <f t="shared" si="11"/>
        <v>252288000</v>
      </c>
      <c r="T98" s="42">
        <f t="shared" si="12"/>
        <v>4.269048397078631</v>
      </c>
      <c r="U98" s="42">
        <f t="shared" si="13"/>
        <v>2849.5151560035924</v>
      </c>
      <c r="V98" s="42">
        <f t="shared" si="14"/>
        <v>1399.6686915679118</v>
      </c>
      <c r="W98" s="42">
        <f t="shared" si="15"/>
        <v>145.31032116282123</v>
      </c>
      <c r="X98" s="42">
        <f t="shared" si="16"/>
        <v>112.07284660673504</v>
      </c>
      <c r="Y98" s="42">
        <f t="shared" si="17"/>
        <v>61.77733454305131</v>
      </c>
      <c r="Z98" s="42">
        <f t="shared" si="18"/>
        <v>15.807045463902909</v>
      </c>
      <c r="AA98" s="42">
        <f t="shared" si="19"/>
        <v>20757.712104692739</v>
      </c>
    </row>
    <row r="99" spans="3:27" s="4" customFormat="1">
      <c r="C99" s="2"/>
      <c r="E99" s="19"/>
      <c r="F99" s="112">
        <v>0</v>
      </c>
      <c r="G99" s="112">
        <v>0</v>
      </c>
      <c r="H99" s="112">
        <v>0</v>
      </c>
      <c r="I99" s="112">
        <v>0</v>
      </c>
      <c r="J99" s="112">
        <v>0</v>
      </c>
      <c r="K99" s="112">
        <v>-0.21485981177938235</v>
      </c>
      <c r="L99" s="112">
        <v>0</v>
      </c>
      <c r="M99" s="112">
        <v>0</v>
      </c>
      <c r="Q99" s="108">
        <v>97</v>
      </c>
      <c r="R99" s="27">
        <f t="shared" si="10"/>
        <v>8.0833333333333339</v>
      </c>
      <c r="S99" s="18">
        <f t="shared" si="11"/>
        <v>254916000</v>
      </c>
      <c r="T99" s="42">
        <f t="shared" si="12"/>
        <v>4.1895094412974263</v>
      </c>
      <c r="U99" s="42">
        <f t="shared" si="13"/>
        <v>2843.2801796444187</v>
      </c>
      <c r="V99" s="42">
        <f t="shared" si="14"/>
        <v>1400.2292348088088</v>
      </c>
      <c r="W99" s="42">
        <f t="shared" si="15"/>
        <v>142.80601017615479</v>
      </c>
      <c r="X99" s="42">
        <f t="shared" si="16"/>
        <v>112.58592999194212</v>
      </c>
      <c r="Y99" s="42">
        <f t="shared" si="17"/>
        <v>62.572295706831881</v>
      </c>
      <c r="Z99" s="42">
        <f t="shared" si="18"/>
        <v>15.008886865781712</v>
      </c>
      <c r="AA99" s="42">
        <f t="shared" si="19"/>
        <v>20704.266600824812</v>
      </c>
    </row>
    <row r="100" spans="3:27" s="4" customFormat="1">
      <c r="C100" s="2"/>
      <c r="E100" s="19"/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1</v>
      </c>
      <c r="L100" s="112">
        <v>0</v>
      </c>
      <c r="M100" s="112">
        <v>0</v>
      </c>
      <c r="Q100" s="108">
        <v>98</v>
      </c>
      <c r="R100" s="27">
        <f t="shared" si="10"/>
        <v>8.1666666666666661</v>
      </c>
      <c r="S100" s="18">
        <f t="shared" si="11"/>
        <v>257544000</v>
      </c>
      <c r="T100" s="42">
        <f t="shared" si="12"/>
        <v>4.1103375525512629</v>
      </c>
      <c r="U100" s="42">
        <f t="shared" si="13"/>
        <v>2837.0753102643334</v>
      </c>
      <c r="V100" s="42">
        <f t="shared" si="14"/>
        <v>1400.7522727401597</v>
      </c>
      <c r="W100" s="42">
        <f t="shared" si="15"/>
        <v>140.17626556047074</v>
      </c>
      <c r="X100" s="42">
        <f t="shared" si="16"/>
        <v>113.11633230476053</v>
      </c>
      <c r="Y100" s="42">
        <f t="shared" si="17"/>
        <v>63.409060725627818</v>
      </c>
      <c r="Z100" s="42">
        <f t="shared" si="18"/>
        <v>14.199451256735887</v>
      </c>
      <c r="AA100" s="42">
        <f t="shared" si="19"/>
        <v>20650.958674479461</v>
      </c>
    </row>
    <row r="101" spans="3:27" s="4" customFormat="1">
      <c r="C101" s="2"/>
      <c r="E101" s="19"/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Q101" s="108">
        <v>99</v>
      </c>
      <c r="R101" s="27">
        <f t="shared" si="10"/>
        <v>8.25</v>
      </c>
      <c r="S101" s="18">
        <f t="shared" si="11"/>
        <v>260172000</v>
      </c>
      <c r="T101" s="42">
        <f t="shared" si="12"/>
        <v>4.0314927063866577</v>
      </c>
      <c r="U101" s="42">
        <f t="shared" si="13"/>
        <v>2830.9016679808187</v>
      </c>
      <c r="V101" s="42">
        <f t="shared" si="14"/>
        <v>1401.2377653939368</v>
      </c>
      <c r="W101" s="42">
        <f t="shared" si="15"/>
        <v>137.41617480747243</v>
      </c>
      <c r="X101" s="42">
        <f t="shared" si="16"/>
        <v>113.6647479061695</v>
      </c>
      <c r="Y101" s="42">
        <f t="shared" si="17"/>
        <v>64.289159194417095</v>
      </c>
      <c r="Z101" s="42">
        <f t="shared" si="18"/>
        <v>13.377842737426374</v>
      </c>
      <c r="AA101" s="42">
        <f t="shared" si="19"/>
        <v>20597.787970226218</v>
      </c>
    </row>
    <row r="102" spans="3:27" s="4" customFormat="1">
      <c r="C102" s="2"/>
      <c r="E102" s="19"/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Q102" s="108">
        <v>100</v>
      </c>
      <c r="R102" s="27">
        <f t="shared" si="10"/>
        <v>8.3333333333333339</v>
      </c>
      <c r="S102" s="18">
        <f t="shared" si="11"/>
        <v>262800000</v>
      </c>
      <c r="T102" s="42">
        <f t="shared" si="12"/>
        <v>3.9529344047469452</v>
      </c>
      <c r="U102" s="42">
        <f t="shared" si="13"/>
        <v>2824.7603942425771</v>
      </c>
      <c r="V102" s="42">
        <f t="shared" si="14"/>
        <v>1401.6856642106325</v>
      </c>
      <c r="W102" s="42">
        <f t="shared" si="15"/>
        <v>134.52070460472629</v>
      </c>
      <c r="X102" s="42">
        <f t="shared" si="16"/>
        <v>114.23188861473339</v>
      </c>
      <c r="Y102" s="42">
        <f t="shared" si="17"/>
        <v>65.214160494552559</v>
      </c>
      <c r="Z102" s="42">
        <f t="shared" si="18"/>
        <v>12.543148010715139</v>
      </c>
      <c r="AA102" s="42">
        <f t="shared" si="19"/>
        <v>20544.754133512186</v>
      </c>
    </row>
    <row r="103" spans="3:27" s="4" customFormat="1">
      <c r="C103" s="2"/>
      <c r="E103" s="19"/>
      <c r="F103" s="19"/>
      <c r="G103" s="111"/>
      <c r="H103" s="111"/>
      <c r="I103" s="111"/>
      <c r="J103" s="111"/>
      <c r="K103" s="111"/>
      <c r="L103" s="111"/>
      <c r="M103" s="111"/>
      <c r="N103" s="111"/>
      <c r="O103" s="111"/>
      <c r="P103" s="19"/>
      <c r="Q103" s="108">
        <v>101</v>
      </c>
      <c r="R103" s="27">
        <f t="shared" si="10"/>
        <v>8.4166666666666661</v>
      </c>
      <c r="S103" s="18">
        <f t="shared" si="11"/>
        <v>265428000</v>
      </c>
      <c r="T103" s="42">
        <f t="shared" si="12"/>
        <v>3.8746216610545821</v>
      </c>
      <c r="U103" s="42">
        <f t="shared" si="13"/>
        <v>2818.6526523156995</v>
      </c>
      <c r="V103" s="42">
        <f t="shared" si="14"/>
        <v>1402.0959119122856</v>
      </c>
      <c r="W103" s="42">
        <f t="shared" si="15"/>
        <v>131.48469887779231</v>
      </c>
      <c r="X103" s="42">
        <f t="shared" si="16"/>
        <v>114.81848399059501</v>
      </c>
      <c r="Y103" s="42">
        <f t="shared" si="17"/>
        <v>66.185674392948258</v>
      </c>
      <c r="Z103" s="42">
        <f t="shared" si="18"/>
        <v>11.694436006068337</v>
      </c>
      <c r="AA103" s="42">
        <f t="shared" si="19"/>
        <v>20491.856810659006</v>
      </c>
    </row>
    <row r="104" spans="3:27" s="4" customFormat="1">
      <c r="C104" s="2"/>
      <c r="E104" s="19"/>
      <c r="F104" s="114" t="s">
        <v>175</v>
      </c>
      <c r="G104" s="111"/>
      <c r="H104" s="111"/>
      <c r="I104" s="19"/>
      <c r="J104" s="19"/>
      <c r="K104" s="19"/>
      <c r="L104" s="19"/>
      <c r="M104" s="19"/>
      <c r="N104" s="111"/>
      <c r="O104" s="111"/>
      <c r="P104" s="19"/>
      <c r="Q104" s="108">
        <v>102</v>
      </c>
      <c r="R104" s="27">
        <f t="shared" si="10"/>
        <v>8.5</v>
      </c>
      <c r="S104" s="18">
        <f t="shared" si="11"/>
        <v>268056000</v>
      </c>
      <c r="T104" s="42">
        <f t="shared" si="12"/>
        <v>3.7965129852934423</v>
      </c>
      <c r="U104" s="42">
        <f t="shared" si="13"/>
        <v>2812.57962776983</v>
      </c>
      <c r="V104" s="42">
        <f t="shared" si="14"/>
        <v>1402.4684423755064</v>
      </c>
      <c r="W104" s="42">
        <f t="shared" si="15"/>
        <v>128.30287683235287</v>
      </c>
      <c r="X104" s="42">
        <f t="shared" si="16"/>
        <v>115.42528161946885</v>
      </c>
      <c r="Y104" s="42">
        <f t="shared" si="17"/>
        <v>67.205351641265935</v>
      </c>
      <c r="Z104" s="42">
        <f t="shared" si="18"/>
        <v>10.830757503958502</v>
      </c>
      <c r="AA104" s="42">
        <f t="shared" si="19"/>
        <v>20439.095648859846</v>
      </c>
    </row>
    <row r="105" spans="3:27" s="4" customFormat="1">
      <c r="C105" s="2"/>
      <c r="E105" s="19"/>
      <c r="F105" s="112">
        <f t="array" ref="F105:M112">_xll.SYSLINSING(F$29:M$36-L42*_xll.M_ID(),,0.0001)</f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P105" s="19"/>
      <c r="Q105" s="108">
        <v>103</v>
      </c>
      <c r="R105" s="27">
        <f t="shared" si="10"/>
        <v>8.5833333333333339</v>
      </c>
      <c r="S105" s="18">
        <f t="shared" si="11"/>
        <v>270684000</v>
      </c>
      <c r="T105" s="42">
        <f t="shared" si="12"/>
        <v>3.7185663690911146</v>
      </c>
      <c r="U105" s="42">
        <f t="shared" si="13"/>
        <v>2806.5425289643367</v>
      </c>
      <c r="V105" s="42">
        <f t="shared" si="14"/>
        <v>1402.8031805045027</v>
      </c>
      <c r="W105" s="42">
        <f t="shared" si="15"/>
        <v>124.9698309963444</v>
      </c>
      <c r="X105" s="42">
        <f t="shared" si="16"/>
        <v>116.05304739663435</v>
      </c>
      <c r="Y105" s="42">
        <f t="shared" si="17"/>
        <v>68.274884575101325</v>
      </c>
      <c r="Z105" s="42">
        <f t="shared" si="18"/>
        <v>9.9511447602677165</v>
      </c>
      <c r="AA105" s="42">
        <f t="shared" si="19"/>
        <v>20386.47029617634</v>
      </c>
    </row>
    <row r="106" spans="3:27" s="4" customFormat="1">
      <c r="C106" s="2"/>
      <c r="E106" s="19"/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P106" s="19"/>
      <c r="Q106" s="108">
        <v>104</v>
      </c>
      <c r="R106" s="27">
        <f t="shared" si="10"/>
        <v>8.6666666666666661</v>
      </c>
      <c r="S106" s="18">
        <f t="shared" si="11"/>
        <v>273312000</v>
      </c>
      <c r="T106" s="42">
        <f t="shared" si="12"/>
        <v>3.6407392708012001</v>
      </c>
      <c r="U106" s="42">
        <f t="shared" si="13"/>
        <v>2800.5425875344695</v>
      </c>
      <c r="V106" s="42">
        <f t="shared" si="14"/>
        <v>1403.1000421041051</v>
      </c>
      <c r="W106" s="42">
        <f t="shared" si="15"/>
        <v>121.48002526208654</v>
      </c>
      <c r="X106" s="42">
        <f t="shared" si="16"/>
        <v>116.7025658109294</v>
      </c>
      <c r="Y106" s="42">
        <f t="shared" si="17"/>
        <v>69.396007713170775</v>
      </c>
      <c r="Z106" s="42">
        <f t="shared" si="18"/>
        <v>9.0546111306897501</v>
      </c>
      <c r="AA106" s="42">
        <f t="shared" si="19"/>
        <v>20333.980401535595</v>
      </c>
    </row>
    <row r="107" spans="3:27" s="4" customFormat="1">
      <c r="C107" s="2"/>
      <c r="E107" s="19"/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P107" s="19"/>
      <c r="Q107" s="108">
        <v>105</v>
      </c>
      <c r="R107" s="27">
        <f t="shared" si="10"/>
        <v>8.75</v>
      </c>
      <c r="S107" s="18">
        <f t="shared" si="11"/>
        <v>275940000</v>
      </c>
      <c r="T107" s="42">
        <f t="shared" si="12"/>
        <v>3.562988600585606</v>
      </c>
      <c r="U107" s="42">
        <f t="shared" si="13"/>
        <v>2794.5810588775357</v>
      </c>
      <c r="V107" s="42">
        <f t="shared" si="14"/>
        <v>1403.3589337527935</v>
      </c>
      <c r="W107" s="42">
        <f t="shared" si="15"/>
        <v>117.82779292841249</v>
      </c>
      <c r="X107" s="42">
        <f t="shared" si="16"/>
        <v>117.37464022874342</v>
      </c>
      <c r="Y107" s="42">
        <f t="shared" si="17"/>
        <v>70.570498356497524</v>
      </c>
      <c r="Z107" s="42">
        <f t="shared" si="18"/>
        <v>8.140150695133336</v>
      </c>
      <c r="AA107" s="42">
        <f t="shared" si="19"/>
        <v>20281.625614727123</v>
      </c>
    </row>
    <row r="108" spans="3:27" s="4" customFormat="1">
      <c r="C108" s="2"/>
      <c r="E108" s="19"/>
      <c r="F108" s="112">
        <v>0</v>
      </c>
      <c r="G108" s="112">
        <v>0</v>
      </c>
      <c r="H108" s="112">
        <v>0</v>
      </c>
      <c r="I108" s="112">
        <v>0</v>
      </c>
      <c r="J108" s="112">
        <v>0</v>
      </c>
      <c r="K108" s="112">
        <v>0</v>
      </c>
      <c r="L108" s="112">
        <v>0</v>
      </c>
      <c r="M108" s="112">
        <v>0</v>
      </c>
      <c r="P108" s="19"/>
      <c r="Q108" s="108">
        <v>106</v>
      </c>
      <c r="R108" s="27">
        <f t="shared" si="10"/>
        <v>8.8333333333333339</v>
      </c>
      <c r="S108" s="18">
        <f t="shared" si="11"/>
        <v>278568000</v>
      </c>
      <c r="T108" s="42">
        <f t="shared" si="12"/>
        <v>3.4852707054968346</v>
      </c>
      <c r="U108" s="42">
        <f t="shared" si="13"/>
        <v>2788.6592226390576</v>
      </c>
      <c r="V108" s="42">
        <f t="shared" si="14"/>
        <v>1403.5797526757203</v>
      </c>
      <c r="W108" s="42">
        <f t="shared" si="15"/>
        <v>114.0073347427996</v>
      </c>
      <c r="X108" s="42">
        <f t="shared" si="16"/>
        <v>118.07009317801095</v>
      </c>
      <c r="Y108" s="42">
        <f t="shared" si="17"/>
        <v>71.800177187598109</v>
      </c>
      <c r="Z108" s="42">
        <f t="shared" si="18"/>
        <v>7.2067378821241803</v>
      </c>
      <c r="AA108" s="42">
        <f t="shared" si="19"/>
        <v>20229.40558639984</v>
      </c>
    </row>
    <row r="109" spans="3:27" s="4" customFormat="1">
      <c r="C109" s="2"/>
      <c r="E109" s="19"/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P109" s="19"/>
      <c r="Q109" s="108">
        <v>107</v>
      </c>
      <c r="R109" s="27">
        <f t="shared" si="10"/>
        <v>8.9166666666666661</v>
      </c>
      <c r="S109" s="18">
        <f t="shared" si="11"/>
        <v>281196000</v>
      </c>
      <c r="T109" s="42">
        <f t="shared" si="12"/>
        <v>3.4075413545603039</v>
      </c>
      <c r="U109" s="42">
        <f t="shared" si="13"/>
        <v>2782.7783831989468</v>
      </c>
      <c r="V109" s="42">
        <f t="shared" si="14"/>
        <v>1403.76238661774</v>
      </c>
      <c r="W109" s="42">
        <f t="shared" si="15"/>
        <v>110.01271694349828</v>
      </c>
      <c r="X109" s="42">
        <f t="shared" si="16"/>
        <v>118.78976663220469</v>
      </c>
      <c r="Y109" s="42">
        <f t="shared" si="17"/>
        <v>73.086908869669003</v>
      </c>
      <c r="Z109" s="42">
        <f t="shared" si="18"/>
        <v>6.253327093208064</v>
      </c>
      <c r="AA109" s="42">
        <f t="shared" si="19"/>
        <v>20177.319968059026</v>
      </c>
    </row>
    <row r="110" spans="3:27" s="4" customFormat="1">
      <c r="C110" s="2"/>
      <c r="E110" s="19"/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P110" s="19"/>
      <c r="Q110" s="108">
        <v>108</v>
      </c>
      <c r="R110" s="27">
        <f t="shared" si="10"/>
        <v>9</v>
      </c>
      <c r="S110" s="18">
        <f t="shared" si="11"/>
        <v>283824000</v>
      </c>
      <c r="T110" s="42">
        <f t="shared" si="12"/>
        <v>3.329755723856616</v>
      </c>
      <c r="U110" s="42">
        <f t="shared" si="13"/>
        <v>2776.9398701576642</v>
      </c>
      <c r="V110" s="42">
        <f t="shared" si="14"/>
        <v>1403.9067137164297</v>
      </c>
      <c r="W110" s="42">
        <f t="shared" si="15"/>
        <v>105.83786930166363</v>
      </c>
      <c r="X110" s="42">
        <f t="shared" si="16"/>
        <v>119.53452229432887</v>
      </c>
      <c r="Y110" s="42">
        <f t="shared" si="17"/>
        <v>74.432602645772818</v>
      </c>
      <c r="Z110" s="42">
        <f t="shared" si="18"/>
        <v>5.2788523273534338</v>
      </c>
      <c r="AA110" s="42">
        <f t="shared" si="19"/>
        <v>20125.368412063312</v>
      </c>
    </row>
    <row r="111" spans="3:27" s="4" customFormat="1">
      <c r="C111" s="2"/>
      <c r="E111" s="19"/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1</v>
      </c>
      <c r="M111" s="112">
        <v>0</v>
      </c>
      <c r="P111" s="19"/>
      <c r="Q111" s="108">
        <v>109</v>
      </c>
      <c r="R111" s="27">
        <f t="shared" si="10"/>
        <v>9.0833333333333339</v>
      </c>
      <c r="S111" s="18">
        <f t="shared" si="11"/>
        <v>286452000</v>
      </c>
      <c r="T111" s="42">
        <f t="shared" si="12"/>
        <v>3.2518683816038632</v>
      </c>
      <c r="U111" s="42">
        <f t="shared" si="13"/>
        <v>2771.1450388223898</v>
      </c>
      <c r="V111" s="42">
        <f t="shared" si="14"/>
        <v>1404.0126023751207</v>
      </c>
      <c r="W111" s="42">
        <f t="shared" si="15"/>
        <v>101.47658316348526</v>
      </c>
      <c r="X111" s="42">
        <f t="shared" si="16"/>
        <v>120.30524188091282</v>
      </c>
      <c r="Y111" s="42">
        <f t="shared" si="17"/>
        <v>75.839212938024673</v>
      </c>
      <c r="Z111" s="42">
        <f t="shared" si="18"/>
        <v>4.282226805354199</v>
      </c>
      <c r="AA111" s="42">
        <f t="shared" si="19"/>
        <v>20073.550571621599</v>
      </c>
    </row>
    <row r="112" spans="3:27" s="4" customFormat="1">
      <c r="C112" s="2"/>
      <c r="E112" s="19"/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P112" s="19"/>
      <c r="Q112" s="108">
        <v>110</v>
      </c>
      <c r="R112" s="27">
        <f t="shared" si="10"/>
        <v>9.1666666666666661</v>
      </c>
      <c r="S112" s="18">
        <f t="shared" si="11"/>
        <v>289080000</v>
      </c>
      <c r="T112" s="42">
        <f t="shared" si="12"/>
        <v>3.173833273239937</v>
      </c>
      <c r="U112" s="42">
        <f t="shared" si="13"/>
        <v>2765.3952706931868</v>
      </c>
      <c r="V112" s="42">
        <f t="shared" si="14"/>
        <v>1404.0799111359181</v>
      </c>
      <c r="W112" s="42">
        <f t="shared" si="15"/>
        <v>96.922509492316124</v>
      </c>
      <c r="X112" s="42">
        <f t="shared" si="16"/>
        <v>121.10282740600391</v>
      </c>
      <c r="Y112" s="42">
        <f t="shared" si="17"/>
        <v>77.30873994677907</v>
      </c>
      <c r="Z112" s="42">
        <f t="shared" si="18"/>
        <v>3.2623425942316189</v>
      </c>
      <c r="AA112" s="42">
        <f t="shared" si="19"/>
        <v>20021.86610079011</v>
      </c>
    </row>
    <row r="113" spans="1:27" s="4" customFormat="1">
      <c r="C113" s="2"/>
      <c r="E113" s="19"/>
      <c r="F113" s="19"/>
      <c r="G113" s="111"/>
      <c r="H113" s="111"/>
      <c r="I113" s="111"/>
      <c r="J113" s="111"/>
      <c r="K113" s="111"/>
      <c r="L113" s="111"/>
      <c r="M113" s="111"/>
      <c r="N113" s="111"/>
      <c r="O113" s="111"/>
      <c r="P113" s="19"/>
      <c r="Q113" s="108">
        <v>111</v>
      </c>
      <c r="R113" s="27">
        <f t="shared" si="10"/>
        <v>9.25</v>
      </c>
      <c r="S113" s="18">
        <f t="shared" si="11"/>
        <v>291708000</v>
      </c>
      <c r="T113" s="42">
        <f t="shared" si="12"/>
        <v>3.0956037065048112</v>
      </c>
      <c r="U113" s="42">
        <f t="shared" si="13"/>
        <v>2759.6919739491705</v>
      </c>
      <c r="V113" s="42">
        <f t="shared" si="14"/>
        <v>1404.1084885527314</v>
      </c>
      <c r="W113" s="42">
        <f t="shared" si="15"/>
        <v>92.169156910804077</v>
      </c>
      <c r="X113" s="42">
        <f t="shared" si="16"/>
        <v>121.92820146516114</v>
      </c>
      <c r="Y113" s="42">
        <f t="shared" si="17"/>
        <v>78.84323024981579</v>
      </c>
      <c r="Z113" s="42">
        <f t="shared" si="18"/>
        <v>2.2180702316384568</v>
      </c>
      <c r="AA113" s="42">
        <f t="shared" si="19"/>
        <v>19970.31465446929</v>
      </c>
    </row>
    <row r="114" spans="1:27" s="4" customFormat="1">
      <c r="C114" s="2"/>
      <c r="E114" s="19"/>
      <c r="F114" s="114" t="s">
        <v>176</v>
      </c>
      <c r="G114" s="111"/>
      <c r="H114" s="111"/>
      <c r="I114" s="19"/>
      <c r="J114" s="19"/>
      <c r="K114" s="19"/>
      <c r="L114" s="19"/>
      <c r="M114" s="19"/>
      <c r="N114" s="111"/>
      <c r="O114" s="111"/>
      <c r="P114" s="19"/>
      <c r="Q114" s="108">
        <v>112</v>
      </c>
      <c r="R114" s="27">
        <f t="shared" si="10"/>
        <v>9.3333333333333339</v>
      </c>
      <c r="S114" s="18">
        <f t="shared" si="11"/>
        <v>294336000</v>
      </c>
      <c r="T114" s="42">
        <f t="shared" si="12"/>
        <v>3.0171323365228333</v>
      </c>
      <c r="U114" s="42">
        <f t="shared" si="13"/>
        <v>2754.0365839346709</v>
      </c>
      <c r="V114" s="42">
        <f t="shared" si="14"/>
        <v>1404.0981730642966</v>
      </c>
      <c r="W114" s="42">
        <f t="shared" si="15"/>
        <v>87.209889743021847</v>
      </c>
      <c r="X114" s="42">
        <f t="shared" si="16"/>
        <v>122.78230751944832</v>
      </c>
      <c r="Y114" s="42">
        <f t="shared" si="17"/>
        <v>80.44477740152648</v>
      </c>
      <c r="Z114" s="42">
        <f t="shared" si="18"/>
        <v>1.1482583502600718</v>
      </c>
      <c r="AA114" s="42">
        <f t="shared" si="19"/>
        <v>19918.895888400806</v>
      </c>
    </row>
    <row r="115" spans="1:27" s="4" customFormat="1">
      <c r="C115" s="2"/>
      <c r="E115" s="19"/>
      <c r="F115" s="112">
        <f t="array" ref="F115:M122">_xll.SYSLINSING(F$29:M$36-M42*_xll.M_ID(),,0.0001)</f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O115" s="111"/>
      <c r="P115" s="19"/>
      <c r="Q115" s="108">
        <v>113</v>
      </c>
      <c r="R115" s="27">
        <f t="shared" si="10"/>
        <v>9.4166666666666661</v>
      </c>
      <c r="S115" s="18">
        <f t="shared" si="11"/>
        <v>296964000</v>
      </c>
      <c r="T115" s="42">
        <f t="shared" si="12"/>
        <v>2.9383711508850352</v>
      </c>
      <c r="U115" s="42">
        <f t="shared" si="13"/>
        <v>2748.4305636454028</v>
      </c>
      <c r="V115" s="42">
        <f t="shared" si="14"/>
        <v>1404.0487928672039</v>
      </c>
      <c r="W115" s="42">
        <f t="shared" si="15"/>
        <v>82.037926056596348</v>
      </c>
      <c r="X115" s="42">
        <f t="shared" si="16"/>
        <v>123.66611017942742</v>
      </c>
      <c r="Y115" s="42">
        <f t="shared" si="17"/>
        <v>82.115522532101366</v>
      </c>
      <c r="Z115" s="42">
        <f t="shared" si="18"/>
        <v>5.1733302218032406E-2</v>
      </c>
      <c r="AA115" s="42">
        <f t="shared" si="19"/>
        <v>19867.609459164512</v>
      </c>
    </row>
    <row r="116" spans="1:27" s="4" customFormat="1">
      <c r="A116" s="2"/>
      <c r="B116" s="2"/>
      <c r="C116" s="2"/>
      <c r="D116" s="2"/>
      <c r="E116" s="19"/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0.13872907855874864</v>
      </c>
      <c r="O116" s="111"/>
      <c r="P116" s="19"/>
      <c r="Q116" s="108">
        <v>114</v>
      </c>
      <c r="R116" s="27">
        <f t="shared" si="10"/>
        <v>9.5</v>
      </c>
      <c r="S116" s="18">
        <f t="shared" si="11"/>
        <v>299592000</v>
      </c>
      <c r="T116" s="42">
        <f t="shared" si="12"/>
        <v>2.8592714547314269</v>
      </c>
      <c r="U116" s="42">
        <f t="shared" si="13"/>
        <v>2742.8754042146284</v>
      </c>
      <c r="V116" s="42">
        <f t="shared" si="14"/>
        <v>1403.9601657889227</v>
      </c>
      <c r="W116" s="42">
        <f t="shared" si="15"/>
        <v>76.646335704839601</v>
      </c>
      <c r="X116" s="42">
        <f t="shared" si="16"/>
        <v>124.58059548915188</v>
      </c>
      <c r="Y116" s="42">
        <f t="shared" si="17"/>
        <v>83.857654946715286</v>
      </c>
      <c r="Z116" s="42">
        <f t="shared" si="18"/>
        <v>-1.0727012165273209</v>
      </c>
      <c r="AA116" s="42">
        <f t="shared" si="19"/>
        <v>19816.455024175433</v>
      </c>
    </row>
    <row r="117" spans="1:27" s="4" customFormat="1">
      <c r="A117" s="2"/>
      <c r="B117" s="2"/>
      <c r="C117" s="2"/>
      <c r="D117" s="2"/>
      <c r="E117" s="19"/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0.11475330919374595</v>
      </c>
      <c r="O117" s="111"/>
      <c r="P117" s="19"/>
      <c r="Q117" s="108">
        <v>115</v>
      </c>
      <c r="R117" s="27">
        <f t="shared" si="10"/>
        <v>9.5833333333333339</v>
      </c>
      <c r="S117" s="18">
        <f t="shared" si="11"/>
        <v>302220000</v>
      </c>
      <c r="T117" s="42">
        <f t="shared" si="12"/>
        <v>2.7797838558332826</v>
      </c>
      <c r="U117" s="42">
        <f t="shared" si="13"/>
        <v>2737.3726253993282</v>
      </c>
      <c r="V117" s="42">
        <f t="shared" si="14"/>
        <v>1403.8320991608266</v>
      </c>
      <c r="W117" s="42">
        <f t="shared" si="15"/>
        <v>71.028038368878413</v>
      </c>
      <c r="X117" s="42">
        <f t="shared" si="16"/>
        <v>125.52677121015995</v>
      </c>
      <c r="Y117" s="42">
        <f t="shared" si="17"/>
        <v>85.673412724714382</v>
      </c>
      <c r="Z117" s="42">
        <f t="shared" si="18"/>
        <v>-2.2262645417745048</v>
      </c>
      <c r="AA117" s="42">
        <f t="shared" si="19"/>
        <v>19765.432241680723</v>
      </c>
    </row>
    <row r="118" spans="1:27" s="4" customFormat="1">
      <c r="A118" s="2"/>
      <c r="B118" s="2"/>
      <c r="C118" s="2"/>
      <c r="D118" s="2"/>
      <c r="E118" s="19"/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1.7095090765923773E-2</v>
      </c>
      <c r="O118" s="111"/>
      <c r="P118" s="19"/>
      <c r="Q118" s="108">
        <v>116</v>
      </c>
      <c r="R118" s="27">
        <f t="shared" si="10"/>
        <v>9.6666666666666661</v>
      </c>
      <c r="S118" s="18">
        <f t="shared" si="11"/>
        <v>304848000</v>
      </c>
      <c r="T118" s="42">
        <f t="shared" si="12"/>
        <v>2.6998582496754366</v>
      </c>
      <c r="U118" s="42">
        <f t="shared" si="13"/>
        <v>2731.9237760663609</v>
      </c>
      <c r="V118" s="42">
        <f t="shared" si="14"/>
        <v>1403.6643896912192</v>
      </c>
      <c r="W118" s="42">
        <f t="shared" si="15"/>
        <v>65.175801599784904</v>
      </c>
      <c r="X118" s="42">
        <f t="shared" si="16"/>
        <v>126.50566710546798</v>
      </c>
      <c r="Y118" s="42">
        <f t="shared" si="17"/>
        <v>87.565083318802294</v>
      </c>
      <c r="Z118" s="42">
        <f t="shared" si="18"/>
        <v>-3.4101994166781253</v>
      </c>
      <c r="AA118" s="42">
        <f t="shared" si="19"/>
        <v>19714.540770756626</v>
      </c>
    </row>
    <row r="119" spans="1:27" s="4" customFormat="1">
      <c r="A119" s="2"/>
      <c r="B119" s="2"/>
      <c r="C119" s="2"/>
      <c r="D119" s="2"/>
      <c r="E119" s="19"/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2.078842081056689E-2</v>
      </c>
      <c r="O119" s="111"/>
      <c r="P119" s="19"/>
      <c r="Q119" s="108">
        <v>117</v>
      </c>
      <c r="R119" s="27">
        <f t="shared" si="10"/>
        <v>9.75</v>
      </c>
      <c r="S119" s="18">
        <f t="shared" si="11"/>
        <v>307476000</v>
      </c>
      <c r="T119" s="42">
        <f t="shared" si="12"/>
        <v>2.6194438045386166</v>
      </c>
      <c r="U119" s="42">
        <f t="shared" si="13"/>
        <v>2726.5304346786365</v>
      </c>
      <c r="V119" s="42">
        <f t="shared" si="14"/>
        <v>1403.4568233383616</v>
      </c>
      <c r="W119" s="42">
        <f t="shared" si="15"/>
        <v>59.082238860706639</v>
      </c>
      <c r="X119" s="42">
        <f t="shared" si="16"/>
        <v>127.51833522356375</v>
      </c>
      <c r="Y119" s="42">
        <f t="shared" si="17"/>
        <v>89.535004154226897</v>
      </c>
      <c r="Z119" s="42">
        <f t="shared" si="18"/>
        <v>-4.6257723673459736</v>
      </c>
      <c r="AA119" s="42">
        <f t="shared" si="19"/>
        <v>19663.780271305477</v>
      </c>
    </row>
    <row r="120" spans="1:27" s="4" customFormat="1">
      <c r="A120" s="2"/>
      <c r="B120" s="2"/>
      <c r="C120" s="2"/>
      <c r="D120" s="2"/>
      <c r="E120" s="19"/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4.9472675729181712E-3</v>
      </c>
      <c r="O120" s="111"/>
      <c r="P120" s="19"/>
      <c r="Q120" s="108">
        <v>118</v>
      </c>
      <c r="R120" s="27">
        <f t="shared" si="10"/>
        <v>9.8333333333333339</v>
      </c>
      <c r="S120" s="18">
        <f t="shared" si="11"/>
        <v>310104000</v>
      </c>
      <c r="T120" s="42">
        <f t="shared" si="12"/>
        <v>2.5384889465816687</v>
      </c>
      <c r="U120" s="42">
        <f t="shared" si="13"/>
        <v>2721.1942097812766</v>
      </c>
      <c r="V120" s="42">
        <f t="shared" si="14"/>
        <v>1403.2091751834951</v>
      </c>
      <c r="W120" s="42">
        <f t="shared" si="15"/>
        <v>52.739807568995673</v>
      </c>
      <c r="X120" s="42">
        <f t="shared" si="16"/>
        <v>128.56585018239969</v>
      </c>
      <c r="Y120" s="42">
        <f t="shared" si="17"/>
        <v>91.585563227966531</v>
      </c>
      <c r="Z120" s="42">
        <f t="shared" si="18"/>
        <v>-5.8742740784367129</v>
      </c>
      <c r="AA120" s="42">
        <f t="shared" si="19"/>
        <v>19613.150404052631</v>
      </c>
    </row>
    <row r="121" spans="1:27" s="4" customFormat="1">
      <c r="A121" s="2"/>
      <c r="B121" s="2"/>
      <c r="C121" s="2"/>
      <c r="D121" s="2"/>
      <c r="E121" s="19"/>
      <c r="F121" s="112">
        <v>0</v>
      </c>
      <c r="G121" s="112">
        <v>0</v>
      </c>
      <c r="H121" s="112">
        <v>0</v>
      </c>
      <c r="I121" s="112">
        <v>0</v>
      </c>
      <c r="J121" s="112">
        <v>0</v>
      </c>
      <c r="K121" s="112">
        <v>0</v>
      </c>
      <c r="L121" s="112">
        <v>0</v>
      </c>
      <c r="M121" s="112">
        <v>0</v>
      </c>
      <c r="O121" s="111"/>
      <c r="P121" s="19"/>
      <c r="Q121" s="108">
        <v>119</v>
      </c>
      <c r="R121" s="27">
        <f t="shared" si="10"/>
        <v>9.9166666666666661</v>
      </c>
      <c r="S121" s="18">
        <f t="shared" si="11"/>
        <v>312732000</v>
      </c>
      <c r="T121" s="42">
        <f t="shared" si="12"/>
        <v>2.4569413449239317</v>
      </c>
      <c r="U121" s="42">
        <f t="shared" si="13"/>
        <v>2715.9167404877844</v>
      </c>
      <c r="V121" s="42">
        <f t="shared" si="14"/>
        <v>1402.9212093038686</v>
      </c>
      <c r="W121" s="42">
        <f t="shared" si="15"/>
        <v>46.140807138340847</v>
      </c>
      <c r="X121" s="42">
        <f t="shared" si="16"/>
        <v>129.64930945338637</v>
      </c>
      <c r="Y121" s="42">
        <f t="shared" si="17"/>
        <v>93.719199707916289</v>
      </c>
      <c r="Z121" s="42">
        <f t="shared" si="18"/>
        <v>-7.1570197687568111</v>
      </c>
      <c r="AA121" s="42">
        <f t="shared" si="19"/>
        <v>19562.650830543473</v>
      </c>
    </row>
    <row r="122" spans="1:27" s="4" customFormat="1">
      <c r="A122" s="2"/>
      <c r="B122" s="2"/>
      <c r="C122" s="2"/>
      <c r="D122" s="2"/>
      <c r="E122" s="19"/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1</v>
      </c>
      <c r="O122" s="111"/>
      <c r="P122" s="19"/>
      <c r="Q122" s="108">
        <v>120</v>
      </c>
      <c r="R122" s="27">
        <f t="shared" si="10"/>
        <v>10</v>
      </c>
      <c r="S122" s="18">
        <f t="shared" si="11"/>
        <v>315360000</v>
      </c>
      <c r="T122" s="42">
        <f t="shared" si="12"/>
        <v>2.3747478967274698</v>
      </c>
      <c r="U122" s="42">
        <f t="shared" si="13"/>
        <v>2710.6996969662096</v>
      </c>
      <c r="V122" s="42">
        <f t="shared" si="14"/>
        <v>1402.5926786457642</v>
      </c>
      <c r="W122" s="42">
        <f t="shared" si="15"/>
        <v>39.277377020895699</v>
      </c>
      <c r="X122" s="42">
        <f t="shared" si="16"/>
        <v>130.76983364538575</v>
      </c>
      <c r="Y122" s="42">
        <f t="shared" si="17"/>
        <v>95.938404532074841</v>
      </c>
      <c r="Z122" s="42">
        <f t="shared" si="18"/>
        <v>-8.475349566858327</v>
      </c>
      <c r="AA122" s="42">
        <f t="shared" si="19"/>
        <v>19512.281213140366</v>
      </c>
    </row>
    <row r="123" spans="1:27" s="4" customFormat="1">
      <c r="A123" s="2"/>
      <c r="B123" s="2"/>
      <c r="C123" s="2"/>
      <c r="D123" s="2"/>
      <c r="E123" s="19"/>
      <c r="F123" s="19"/>
      <c r="G123" s="111"/>
      <c r="H123" s="111"/>
      <c r="I123" s="111"/>
      <c r="J123" s="111"/>
      <c r="K123" s="111"/>
      <c r="L123" s="111"/>
      <c r="M123" s="111"/>
      <c r="N123" s="111"/>
      <c r="O123" s="111"/>
      <c r="P123" s="19"/>
      <c r="Q123" s="108">
        <v>121</v>
      </c>
      <c r="R123" s="27">
        <f t="shared" si="10"/>
        <v>10.083333333333334</v>
      </c>
      <c r="S123" s="18">
        <f t="shared" si="11"/>
        <v>317988000</v>
      </c>
      <c r="T123" s="42">
        <f t="shared" si="12"/>
        <v>2.2918547122794251</v>
      </c>
      <c r="U123" s="42">
        <f t="shared" si="13"/>
        <v>2705.544780925316</v>
      </c>
      <c r="V123" s="42">
        <f t="shared" si="14"/>
        <v>1402.223324897521</v>
      </c>
      <c r="W123" s="42">
        <f t="shared" si="15"/>
        <v>32.141494749409787</v>
      </c>
      <c r="X123" s="42">
        <f t="shared" si="16"/>
        <v>131.92856678870425</v>
      </c>
      <c r="Y123" s="42">
        <f t="shared" si="17"/>
        <v>98.245721007730424</v>
      </c>
      <c r="Z123" s="42">
        <f t="shared" si="18"/>
        <v>-9.83062888663585</v>
      </c>
      <c r="AA123" s="42">
        <f t="shared" si="19"/>
        <v>19462.041215019635</v>
      </c>
    </row>
    <row r="124" spans="1:27" s="4" customFormat="1">
      <c r="A124" s="2"/>
      <c r="B124" s="2"/>
      <c r="C124" s="2"/>
      <c r="D124" s="2"/>
      <c r="E124" s="19"/>
      <c r="F124" s="19"/>
      <c r="G124" s="111"/>
      <c r="H124" s="111"/>
      <c r="I124" s="111"/>
      <c r="J124" s="111"/>
      <c r="K124" s="111"/>
      <c r="L124" s="111"/>
      <c r="M124" s="111"/>
      <c r="N124" s="111"/>
      <c r="O124" s="111"/>
      <c r="P124" s="19"/>
      <c r="Q124" s="108">
        <v>122</v>
      </c>
      <c r="R124" s="27">
        <f t="shared" si="10"/>
        <v>10.166666666666666</v>
      </c>
      <c r="S124" s="18">
        <f t="shared" si="11"/>
        <v>320616000</v>
      </c>
      <c r="T124" s="42">
        <f t="shared" si="12"/>
        <v>2.2082071000742469</v>
      </c>
      <c r="U124" s="42">
        <f t="shared" si="13"/>
        <v>2700.453726100744</v>
      </c>
      <c r="V124" s="42">
        <f t="shared" si="14"/>
        <v>1401.8128783625648</v>
      </c>
      <c r="W124" s="42">
        <f t="shared" si="15"/>
        <v>24.724973979358879</v>
      </c>
      <c r="X124" s="42">
        <f t="shared" si="16"/>
        <v>133.12667661908645</v>
      </c>
      <c r="Y124" s="42">
        <f t="shared" si="17"/>
        <v>100.64374541064757</v>
      </c>
      <c r="Z124" s="42">
        <f t="shared" si="18"/>
        <v>-11.224248802924166</v>
      </c>
      <c r="AA124" s="42">
        <f t="shared" si="19"/>
        <v>19411.930500168524</v>
      </c>
    </row>
    <row r="125" spans="1:27" s="4" customFormat="1" ht="15">
      <c r="A125" s="2"/>
      <c r="B125" s="2"/>
      <c r="C125" s="2"/>
      <c r="D125" s="2"/>
      <c r="E125" s="19"/>
      <c r="F125" s="110" t="s">
        <v>157</v>
      </c>
      <c r="G125" s="110" t="s">
        <v>170</v>
      </c>
      <c r="H125" s="110" t="s">
        <v>171</v>
      </c>
      <c r="I125" s="110" t="s">
        <v>172</v>
      </c>
      <c r="J125" s="110" t="s">
        <v>173</v>
      </c>
      <c r="K125" s="110" t="s">
        <v>174</v>
      </c>
      <c r="L125" s="110" t="s">
        <v>175</v>
      </c>
      <c r="M125" s="110" t="s">
        <v>176</v>
      </c>
      <c r="N125" s="111"/>
      <c r="O125" s="111"/>
      <c r="P125" s="19"/>
      <c r="Q125" s="108">
        <v>123</v>
      </c>
      <c r="R125" s="27">
        <f t="shared" si="10"/>
        <v>10.25</v>
      </c>
      <c r="S125" s="18">
        <f t="shared" si="11"/>
        <v>323244000</v>
      </c>
      <c r="T125" s="42">
        <f t="shared" si="12"/>
        <v>2.1237495518960716</v>
      </c>
      <c r="U125" s="42">
        <f t="shared" si="13"/>
        <v>2695.428298741183</v>
      </c>
      <c r="V125" s="42">
        <f t="shared" si="14"/>
        <v>1401.3610578324283</v>
      </c>
      <c r="W125" s="42">
        <f t="shared" si="15"/>
        <v>17.019462531074339</v>
      </c>
      <c r="X125" s="42">
        <f t="shared" si="16"/>
        <v>134.36535486170828</v>
      </c>
      <c r="Y125" s="42">
        <f t="shared" si="17"/>
        <v>103.1351275842535</v>
      </c>
      <c r="Z125" s="42">
        <f t="shared" si="18"/>
        <v>-12.657626427095224</v>
      </c>
      <c r="AA125" s="42">
        <f t="shared" si="19"/>
        <v>19361.948733382163</v>
      </c>
    </row>
    <row r="126" spans="1:27" s="4" customFormat="1">
      <c r="A126" s="2"/>
      <c r="B126" s="2"/>
      <c r="C126" s="2"/>
      <c r="D126" s="2"/>
      <c r="E126" s="19"/>
      <c r="F126" s="112">
        <f>SUM(F45:M45)/SUM(F45:M52)</f>
        <v>0.84379103265390776</v>
      </c>
      <c r="G126" s="112">
        <f>SUM(F55:M55)/SUM(F55:M62)</f>
        <v>0</v>
      </c>
      <c r="H126" s="112">
        <f>SUM(F65:M65)/SUM(F65:M72)</f>
        <v>0</v>
      </c>
      <c r="I126" s="112">
        <f>SUM(F75:M75)/SUM(F75:M82)</f>
        <v>0</v>
      </c>
      <c r="J126" s="112">
        <f>SUM(F85:M85)/SUM(F85:M92)</f>
        <v>0</v>
      </c>
      <c r="K126" s="112">
        <f>SUM(F95:M95)/SUM(F95:M102)</f>
        <v>0</v>
      </c>
      <c r="L126" s="112">
        <f>SUM(F105:M105)/SUM(F105:M112)</f>
        <v>0</v>
      </c>
      <c r="M126" s="112">
        <f>SUM(F115:M115)/SUM(F115:M122)</f>
        <v>0</v>
      </c>
      <c r="N126" s="111"/>
      <c r="O126" s="111"/>
      <c r="P126" s="19"/>
      <c r="Q126" s="108">
        <v>124</v>
      </c>
      <c r="R126" s="27">
        <f t="shared" si="10"/>
        <v>10.333333333333334</v>
      </c>
      <c r="S126" s="18">
        <f t="shared" si="11"/>
        <v>325872000</v>
      </c>
      <c r="T126" s="42">
        <f t="shared" si="12"/>
        <v>2.0384257279009232</v>
      </c>
      <c r="U126" s="42">
        <f t="shared" si="13"/>
        <v>2690.4702980945322</v>
      </c>
      <c r="V126" s="42">
        <f t="shared" si="14"/>
        <v>1400.8675704597811</v>
      </c>
      <c r="W126" s="42">
        <f t="shared" si="15"/>
        <v>9.0164404318741731</v>
      </c>
      <c r="X126" s="42">
        <f t="shared" si="16"/>
        <v>135.64581751517017</v>
      </c>
      <c r="Y126" s="42">
        <f t="shared" si="17"/>
        <v>105.72257153882441</v>
      </c>
      <c r="Z126" s="42">
        <f t="shared" si="18"/>
        <v>-14.132205282655818</v>
      </c>
      <c r="AA126" s="42">
        <f t="shared" si="19"/>
        <v>19312.095580260568</v>
      </c>
    </row>
    <row r="127" spans="1:27" s="4" customFormat="1">
      <c r="A127" s="2"/>
      <c r="B127" s="2"/>
      <c r="C127" s="2"/>
      <c r="D127" s="2"/>
      <c r="E127" s="19"/>
      <c r="F127" s="112">
        <f>SUM(F46:M46)/SUM(F45:M52)</f>
        <v>1.1061375034106535</v>
      </c>
      <c r="G127" s="112">
        <f>SUM(F56:M56)/SUM(F55:M62)</f>
        <v>1.2114618818751839</v>
      </c>
      <c r="H127" s="112">
        <f>SUM(F66:M66)/SUM(F65:M72)</f>
        <v>0</v>
      </c>
      <c r="I127" s="112">
        <f>SUM(F76:M76)/SUM(F75:M82)</f>
        <v>0</v>
      </c>
      <c r="J127" s="112">
        <f>SUM(F86:M86)/SUM(F85:M92)</f>
        <v>0</v>
      </c>
      <c r="K127" s="112">
        <f>SUM(F96:M96)/SUM(F95:M102)</f>
        <v>0</v>
      </c>
      <c r="L127" s="112">
        <f>SUM(F106:M106)/SUM(F105:M112)</f>
        <v>0</v>
      </c>
      <c r="M127" s="112">
        <f>SUM(F116:M116)/SUM(F115:M122)</f>
        <v>0.10701818210355858</v>
      </c>
      <c r="N127" s="111"/>
      <c r="O127" s="111"/>
      <c r="P127" s="19"/>
      <c r="Q127" s="108">
        <v>125</v>
      </c>
      <c r="R127" s="27">
        <f t="shared" si="10"/>
        <v>10.416666666666666</v>
      </c>
      <c r="S127" s="18">
        <f t="shared" si="11"/>
        <v>328500000</v>
      </c>
      <c r="T127" s="42">
        <f t="shared" si="12"/>
        <v>1.9521784416991217</v>
      </c>
      <c r="U127" s="42">
        <f t="shared" si="13"/>
        <v>2685.5815568940675</v>
      </c>
      <c r="V127" s="42">
        <f t="shared" si="14"/>
        <v>1400.3321116314532</v>
      </c>
      <c r="W127" s="42">
        <f t="shared" si="15"/>
        <v>0.70721795819235922</v>
      </c>
      <c r="X127" s="42">
        <f t="shared" si="16"/>
        <v>136.96930513549046</v>
      </c>
      <c r="Y127" s="42">
        <f t="shared" si="17"/>
        <v>108.40883605067194</v>
      </c>
      <c r="Z127" s="42">
        <f t="shared" si="18"/>
        <v>-15.649455680844596</v>
      </c>
      <c r="AA127" s="42">
        <f t="shared" si="19"/>
        <v>19262.37070720558</v>
      </c>
    </row>
    <row r="128" spans="1:27" s="4" customFormat="1">
      <c r="A128" s="2"/>
      <c r="B128" s="2"/>
      <c r="C128" s="2"/>
      <c r="D128" s="2"/>
      <c r="E128" s="19"/>
      <c r="F128" s="112">
        <f>SUM(F47:M47)/SUM(F45:M52)</f>
        <v>-0.52604135777211525</v>
      </c>
      <c r="G128" s="112">
        <f>SUM(F57:M57)/SUM(F55:M62)</f>
        <v>-0.41328320181212325</v>
      </c>
      <c r="H128" s="112">
        <f>SUM(F67:M67)/SUM(F65:M72)</f>
        <v>2.4059178627236624</v>
      </c>
      <c r="I128" s="112">
        <f>SUM(F77:M77)/SUM(F75:M82)</f>
        <v>0</v>
      </c>
      <c r="J128" s="112">
        <f>SUM(F87:M87)/SUM(F85:M92)</f>
        <v>0</v>
      </c>
      <c r="K128" s="112">
        <f>SUM(F97:M97)/SUM(F95:M102)</f>
        <v>0</v>
      </c>
      <c r="L128" s="112">
        <f>SUM(F107:M107)/SUM(F105:M112)</f>
        <v>0</v>
      </c>
      <c r="M128" s="112">
        <f>SUM(F117:M117)/SUM(F115:M122)</f>
        <v>8.8522829300575742E-2</v>
      </c>
      <c r="N128" s="111"/>
      <c r="O128" s="111"/>
      <c r="P128" s="19"/>
      <c r="Q128" s="108">
        <v>126</v>
      </c>
      <c r="R128" s="27">
        <f t="shared" si="10"/>
        <v>10.5</v>
      </c>
      <c r="S128" s="18">
        <f t="shared" si="11"/>
        <v>331128000</v>
      </c>
      <c r="T128" s="42">
        <f t="shared" si="12"/>
        <v>1.8649496454374614</v>
      </c>
      <c r="U128" s="42">
        <f t="shared" si="13"/>
        <v>2680.7639418446111</v>
      </c>
      <c r="V128" s="42">
        <f t="shared" si="14"/>
        <v>1399.7543648414608</v>
      </c>
      <c r="W128" s="42">
        <f t="shared" si="15"/>
        <v>-7.9170663222904523</v>
      </c>
      <c r="X128" s="42">
        <f t="shared" si="16"/>
        <v>138.33708312009884</v>
      </c>
      <c r="Y128" s="42">
        <f t="shared" si="17"/>
        <v>111.19673526132974</v>
      </c>
      <c r="Z128" s="42">
        <f t="shared" si="18"/>
        <v>-17.210875096229771</v>
      </c>
      <c r="AA128" s="42">
        <f t="shared" si="19"/>
        <v>19212.773781417865</v>
      </c>
    </row>
    <row r="129" spans="1:27" s="4" customFormat="1">
      <c r="A129" s="2"/>
      <c r="B129" s="2"/>
      <c r="C129" s="2"/>
      <c r="D129" s="2"/>
      <c r="E129" s="19"/>
      <c r="F129" s="112">
        <f>SUM(F48:M48)/SUM(F45:M52)</f>
        <v>-0.15584462434622515</v>
      </c>
      <c r="G129" s="112">
        <f>SUM(F58:M58)/SUM(F55:M62)</f>
        <v>-0.16267921453021297</v>
      </c>
      <c r="H129" s="112">
        <f>SUM(F68:M68)/SUM(F65:M72)</f>
        <v>0.43788605256082996</v>
      </c>
      <c r="I129" s="112">
        <f>SUM(F78:M78)/SUM(F75:M82)</f>
        <v>1.9708702325371494</v>
      </c>
      <c r="J129" s="112">
        <f>SUM(F88:M88)/SUM(F85:M92)</f>
        <v>0</v>
      </c>
      <c r="K129" s="112">
        <f>SUM(F98:M98)/SUM(F95:M102)</f>
        <v>0</v>
      </c>
      <c r="L129" s="112">
        <f>SUM(F108:M108)/SUM(F105:M112)</f>
        <v>0</v>
      </c>
      <c r="M129" s="112">
        <f>SUM(F118:M118)/SUM(F115:M122)</f>
        <v>1.3187469820105142E-2</v>
      </c>
      <c r="N129" s="111"/>
      <c r="O129" s="111"/>
      <c r="P129" s="19"/>
      <c r="Q129" s="108">
        <v>127</v>
      </c>
      <c r="R129" s="27">
        <f t="shared" si="10"/>
        <v>10.583333333333334</v>
      </c>
      <c r="S129" s="18">
        <f t="shared" si="11"/>
        <v>333756000</v>
      </c>
      <c r="T129" s="42">
        <f t="shared" si="12"/>
        <v>1.7766804148815858</v>
      </c>
      <c r="U129" s="42">
        <f t="shared" si="13"/>
        <v>2676.0193541086956</v>
      </c>
      <c r="V129" s="42">
        <f t="shared" si="14"/>
        <v>1399.1340015640328</v>
      </c>
      <c r="W129" s="42">
        <f t="shared" si="15"/>
        <v>-16.865447508517036</v>
      </c>
      <c r="X129" s="42">
        <f t="shared" si="16"/>
        <v>139.75044199182946</v>
      </c>
      <c r="Y129" s="42">
        <f t="shared" si="17"/>
        <v>114.08913927673973</v>
      </c>
      <c r="Z129" s="42">
        <f t="shared" si="18"/>
        <v>-18.817988542305983</v>
      </c>
      <c r="AA129" s="42">
        <f t="shared" si="19"/>
        <v>19163.304470893832</v>
      </c>
    </row>
    <row r="130" spans="1:27" s="4" customFormat="1">
      <c r="A130" s="2"/>
      <c r="B130" s="2"/>
      <c r="C130" s="2"/>
      <c r="D130" s="2"/>
      <c r="E130" s="19"/>
      <c r="F130" s="112">
        <f>SUM(F49:M49)/SUM(F45:M52)</f>
        <v>0.17464043281892955</v>
      </c>
      <c r="G130" s="112">
        <f>SUM(F59:M59)/SUM(F55:M62)</f>
        <v>-2.0847179670320497E-2</v>
      </c>
      <c r="H130" s="112">
        <f>SUM(F69:M69)/SUM(F65:M72)</f>
        <v>-2.0323545653562203</v>
      </c>
      <c r="I130" s="112">
        <f>SUM(F79:M79)/SUM(F75:M82)</f>
        <v>-0.26392857477559872</v>
      </c>
      <c r="J130" s="112">
        <f>SUM(F89:M89)/SUM(F85:M92)</f>
        <v>1</v>
      </c>
      <c r="K130" s="112">
        <f>SUM(F99:M99)/SUM(F95:M102)</f>
        <v>-0.27365789575276278</v>
      </c>
      <c r="L130" s="112">
        <f>SUM(F109:M109)/SUM(F105:M112)</f>
        <v>0</v>
      </c>
      <c r="M130" s="112">
        <f>SUM(F119:M119)/SUM(F115:M122)</f>
        <v>1.6036573060697779E-2</v>
      </c>
      <c r="N130" s="111"/>
      <c r="O130" s="111"/>
      <c r="P130" s="19"/>
      <c r="Q130" s="108">
        <v>128</v>
      </c>
      <c r="R130" s="27">
        <f t="shared" ref="R130:R136" si="20">S130/(3600*365*24)</f>
        <v>10.666666666666666</v>
      </c>
      <c r="S130" s="18">
        <f t="shared" ref="S130:S136" si="21">Q130*D$5</f>
        <v>336384000</v>
      </c>
      <c r="T130" s="42">
        <f t="shared" si="12"/>
        <v>1.687310934498278</v>
      </c>
      <c r="U130" s="42">
        <f t="shared" si="13"/>
        <v>2671.3497297927292</v>
      </c>
      <c r="V130" s="42">
        <f t="shared" si="14"/>
        <v>1398.470681126636</v>
      </c>
      <c r="W130" s="42">
        <f t="shared" si="15"/>
        <v>-26.147136323923746</v>
      </c>
      <c r="X130" s="42">
        <f t="shared" si="16"/>
        <v>141.21069768291432</v>
      </c>
      <c r="Y130" s="42">
        <f t="shared" si="17"/>
        <v>117.08897476643855</v>
      </c>
      <c r="Z130" s="42">
        <f t="shared" si="18"/>
        <v>-20.4723489470922</v>
      </c>
      <c r="AA130" s="42">
        <f t="shared" si="19"/>
        <v>19113.962444422668</v>
      </c>
    </row>
    <row r="131" spans="1:27" s="4" customFormat="1">
      <c r="A131" s="2"/>
      <c r="B131" s="2"/>
      <c r="C131" s="2"/>
      <c r="D131" s="2"/>
      <c r="E131" s="19"/>
      <c r="F131" s="112">
        <f>SUM(F50:M50)/SUM(F45:M52)</f>
        <v>-0.44330395555716001</v>
      </c>
      <c r="G131" s="112">
        <f>SUM(F60:M60)/SUM(F55:M62)</f>
        <v>0.382759917432209</v>
      </c>
      <c r="H131" s="112">
        <f>SUM(F70:M70)/SUM(F65:M72)</f>
        <v>0.18855065007172794</v>
      </c>
      <c r="I131" s="112">
        <f>SUM(F80:M80)/SUM(F75:M82)</f>
        <v>-0.7069416577615506</v>
      </c>
      <c r="J131" s="112">
        <f>SUM(F90:M90)/SUM(F85:M92)</f>
        <v>0</v>
      </c>
      <c r="K131" s="112">
        <f>SUM(F100:M100)/SUM(F95:M102)</f>
        <v>1.2736578957527627</v>
      </c>
      <c r="L131" s="112">
        <f>SUM(F110:M110)/SUM(F105:M112)</f>
        <v>0</v>
      </c>
      <c r="M131" s="112">
        <f>SUM(F120:M120)/SUM(F115:M122)</f>
        <v>3.8164138876578641E-3</v>
      </c>
      <c r="N131" s="111"/>
      <c r="O131" s="111"/>
      <c r="P131" s="19"/>
      <c r="Q131" s="108">
        <v>129</v>
      </c>
      <c r="R131" s="27">
        <f t="shared" si="20"/>
        <v>10.75</v>
      </c>
      <c r="S131" s="18">
        <f t="shared" si="21"/>
        <v>339012000</v>
      </c>
      <c r="T131" s="42">
        <f t="shared" ref="T131:T136" si="22">$B$2+$O$2*$S131+$O$12*$S131^2/2+$O$22*$S131^3/6+$O$32*$S131^4/24+$O$42*$S131^5/(5*24)</f>
        <v>1.596780482537727</v>
      </c>
      <c r="U131" s="42">
        <f t="shared" ref="U131:U136" si="23">$B$3+$O$3*$S131+$O$13*$S131^2/2+$O$23*$S131^3/6+$O$33*$S131^4/24+$O$43*$S131^5/(5*24)</f>
        <v>2666.7570404331655</v>
      </c>
      <c r="V131" s="42">
        <f t="shared" ref="V131:V136" si="24">$B$4+$O$4*$S131+$O$14*$S131^2/2+$O$24*$S131^3/6+$O$34*$S131^4/24+$O$44*$S131^5/(5*24)</f>
        <v>1397.7640505829995</v>
      </c>
      <c r="W131" s="42">
        <f t="shared" ref="W131:W136" si="25">$B$5+$O$5*$S131+$O$15*$S131^2/2+$O$25*$S131^3/6+$O$35*$S131^4/24+$O$45*$S131^5/(5*24)</f>
        <v>-35.771521074309248</v>
      </c>
      <c r="X131" s="42">
        <f t="shared" ref="X131:X136" si="26">$B$6+$O$6*$S131+$O$16*$S131^2/2+$O$26*$S131^3/6+$O$36*$S131^4/24+$O$46*$S131^5/(5*24)</f>
        <v>142.71919181897678</v>
      </c>
      <c r="Y131" s="42">
        <f t="shared" ref="Y131:Y136" si="27">$B$7+$O$7*$S131+$O$17*$S131^2/2+$O$27*$S131^3/6+$O$37*$S131^4/24+$O$47*$S131^5/(5*24)</f>
        <v>120.19922556274426</v>
      </c>
      <c r="Z131" s="42">
        <f t="shared" ref="Z131:Z136" si="28">$B$8+$O$8*$S131+$O$18*$S131^2/2+$O$28*$S131^3/6+$O$38*$S131^4/24+$O$48*$S131^5/(5*24)</f>
        <v>-22.175537528728611</v>
      </c>
      <c r="AA131" s="42">
        <f t="shared" ref="AA131:AA136" si="29">$B$9+$O$9*$S131+$O$19*$S131^2/2+$O$29*$S131^3/6+$O$39*$S131^4/24+$O$49*$S131^5/(5*24)</f>
        <v>19064.747371583293</v>
      </c>
    </row>
    <row r="132" spans="1:27" s="4" customFormat="1">
      <c r="A132" s="2"/>
      <c r="B132" s="2"/>
      <c r="C132" s="2"/>
      <c r="D132" s="2"/>
      <c r="E132" s="19"/>
      <c r="F132" s="112">
        <f>SUM(F51:M51)/SUM(F45:M52)</f>
        <v>6.2311810289257617E-4</v>
      </c>
      <c r="G132" s="112">
        <f>SUM(F61:M61)/SUM(F55:M62)</f>
        <v>2.5877967052638198E-3</v>
      </c>
      <c r="H132" s="112">
        <f>SUM(F71:M71)/SUM(F65:M72)</f>
        <v>0</v>
      </c>
      <c r="I132" s="112">
        <f>SUM(F81:M81)/SUM(F75:M82)</f>
        <v>0</v>
      </c>
      <c r="J132" s="112">
        <f>SUM(F91:M91)/SUM(F85:M92)</f>
        <v>0</v>
      </c>
      <c r="K132" s="112">
        <f>SUM(F101:M101)/SUM(F95:M102)</f>
        <v>0</v>
      </c>
      <c r="L132" s="112">
        <f>SUM(F111:M111)/SUM(F105:M112)</f>
        <v>1</v>
      </c>
      <c r="M132" s="112">
        <f>SUM(F121:M121)/SUM(F115:M122)</f>
        <v>0</v>
      </c>
      <c r="N132" s="111"/>
      <c r="O132" s="111"/>
      <c r="P132" s="19"/>
      <c r="Q132" s="108">
        <v>130</v>
      </c>
      <c r="R132" s="27">
        <f t="shared" si="20"/>
        <v>10.833333333333334</v>
      </c>
      <c r="S132" s="18">
        <f t="shared" si="21"/>
        <v>341640000</v>
      </c>
      <c r="T132" s="42">
        <f t="shared" si="22"/>
        <v>1.5050274161158148</v>
      </c>
      <c r="U132" s="42">
        <f t="shared" si="23"/>
        <v>2662.2432934826625</v>
      </c>
      <c r="V132" s="42">
        <f t="shared" si="24"/>
        <v>1397.0137445861428</v>
      </c>
      <c r="W132" s="42">
        <f t="shared" si="25"/>
        <v>-45.748169605706607</v>
      </c>
      <c r="X132" s="42">
        <f t="shared" si="26"/>
        <v>144.27729200302451</v>
      </c>
      <c r="Y132" s="42">
        <f t="shared" si="27"/>
        <v>123.42293325994223</v>
      </c>
      <c r="Z132" s="42">
        <f t="shared" si="28"/>
        <v>-23.929164171073822</v>
      </c>
      <c r="AA132" s="42">
        <f t="shared" si="29"/>
        <v>19015.658922741284</v>
      </c>
    </row>
    <row r="133" spans="1:27">
      <c r="F133" s="112">
        <f>SUM(F52:M52)/SUM(F45:M52)</f>
        <v>-2.1493108830799803E-6</v>
      </c>
      <c r="G133" s="112">
        <f>SUM(F62:M62)/SUM(F55:M62)</f>
        <v>0</v>
      </c>
      <c r="H133" s="112">
        <f>SUM(F72:M72)/SUM(F65:M72)</f>
        <v>0</v>
      </c>
      <c r="I133" s="112">
        <f>SUM(F82:M82)/SUM(F75:M82)</f>
        <v>0</v>
      </c>
      <c r="J133" s="112">
        <f>SUM(F92:M92)/SUM(F85:M92)</f>
        <v>0</v>
      </c>
      <c r="K133" s="112">
        <f>SUM(F102:M102)/SUM(F95:M102)</f>
        <v>0</v>
      </c>
      <c r="L133" s="112">
        <f>SUM(F112:M112)/SUM(F105:M112)</f>
        <v>0</v>
      </c>
      <c r="M133" s="112">
        <f>SUM(F122:M122)/SUM(F115:M122)</f>
        <v>0.77141853182740483</v>
      </c>
      <c r="Q133" s="108">
        <v>131</v>
      </c>
      <c r="R133" s="27">
        <f t="shared" si="20"/>
        <v>10.916666666666666</v>
      </c>
      <c r="S133" s="18">
        <f t="shared" si="21"/>
        <v>344268000</v>
      </c>
      <c r="T133" s="42">
        <f t="shared" si="22"/>
        <v>1.4119891562965003</v>
      </c>
      <c r="U133" s="42">
        <f t="shared" si="23"/>
        <v>2657.810532796258</v>
      </c>
      <c r="V133" s="42">
        <f t="shared" si="24"/>
        <v>1396.219385261398</v>
      </c>
      <c r="W133" s="42">
        <f t="shared" si="25"/>
        <v>-56.086831262249916</v>
      </c>
      <c r="X133" s="42">
        <f t="shared" si="26"/>
        <v>145.88639209944296</v>
      </c>
      <c r="Y133" s="42">
        <f t="shared" si="27"/>
        <v>126.76319781347203</v>
      </c>
      <c r="Z133" s="42">
        <f t="shared" si="28"/>
        <v>-25.73486779930289</v>
      </c>
      <c r="AA133" s="42">
        <f t="shared" si="29"/>
        <v>18966.696769045877</v>
      </c>
    </row>
    <row r="134" spans="1:27">
      <c r="Q134" s="108">
        <v>132</v>
      </c>
      <c r="R134" s="27">
        <f t="shared" si="20"/>
        <v>11</v>
      </c>
      <c r="S134" s="18">
        <f t="shared" si="21"/>
        <v>346896000</v>
      </c>
      <c r="T134" s="42">
        <f t="shared" si="22"/>
        <v>1.3176021731739764</v>
      </c>
      <c r="U134" s="42">
        <f t="shared" si="23"/>
        <v>2653.4608391175311</v>
      </c>
      <c r="V134" s="42">
        <f t="shared" si="24"/>
        <v>1395.3805820794396</v>
      </c>
      <c r="W134" s="42">
        <f t="shared" si="25"/>
        <v>-66.797438844047974</v>
      </c>
      <c r="X134" s="42">
        <f t="shared" si="26"/>
        <v>147.54791251798895</v>
      </c>
      <c r="Y134" s="42">
        <f t="shared" si="27"/>
        <v>130.22317813911377</v>
      </c>
      <c r="Z134" s="42">
        <f t="shared" si="28"/>
        <v>-27.594316755503911</v>
      </c>
      <c r="AA134" s="42">
        <f t="shared" si="29"/>
        <v>18917.860582426987</v>
      </c>
    </row>
    <row r="135" spans="1:27" ht="15">
      <c r="F135" s="110" t="s">
        <v>129</v>
      </c>
      <c r="Q135" s="108">
        <v>133</v>
      </c>
      <c r="R135" s="27">
        <f t="shared" si="20"/>
        <v>11.083333333333334</v>
      </c>
      <c r="S135" s="18">
        <f t="shared" si="21"/>
        <v>349524000</v>
      </c>
      <c r="T135" s="42">
        <f t="shared" si="22"/>
        <v>1.2218019709550978</v>
      </c>
      <c r="U135" s="42">
        <f t="shared" si="23"/>
        <v>2649.1963305647673</v>
      </c>
      <c r="V135" s="42">
        <f t="shared" si="24"/>
        <v>1394.4969317293069</v>
      </c>
      <c r="W135" s="42">
        <f t="shared" si="25"/>
        <v>-77.890110565050804</v>
      </c>
      <c r="X135" s="42">
        <f t="shared" si="26"/>
        <v>149.26330049778355</v>
      </c>
      <c r="Y135" s="42">
        <f t="shared" si="27"/>
        <v>133.80609271217438</v>
      </c>
      <c r="Z135" s="42">
        <f t="shared" si="28"/>
        <v>-29.509209174276009</v>
      </c>
      <c r="AA135" s="42">
        <f t="shared" si="29"/>
        <v>18869.150035592087</v>
      </c>
    </row>
    <row r="136" spans="1:27" ht="15">
      <c r="F136" s="110" t="s">
        <v>157</v>
      </c>
      <c r="G136" s="110" t="s">
        <v>170</v>
      </c>
      <c r="H136" s="110" t="s">
        <v>171</v>
      </c>
      <c r="I136" s="110" t="s">
        <v>172</v>
      </c>
      <c r="J136" s="110" t="s">
        <v>173</v>
      </c>
      <c r="K136" s="110" t="s">
        <v>174</v>
      </c>
      <c r="L136" s="110" t="s">
        <v>175</v>
      </c>
      <c r="M136" s="110" t="s">
        <v>176</v>
      </c>
      <c r="Q136" s="108">
        <v>134</v>
      </c>
      <c r="R136" s="27">
        <f t="shared" si="20"/>
        <v>11.166666666666666</v>
      </c>
      <c r="S136" s="18">
        <f t="shared" si="21"/>
        <v>352152000</v>
      </c>
      <c r="T136" s="42">
        <f t="shared" si="22"/>
        <v>1.1245230730415896</v>
      </c>
      <c r="U136" s="42">
        <f t="shared" si="23"/>
        <v>2645.0191631171274</v>
      </c>
      <c r="V136" s="42">
        <f t="shared" si="24"/>
        <v>1393.5680179914302</v>
      </c>
      <c r="W136" s="42">
        <f t="shared" si="25"/>
        <v>-89.375152010920488</v>
      </c>
      <c r="X136" s="42">
        <f t="shared" si="26"/>
        <v>151.03403039130563</v>
      </c>
      <c r="Y136" s="42">
        <f t="shared" si="27"/>
        <v>137.51522016667397</v>
      </c>
      <c r="Z136" s="42">
        <f t="shared" si="28"/>
        <v>-31.481273358325808</v>
      </c>
      <c r="AA136" s="42">
        <f t="shared" si="29"/>
        <v>18820.564802023229</v>
      </c>
    </row>
    <row r="137" spans="1:27" ht="15">
      <c r="E137" s="105" t="s">
        <v>7</v>
      </c>
      <c r="F137" s="112">
        <f>$B2/SUM($F126:$M126)*F126</f>
        <v>19.041708027546772</v>
      </c>
      <c r="G137" s="112">
        <f t="shared" ref="G137:M137" si="30">$B2/SUM($F126:$M126)*G126</f>
        <v>0</v>
      </c>
      <c r="H137" s="112">
        <f t="shared" si="30"/>
        <v>0</v>
      </c>
      <c r="I137" s="112">
        <f t="shared" si="30"/>
        <v>0</v>
      </c>
      <c r="J137" s="112">
        <f t="shared" si="30"/>
        <v>0</v>
      </c>
      <c r="K137" s="112">
        <f t="shared" si="30"/>
        <v>0</v>
      </c>
      <c r="L137" s="112">
        <f t="shared" si="30"/>
        <v>0</v>
      </c>
      <c r="M137" s="112">
        <f t="shared" si="30"/>
        <v>0</v>
      </c>
    </row>
    <row r="138" spans="1:27" ht="15">
      <c r="E138" s="105" t="s">
        <v>9</v>
      </c>
      <c r="F138" s="112">
        <f t="shared" ref="F138:M138" si="31">$B3/SUM($F127:$M127)*F127</f>
        <v>1579.2122484540978</v>
      </c>
      <c r="G138" s="112">
        <f t="shared" si="31"/>
        <v>1729.581933976144</v>
      </c>
      <c r="H138" s="112">
        <f t="shared" si="31"/>
        <v>0</v>
      </c>
      <c r="I138" s="112">
        <f t="shared" si="31"/>
        <v>0</v>
      </c>
      <c r="J138" s="112">
        <f t="shared" si="31"/>
        <v>0</v>
      </c>
      <c r="K138" s="112">
        <f t="shared" si="31"/>
        <v>0</v>
      </c>
      <c r="L138" s="112">
        <f t="shared" si="31"/>
        <v>0</v>
      </c>
      <c r="M138" s="112">
        <f t="shared" si="31"/>
        <v>152.78789794589213</v>
      </c>
    </row>
    <row r="139" spans="1:27" ht="15">
      <c r="E139" s="105" t="s">
        <v>10</v>
      </c>
      <c r="F139" s="112">
        <f t="shared" ref="F139:M139" si="32">$B4/SUM($F128:$M128)*F128</f>
        <v>-390.53669193324811</v>
      </c>
      <c r="G139" s="112">
        <f t="shared" si="32"/>
        <v>-306.82426786908297</v>
      </c>
      <c r="H139" s="112">
        <f t="shared" si="32"/>
        <v>1786.169831114782</v>
      </c>
      <c r="I139" s="112">
        <f t="shared" si="32"/>
        <v>0</v>
      </c>
      <c r="J139" s="112">
        <f t="shared" si="32"/>
        <v>0</v>
      </c>
      <c r="K139" s="112">
        <f t="shared" si="32"/>
        <v>0</v>
      </c>
      <c r="L139" s="112">
        <f t="shared" si="32"/>
        <v>0</v>
      </c>
      <c r="M139" s="112">
        <f t="shared" si="32"/>
        <v>65.71995225249006</v>
      </c>
    </row>
    <row r="140" spans="1:27" ht="15">
      <c r="E140" s="105" t="s">
        <v>11</v>
      </c>
      <c r="F140" s="112">
        <f t="shared" ref="F140:M140" si="33">$B5/SUM($F129:$M129)*F129</f>
        <v>-17.895143614539503</v>
      </c>
      <c r="G140" s="112">
        <f t="shared" si="33"/>
        <v>-18.679937914644899</v>
      </c>
      <c r="H140" s="112">
        <f t="shared" si="33"/>
        <v>50.281065710494289</v>
      </c>
      <c r="I140" s="112">
        <f t="shared" si="33"/>
        <v>226.30877391394242</v>
      </c>
      <c r="J140" s="112">
        <f t="shared" si="33"/>
        <v>0</v>
      </c>
      <c r="K140" s="112">
        <f t="shared" si="33"/>
        <v>0</v>
      </c>
      <c r="L140" s="112">
        <f t="shared" si="33"/>
        <v>0</v>
      </c>
      <c r="M140" s="112">
        <f t="shared" si="33"/>
        <v>1.5142753067882966</v>
      </c>
    </row>
    <row r="141" spans="1:27" ht="15">
      <c r="E141" s="105" t="s">
        <v>13</v>
      </c>
      <c r="F141" s="112">
        <f t="shared" ref="F141:M141" si="34">$B6/SUM($F130:$M130)*F130</f>
        <v>-10.250579529236294</v>
      </c>
      <c r="G141" s="112">
        <f t="shared" si="34"/>
        <v>1.2236322924855665</v>
      </c>
      <c r="H141" s="112">
        <f t="shared" si="34"/>
        <v>119.28974159947397</v>
      </c>
      <c r="I141" s="112">
        <f t="shared" si="34"/>
        <v>15.491377352347115</v>
      </c>
      <c r="J141" s="112">
        <f t="shared" si="34"/>
        <v>-58.695339697561828</v>
      </c>
      <c r="K141" s="112">
        <f t="shared" si="34"/>
        <v>16.062443152128374</v>
      </c>
      <c r="L141" s="112">
        <f t="shared" si="34"/>
        <v>0</v>
      </c>
      <c r="M141" s="112">
        <f t="shared" si="34"/>
        <v>-0.94127210338242495</v>
      </c>
    </row>
    <row r="142" spans="1:27" ht="15">
      <c r="E142" s="105" t="s">
        <v>14</v>
      </c>
      <c r="F142" s="112">
        <f t="shared" ref="F142:M142" si="35">$B7/SUM($F131:$M131)*F131</f>
        <v>-33.072454580600201</v>
      </c>
      <c r="G142" s="112">
        <f t="shared" si="35"/>
        <v>28.555598987699032</v>
      </c>
      <c r="H142" s="112">
        <f t="shared" si="35"/>
        <v>14.066720435197675</v>
      </c>
      <c r="I142" s="112">
        <f t="shared" si="35"/>
        <v>-52.741004392951822</v>
      </c>
      <c r="J142" s="112">
        <f t="shared" si="35"/>
        <v>0</v>
      </c>
      <c r="K142" s="112">
        <f t="shared" si="35"/>
        <v>95.020566319026884</v>
      </c>
      <c r="L142" s="112">
        <f t="shared" si="35"/>
        <v>0</v>
      </c>
      <c r="M142" s="112">
        <f t="shared" si="35"/>
        <v>0.28472151754590397</v>
      </c>
    </row>
    <row r="143" spans="1:27" ht="15">
      <c r="E143" s="105" t="s">
        <v>15</v>
      </c>
      <c r="F143" s="112">
        <f t="shared" ref="F143:M143" si="36">$B8/SUM($F132:$M132)*F132</f>
        <v>8.6319520740452821E-2</v>
      </c>
      <c r="G143" s="112">
        <f t="shared" si="36"/>
        <v>0.35848319979014542</v>
      </c>
      <c r="H143" s="112">
        <f t="shared" si="36"/>
        <v>0</v>
      </c>
      <c r="I143" s="112">
        <f t="shared" si="36"/>
        <v>0</v>
      </c>
      <c r="J143" s="112">
        <f t="shared" si="36"/>
        <v>0</v>
      </c>
      <c r="K143" s="112">
        <f t="shared" si="36"/>
        <v>0</v>
      </c>
      <c r="L143" s="112">
        <f t="shared" si="36"/>
        <v>138.52834693736071</v>
      </c>
      <c r="M143" s="112">
        <f t="shared" si="36"/>
        <v>0</v>
      </c>
    </row>
    <row r="144" spans="1:27" ht="15">
      <c r="E144" s="105" t="s">
        <v>16</v>
      </c>
      <c r="F144" s="112">
        <f t="shared" ref="F144:M144" si="37">$B9/SUM($F133:$M133)*F133</f>
        <v>-7.4075350209547683E-2</v>
      </c>
      <c r="G144" s="112">
        <f t="shared" si="37"/>
        <v>0</v>
      </c>
      <c r="H144" s="112">
        <f t="shared" si="37"/>
        <v>0</v>
      </c>
      <c r="I144" s="112">
        <f t="shared" si="37"/>
        <v>0</v>
      </c>
      <c r="J144" s="112">
        <f t="shared" si="37"/>
        <v>0</v>
      </c>
      <c r="K144" s="112">
        <f t="shared" si="37"/>
        <v>0</v>
      </c>
      <c r="L144" s="112">
        <f t="shared" si="37"/>
        <v>0</v>
      </c>
      <c r="M144" s="112">
        <f t="shared" si="37"/>
        <v>26586.706629132957</v>
      </c>
    </row>
  </sheetData>
  <conditionalFormatting sqref="F45:M52">
    <cfRule type="cellIs" dxfId="10" priority="12" operator="notBetween">
      <formula>-1E-20</formula>
      <formula>1E-20</formula>
    </cfRule>
  </conditionalFormatting>
  <conditionalFormatting sqref="F73:M73">
    <cfRule type="cellIs" dxfId="9" priority="11" operator="notBetween">
      <formula>-0.0001</formula>
      <formula>0.0001</formula>
    </cfRule>
  </conditionalFormatting>
  <conditionalFormatting sqref="F115:M122">
    <cfRule type="cellIs" dxfId="8" priority="3" operator="notBetween">
      <formula>-1E-20</formula>
      <formula>1E-20</formula>
    </cfRule>
  </conditionalFormatting>
  <conditionalFormatting sqref="F55:M62">
    <cfRule type="cellIs" dxfId="7" priority="9" operator="notBetween">
      <formula>-1E-20</formula>
      <formula>1E-20</formula>
    </cfRule>
  </conditionalFormatting>
  <conditionalFormatting sqref="F65:M72">
    <cfRule type="cellIs" dxfId="6" priority="8" operator="notBetween">
      <formula>-1E-20</formula>
      <formula>1E-20</formula>
    </cfRule>
  </conditionalFormatting>
  <conditionalFormatting sqref="F75:M82">
    <cfRule type="cellIs" dxfId="5" priority="7" operator="notBetween">
      <formula>-1E-20</formula>
      <formula>1E-20</formula>
    </cfRule>
  </conditionalFormatting>
  <conditionalFormatting sqref="F85:M92">
    <cfRule type="cellIs" dxfId="4" priority="6" operator="notBetween">
      <formula>-1E-20</formula>
      <formula>1E-20</formula>
    </cfRule>
  </conditionalFormatting>
  <conditionalFormatting sqref="F95:M102">
    <cfRule type="cellIs" dxfId="3" priority="5" operator="notBetween">
      <formula>-1E-20</formula>
      <formula>1E-20</formula>
    </cfRule>
  </conditionalFormatting>
  <conditionalFormatting sqref="F105:M112">
    <cfRule type="cellIs" dxfId="2" priority="4" operator="notBetween">
      <formula>-1E-20</formula>
      <formula>1E-20</formula>
    </cfRule>
  </conditionalFormatting>
  <conditionalFormatting sqref="F126:M133">
    <cfRule type="cellIs" dxfId="1" priority="2" operator="notBetween">
      <formula>-1E-20</formula>
      <formula>1E-20</formula>
    </cfRule>
  </conditionalFormatting>
  <conditionalFormatting sqref="F137:M144">
    <cfRule type="cellIs" dxfId="0" priority="1" operator="notBetween">
      <formula>-1E-20</formula>
      <formula>1E-20</formula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topLeftCell="A8"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M23" sqref="M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N17" sqref="N17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abSelected="1" topLeftCell="A5" workbookViewId="0">
      <selection activeCell="N19" sqref="N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2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4" sqref="M2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mod.simp.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simp.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cp:revision>1</cp:revision>
  <dcterms:created xsi:type="dcterms:W3CDTF">2014-07-10T09:50:10Z</dcterms:created>
  <dcterms:modified xsi:type="dcterms:W3CDTF">2014-08-25T09:24:03Z</dcterms:modified>
</cp:coreProperties>
</file>